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Katalog!$A$1:$Y$308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<sst xmlns="http://schemas.openxmlformats.org/spreadsheetml/2006/main" count="7100" uniqueCount="2446">
  <si>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</si>
  <si>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</si>
  <si>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</si>
  <si>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</si>
  <si>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</si>
  <si>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</si>
  <si>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</si>
  <si>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</si>
  <si>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</si>
  <si>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</si>
  <si>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</si>
  <si>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</si>
  <si>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</si>
  <si>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</si>
  <si>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</si>
  <si>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</si>
  <si>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</si>
  <si>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</si>
  <si>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</si>
  <si>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</si>
  <si>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</si>
  <si>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</si>
  <si>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</si>
  <si>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</si>
  <si>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</si>
  <si>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</si>
  <si>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</si>
  <si>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</si>
  <si>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</si>
  <si>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</si>
  <si>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</si>
  <si>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</si>
  <si>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</si>
  <si>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</si>
  <si>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</si>
  <si>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</si>
  <si>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</si>
  <si>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</si>
  <si>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</si>
  <si>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</si>
  <si>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</si>
  <si>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</si>
  <si>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</si>
  <si>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</si>
  <si>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</si>
  <si>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</si>
  <si>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</si>
  <si>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</si>
  <si>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</si>
  <si>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</si>
  <si>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</si>
  <si>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</si>
  <si>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</si>
  <si>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</si>
  <si>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</si>
  <si>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</si>
  <si>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</si>
  <si>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</si>
  <si>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</si>
  <si>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</si>
  <si>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</si>
  <si>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</si>
  <si>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</si>
  <si>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</si>
  <si>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</si>
  <si>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</si>
  <si>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</si>
  <si>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</si>
  <si>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</si>
  <si>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</si>
  <si>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</si>
  <si>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</si>
  <si>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</si>
  <si>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</si>
  <si>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</si>
  <si>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</si>
  <si>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</si>
  <si>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</si>
  <si>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</si>
  <si>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</si>
  <si>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</si>
  <si>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</si>
  <si>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</si>
  <si>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</si>
  <si>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</si>
  <si>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</si>
  <si>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</si>
  <si>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</si>
  <si>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</si>
  <si>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</si>
  <si>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</si>
  <si>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</si>
  <si>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</si>
  <si>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</si>
  <si>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</si>
  <si>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</si>
  <si>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</si>
  <si>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</si>
  <si>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</si>
  <si>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</si>
  <si>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</si>
  <si>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</si>
  <si>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</si>
  <si>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</si>
  <si>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</si>
  <si>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</si>
  <si>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</si>
  <si>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</si>
  <si>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</si>
  <si>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</si>
  <si>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</si>
  <si>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</si>
  <si>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</si>
  <si>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</si>
  <si>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</si>
  <si>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</si>
  <si>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</si>
  <si>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</si>
  <si>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</si>
  <si>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</si>
  <si>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</si>
  <si>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</si>
  <si>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</si>
  <si>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</si>
  <si>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</si>
  <si>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</si>
  <si>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</si>
  <si>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</si>
  <si>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</si>
  <si>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</si>
  <si>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</si>
  <si>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</si>
  <si>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</si>
  <si>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</si>
  <si>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</si>
  <si>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</si>
  <si>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</si>
  <si>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</si>
  <si>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</si>
  <si>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</si>
  <si>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</si>
  <si>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</si>
  <si>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</si>
  <si>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</si>
  <si>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</si>
  <si>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</si>
  <si>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</si>
  <si>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</si>
  <si>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</si>
  <si>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</si>
  <si>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</si>
  <si>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</si>
  <si>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</si>
  <si>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</si>
  <si>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</si>
  <si>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</si>
  <si>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</si>
  <si>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</si>
  <si>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</si>
  <si>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</si>
  <si>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</si>
  <si>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</si>
  <si>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</si>
  <si>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</si>
  <si>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</si>
  <si>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</si>
  <si>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</si>
  <si>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</si>
  <si>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</si>
  <si>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</si>
  <si>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</si>
  <si>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</si>
  <si>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</si>
  <si>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</si>
  <si>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</si>
  <si>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</si>
  <si>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</si>
  <si>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</si>
  <si>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</si>
  <si>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</si>
  <si>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</si>
  <si>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</si>
  <si>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</si>
  <si>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</si>
  <si>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</si>
  <si>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</si>
  <si>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</si>
  <si>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</si>
  <si>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</si>
  <si>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</si>
  <si>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</si>
  <si>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</si>
  <si>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</si>
  <si>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</si>
  <si>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</si>
  <si>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</si>
  <si>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</si>
  <si>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</si>
  <si>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</si>
  <si>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</si>
  <si>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</si>
  <si>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</si>
  <si>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</si>
  <si>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</si>
  <si>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</si>
  <si>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</si>
  <si>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</si>
  <si>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</si>
  <si>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</si>
  <si>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</si>
  <si>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</si>
  <si>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</si>
  <si>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</si>
  <si>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</si>
  <si>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</si>
  <si>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</si>
  <si>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</si>
  <si>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</si>
  <si>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</si>
  <si>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</si>
  <si>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</si>
  <si>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</si>
  <si>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</si>
  <si>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</si>
  <si>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</si>
  <si>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</si>
  <si>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</si>
  <si>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</si>
  <si>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</si>
  <si>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</si>
  <si>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</si>
  <si>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</si>
  <si>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</si>
  <si>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</si>
  <si>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</si>
  <si>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</si>
  <si>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</si>
  <si>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</si>
  <si>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</si>
  <si>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</si>
  <si>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</si>
  <si>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</si>
  <si>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</si>
  <si>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</si>
  <si>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</si>
  <si>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</si>
  <si>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</si>
  <si>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</si>
  <si>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</si>
  <si>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</si>
  <si>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</si>
  <si>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</si>
  <si>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</si>
  <si>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</si>
  <si>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</si>
  <si>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</si>
  <si>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</si>
  <si>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</si>
  <si>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</si>
  <si>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</si>
  <si>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</si>
  <si>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</si>
  <si>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</si>
  <si>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</si>
  <si>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</si>
  <si>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</si>
  <si>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</si>
  <si>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</si>
  <si>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</si>
  <si>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</si>
  <si>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</si>
  <si>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</si>
  <si>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</si>
  <si>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</si>
  <si>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</si>
  <si>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</si>
  <si>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</si>
  <si>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</si>
  <si>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</si>
  <si>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</si>
  <si>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</si>
  <si>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</si>
  <si>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</si>
  <si>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</si>
  <si>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</si>
  <si>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</si>
  <si>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</si>
  <si>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</si>
  <si>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</si>
  <si>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</si>
  <si>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</si>
  <si>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</si>
  <si>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</si>
  <si>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</si>
  <si>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</si>
  <si>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</si>
  <si>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</si>
  <si>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</si>
  <si>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</si>
  <si>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</si>
  <si>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</si>
  <si>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</si>
  <si>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</si>
  <si>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</si>
  <si>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</si>
  <si>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</si>
  <si>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</si>
  <si>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</si>
  <si>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</si>
  <si>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</si>
  <si>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</si>
  <si>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</si>
  <si>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</si>
  <si>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</si>
  <si>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</si>
  <si>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</si>
  <si>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</si>
  <si>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</si>
  <si>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</si>
  <si>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</si>
  <si>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</si>
  <si>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</si>
  <si>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</si>
  <si>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</si>
  <si>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</si>
  <si>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</si>
  <si>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</si>
  <si>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</si>
  <si>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</si>
  <si>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</si>
  <si>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</si>
  <si>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</si>
  <si>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</si>
  <si>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</si>
  <si>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</si>
  <si>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</si>
  <si>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</si>
  <si>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</si>
  <si>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</si>
  <si>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</si>
  <si>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</si>
  <si>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</si>
  <si>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</si>
  <si>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</si>
  <si>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</si>
  <si>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</si>
  <si>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</si>
  <si>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</si>
  <si>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</si>
  <si>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</si>
  <si>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</si>
  <si>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</si>
  <si>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</si>
  <si>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</si>
  <si>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</si>
  <si>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</si>
  <si>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</si>
  <si>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</si>
  <si>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</si>
  <si>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</si>
  <si>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</si>
  <si>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</si>
  <si>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</si>
  <si>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</si>
  <si>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</si>
  <si>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</si>
  <si>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</si>
  <si>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</si>
  <si>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</si>
  <si>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</si>
  <si>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</si>
  <si>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</si>
  <si>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</si>
  <si>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</si>
  <si>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</si>
  <si>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</si>
  <si>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</si>
  <si>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</si>
  <si>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</si>
  <si>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</si>
  <si>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</si>
  <si>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</si>
  <si>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</si>
  <si>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</si>
  <si>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</si>
  <si>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</si>
  <si>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</si>
  <si>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</si>
  <si>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</si>
  <si>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</si>
  <si>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</si>
  <si>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</si>
  <si>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</si>
  <si>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</si>
  <si>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</si>
  <si>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</si>
  <si>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</si>
  <si>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</si>
  <si>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</si>
  <si>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</si>
  <si>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</si>
  <si>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</si>
  <si>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</si>
  <si>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</si>
  <si>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</si>
  <si>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</si>
  <si>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</si>
  <si>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</si>
  <si>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</si>
  <si>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</si>
  <si>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</si>
  <si>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</si>
  <si>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</si>
  <si>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</si>
  <si>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</si>
  <si>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</si>
  <si>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</si>
  <si>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</si>
  <si>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</si>
  <si>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</si>
  <si>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</si>
  <si>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</si>
  <si>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</si>
  <si>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</si>
  <si>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</si>
  <si>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</si>
  <si>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</si>
  <si>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</si>
  <si>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</si>
  <si>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</si>
  <si>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</si>
  <si>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</si>
  <si>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</si>
  <si>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</si>
  <si>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</si>
  <si>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</si>
  <si>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</si>
  <si>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</si>
  <si>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</si>
  <si>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</si>
  <si>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</si>
  <si>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</si>
  <si>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</si>
  <si>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</si>
  <si>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</si>
  <si>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</si>
  <si>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</si>
  <si>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</si>
  <si>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</si>
  <si>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</si>
  <si>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</si>
  <si>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</si>
  <si>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</si>
  <si>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</si>
  <si>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</si>
  <si>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</si>
  <si>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</si>
  <si>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</si>
  <si>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</si>
  <si>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</si>
  <si>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</si>
  <si>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</si>
  <si>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</si>
  <si>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</si>
  <si>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</si>
  <si>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</si>
  <si>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</si>
  <si>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</si>
  <si>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</si>
  <si>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</si>
  <si>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</si>
  <si>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</si>
  <si>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</si>
  <si>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</si>
  <si>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</si>
  <si>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</si>
  <si>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</si>
  <si>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</si>
  <si>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</si>
  <si>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</si>
  <si>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</si>
  <si>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</si>
  <si>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</si>
  <si>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</si>
  <si>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</si>
  <si>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</si>
  <si>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</si>
  <si>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</si>
  <si>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</si>
  <si>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</si>
  <si>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</si>
  <si>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</si>
  <si>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</si>
  <si>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</si>
  <si>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</si>
  <si>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</si>
  <si>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</si>
  <si>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</si>
  <si>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</si>
  <si>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</si>
  <si>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</si>
  <si>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</si>
  <si>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</si>
  <si>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</si>
  <si>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</si>
  <si>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</si>
  <si>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</si>
  <si>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</si>
  <si>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</si>
  <si>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</si>
  <si>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</si>
  <si>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</si>
  <si>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</si>
  <si>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</si>
  <si>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</si>
  <si>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</si>
  <si>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</si>
  <si>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</si>
  <si>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</si>
  <si>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</si>
  <si>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</si>
  <si>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</si>
  <si>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</si>
  <si>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</si>
  <si>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</si>
  <si>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</si>
  <si>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</si>
  <si>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</si>
  <si>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</si>
  <si>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</si>
  <si>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</si>
  <si>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</si>
  <si>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</si>
  <si>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</si>
  <si>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</si>
  <si>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</si>
  <si>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</si>
  <si>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</si>
  <si>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</si>
  <si>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</si>
  <si>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</si>
  <si>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</si>
  <si>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</si>
  <si>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</si>
  <si>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</si>
  <si>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</si>
  <si>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</si>
  <si>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</si>
  <si>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</si>
  <si>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</si>
  <si>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</si>
  <si>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</si>
  <si>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</si>
  <si>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</si>
  <si>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</si>
  <si>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</si>
  <si>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</si>
  <si>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</si>
  <si>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</si>
  <si>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</si>
  <si>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</si>
  <si>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</si>
  <si>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</si>
  <si>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</si>
  <si>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</si>
  <si>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</si>
  <si>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</si>
  <si>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</si>
  <si>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</si>
  <si>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</si>
  <si>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</si>
  <si>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</si>
  <si>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</si>
  <si>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</si>
  <si>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</si>
  <si>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</si>
  <si>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</si>
  <si>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</si>
  <si>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</si>
  <si>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</si>
  <si>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</si>
  <si>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</si>
  <si>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</si>
  <si>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</si>
  <si>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</si>
  <si>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</si>
  <si>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</si>
  <si>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</si>
  <si>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</si>
  <si>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</si>
  <si>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</si>
  <si>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</si>
  <si>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</si>
  <si>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</si>
  <si>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</si>
  <si>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</si>
  <si>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</si>
  <si>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</si>
  <si>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</si>
  <si>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</si>
  <si>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</si>
  <si>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</si>
  <si>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</si>
  <si>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</si>
  <si>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</si>
  <si>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</si>
  <si>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</si>
  <si>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</si>
  <si>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</si>
  <si>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</si>
  <si>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</si>
  <si>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</si>
  <si>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</si>
  <si>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</si>
  <si>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</si>
  <si>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</si>
  <si>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</si>
  <si>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</si>
  <si>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</si>
  <si>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</si>
  <si>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</si>
  <si>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</si>
  <si>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</si>
  <si>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</si>
  <si>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</si>
  <si>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</si>
  <si>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</si>
  <si>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</si>
  <si>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</si>
  <si>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</si>
  <si>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</si>
  <si>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</si>
  <si>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</si>
  <si>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</si>
  <si>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</si>
  <si>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</si>
  <si>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</si>
  <si>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</si>
  <si>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</si>
  <si>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</si>
  <si>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</si>
  <si>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</si>
  <si>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</si>
  <si>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</si>
  <si>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</si>
  <si>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</si>
  <si>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</si>
  <si>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</si>
  <si>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</si>
  <si>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</si>
  <si>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</si>
  <si>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</si>
  <si>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</si>
  <si>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</si>
  <si>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</si>
  <si>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</si>
  <si>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</si>
  <si>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</si>
  <si>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</si>
  <si>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</si>
  <si>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</si>
  <si>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</si>
  <si>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</si>
  <si>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</si>
  <si>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</si>
  <si>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</si>
  <si>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</si>
  <si>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</si>
  <si>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</si>
  <si>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</si>
  <si>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</si>
  <si>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</si>
  <si>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</si>
  <si>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</si>
  <si>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</si>
  <si>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</si>
  <si>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</si>
  <si>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</si>
  <si>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</si>
  <si>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</si>
  <si>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</si>
  <si>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</si>
  <si>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</si>
  <si>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</si>
  <si>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</si>
  <si>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</si>
  <si>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</si>
  <si>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</si>
  <si>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</si>
  <si>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</si>
  <si>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</si>
  <si>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</si>
  <si>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</si>
  <si>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</si>
  <si>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</si>
  <si>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</si>
  <si>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</si>
  <si>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</si>
  <si>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</si>
  <si>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</si>
  <si>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</si>
  <si>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</si>
  <si>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</si>
  <si>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</si>
  <si>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</si>
  <si>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</si>
  <si>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</si>
  <si>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</si>
  <si>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</si>
  <si>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</si>
  <si>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</si>
  <si>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</si>
  <si>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</si>
  <si>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</si>
  <si>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</si>
  <si>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</si>
  <si>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</si>
  <si>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</si>
  <si>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</si>
  <si>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</si>
  <si>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</si>
  <si>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</si>
  <si>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</si>
  <si>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</si>
  <si>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</si>
  <si>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</si>
  <si>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</si>
  <si>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</si>
  <si>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</si>
  <si>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</si>
  <si>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</si>
  <si>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</si>
  <si>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</si>
  <si>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</si>
  <si>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</si>
  <si>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</si>
  <si>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</si>
  <si>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</si>
  <si>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</si>
  <si>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</si>
  <si>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</si>
  <si>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</si>
  <si>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</si>
  <si>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</si>
  <si>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</si>
  <si>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</si>
  <si>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</si>
  <si>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</si>
  <si>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</si>
  <si>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</si>
  <si>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</si>
  <si>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</si>
  <si>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</si>
  <si>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</si>
  <si>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</si>
  <si>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</si>
  <si>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</si>
  <si>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</si>
  <si>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</si>
  <si>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</si>
  <si>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</si>
  <si>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</si>
  <si>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</si>
  <si>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</si>
  <si>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</si>
  <si>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</si>
  <si>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</si>
  <si>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</si>
  <si>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</si>
  <si>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</si>
  <si>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</si>
  <si>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</si>
  <si>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</si>
  <si>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</si>
  <si>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</si>
  <si>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</si>
  <si>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</si>
  <si>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</si>
  <si>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</si>
  <si>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</si>
  <si>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</si>
  <si>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</si>
  <si>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</si>
  <si>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</si>
  <si>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</si>
  <si>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</si>
  <si>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</si>
  <si>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</si>
  <si>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</si>
  <si>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</si>
  <si>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</si>
  <si>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</si>
  <si>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</si>
  <si>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</si>
  <si>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</si>
  <si>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</si>
  <si>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</si>
  <si>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</si>
  <si>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</si>
  <si>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</si>
  <si>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</si>
  <si>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</si>
  <si>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</si>
  <si>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</si>
  <si>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</si>
  <si>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</si>
  <si>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</si>
  <si>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</si>
  <si>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</si>
  <si>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</si>
  <si>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</si>
  <si>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</si>
  <si>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</si>
  <si>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</si>
  <si>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</si>
  <si>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</si>
  <si>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</si>
  <si>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</si>
  <si>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</si>
  <si>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</si>
  <si>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</si>
  <si>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</si>
  <si>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</si>
  <si>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</si>
  <si>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</si>
  <si>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</si>
  <si>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</si>
  <si>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</si>
  <si>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</si>
  <si>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</si>
  <si>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</si>
  <si>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</si>
  <si>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</si>
  <si>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</si>
  <si>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</si>
  <si>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</si>
  <si>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</si>
  <si>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</si>
  <si>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</si>
  <si>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</si>
  <si>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</si>
  <si>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</si>
  <si>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</si>
  <si>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</si>
  <si>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</si>
  <si>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</si>
  <si>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</si>
  <si>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</si>
  <si>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</si>
  <si>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</si>
  <si>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</si>
  <si>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</si>
  <si>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</si>
  <si>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</si>
  <si>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</si>
  <si>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</si>
  <si>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</si>
  <si>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</si>
  <si>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</si>
  <si>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</si>
  <si>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</si>
  <si>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</si>
  <si>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</si>
  <si>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</si>
  <si>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</si>
  <si>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</si>
  <si>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</si>
  <si>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</si>
  <si>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</si>
  <si>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</si>
  <si>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</si>
  <si>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</si>
  <si>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</si>
  <si>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</si>
  <si>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</si>
  <si>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</si>
  <si>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</si>
  <si>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</si>
  <si>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</si>
  <si>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</si>
  <si>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</si>
  <si>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</si>
  <si>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</si>
  <si>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</si>
  <si>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</si>
  <si>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</si>
  <si>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</si>
  <si>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</si>
  <si>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</si>
  <si>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</si>
  <si>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</si>
  <si>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</si>
  <si>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</si>
  <si>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</si>
  <si>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</si>
  <si>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</si>
  <si>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</si>
  <si>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</si>
  <si>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</si>
  <si>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</si>
  <si>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</si>
  <si>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</si>
  <si>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</si>
  <si>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</si>
  <si>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</si>
  <si>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</si>
  <si>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</si>
  <si>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</si>
  <si>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</si>
  <si>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</si>
  <si>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</si>
  <si>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</si>
  <si>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</si>
  <si>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</si>
  <si>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</si>
  <si>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</si>
  <si>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</si>
  <si>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</si>
  <si>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</si>
  <si>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</si>
  <si>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</si>
  <si>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</si>
  <si>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</si>
  <si>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</si>
  <si>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</si>
  <si>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</si>
  <si>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</si>
  <si>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</si>
  <si>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</si>
  <si>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</si>
  <si>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</si>
  <si>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</si>
  <si>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</si>
  <si>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</si>
  <si>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</si>
  <si>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</si>
  <si>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</si>
  <si>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</si>
  <si>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</si>
  <si>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</si>
  <si>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</si>
  <si>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</si>
  <si>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</si>
  <si>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</si>
  <si>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</si>
  <si>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</si>
  <si>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</si>
  <si>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</si>
  <si>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</si>
  <si>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</si>
  <si>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</si>
  <si>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</si>
  <si>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</si>
  <si>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</si>
  <si>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</si>
  <si>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</si>
  <si>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</si>
  <si>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</si>
  <si>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</si>
  <si>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</si>
  <si>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</si>
  <si>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</si>
  <si>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</si>
  <si>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</si>
  <si>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</si>
  <si>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</si>
  <si>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</si>
  <si>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</si>
  <si>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</si>
  <si>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</si>
  <si>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</si>
  <si>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</si>
  <si>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</si>
  <si>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</si>
  <si>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</si>
  <si>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</si>
  <si>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</si>
  <si>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</si>
  <si>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</si>
  <si>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</si>
  <si>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</si>
  <si>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</si>
  <si>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</si>
  <si>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</si>
  <si>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</si>
  <si>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</si>
  <si>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</si>
  <si>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</si>
  <si>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</si>
  <si>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</si>
  <si>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</si>
  <si>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</si>
  <si>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</si>
  <si>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</si>
  <si>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</si>
  <si>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</si>
  <si>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</si>
  <si>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</si>
  <si>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</si>
  <si>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</si>
  <si>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</si>
  <si>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</si>
  <si>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</si>
  <si>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</si>
  <si>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</si>
  <si>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</si>
  <si>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</si>
  <si>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</si>
  <si>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</si>
  <si>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</si>
  <si>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</si>
  <si>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</si>
  <si>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</si>
  <si>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</si>
  <si>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</si>
  <si>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</si>
  <si>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</si>
  <si>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</si>
  <si>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</si>
  <si>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</si>
  <si>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</si>
  <si>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</si>
  <si>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</si>
  <si>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</si>
  <si>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</si>
  <si>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</si>
  <si>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</si>
  <si>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</si>
  <si>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</si>
  <si>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</si>
  <si>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</si>
  <si>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</si>
  <si>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</si>
  <si>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</si>
  <si>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</si>
  <si>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</si>
  <si>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</si>
  <si>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</si>
  <si>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</si>
  <si>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</si>
  <si>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</si>
  <si>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</si>
  <si>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</si>
  <si>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</si>
  <si>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</si>
  <si>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</si>
  <si>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</si>
  <si>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</si>
  <si>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</si>
  <si>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</si>
  <si>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</si>
  <si>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</si>
  <si>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</si>
  <si>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</si>
  <si>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</si>
  <si>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</si>
  <si>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</si>
  <si>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</si>
  <si>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</si>
  <si>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</si>
  <si>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</si>
  <si>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</si>
  <si>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</si>
  <si>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</si>
  <si>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</si>
  <si>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</si>
  <si>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</si>
  <si>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</si>
  <si>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</si>
  <si>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</si>
  <si>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</si>
  <si>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</si>
  <si>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</si>
  <si>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</si>
  <si>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</si>
  <si>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</si>
  <si>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</si>
  <si>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</si>
  <si>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</si>
  <si>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</si>
  <si>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</si>
  <si>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</si>
  <si>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</si>
  <si>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</si>
  <si>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</si>
  <si>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</si>
  <si>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</si>
  <si>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</si>
  <si>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</si>
  <si>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</si>
  <si>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</si>
  <si>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</si>
  <si>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</si>
  <si>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</si>
  <si>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</si>
  <si>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</si>
  <si>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</si>
  <si>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</si>
  <si>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</si>
  <si>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</si>
  <si>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</si>
  <si>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</si>
  <si>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</si>
  <si>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</si>
  <si>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</si>
  <si>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</si>
  <si>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</si>
  <si>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</si>
  <si>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</si>
  <si>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</si>
  <si>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</si>
  <si>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</si>
  <si>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</si>
  <si>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</si>
  <si>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</si>
  <si>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</si>
  <si>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</si>
  <si>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</si>
  <si>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</si>
  <si>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</si>
  <si>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</si>
  <si>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</si>
  <si>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</si>
  <si>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</si>
  <si>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</si>
  <si>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</si>
  <si>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</si>
  <si>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</si>
  <si>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</si>
  <si>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</si>
  <si>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</si>
  <si>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</si>
  <si>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</si>
  <si>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</si>
  <si>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</si>
  <si>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</si>
  <si>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</si>
  <si>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</si>
  <si>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</si>
  <si>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</si>
  <si>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</si>
  <si>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</si>
  <si>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</si>
  <si>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</si>
  <si>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</si>
  <si>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</si>
  <si>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</si>
  <si>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</si>
  <si>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</si>
  <si>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</si>
  <si>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</si>
  <si>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</si>
  <si>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</si>
  <si>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</si>
  <si>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</si>
  <si>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</si>
  <si>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</si>
  <si>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</si>
  <si>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</si>
  <si>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</si>
  <si>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</si>
  <si>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</si>
  <si>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</si>
  <si>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</si>
  <si>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</si>
  <si>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</si>
  <si>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</si>
  <si>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</si>
  <si>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</si>
  <si>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</si>
  <si>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</si>
  <si>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</si>
  <si>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</si>
  <si>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</si>
  <si>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</si>
  <si>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</si>
  <si>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</si>
  <si>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</si>
  <si>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</si>
  <si>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</si>
  <si>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</si>
  <si>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</si>
  <si>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</si>
  <si>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</si>
  <si>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</si>
  <si>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</si>
  <si>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</si>
  <si>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</si>
  <si>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</si>
  <si>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</si>
  <si>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</si>
  <si>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</si>
  <si>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</si>
  <si>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</si>
  <si>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</si>
  <si>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</si>
  <si>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</si>
  <si>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</si>
  <si>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</si>
  <si>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</si>
  <si>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</si>
  <si>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</si>
  <si>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</si>
  <si>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</si>
  <si>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</si>
  <si>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</si>
  <si>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</si>
  <si>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</si>
  <si>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</si>
  <si>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</si>
  <si>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</si>
  <si>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</si>
  <si>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</si>
  <si>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</si>
  <si>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</si>
  <si>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</si>
  <si>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</si>
  <si>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</si>
  <si>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</si>
  <si>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</si>
  <si>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</si>
  <si>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</si>
  <si>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</si>
  <si>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</si>
  <si>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</si>
  <si>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</si>
  <si>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</si>
  <si>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</si>
  <si>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</si>
  <si>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</si>
  <si>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</si>
  <si>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</si>
  <si>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</si>
  <si>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</si>
  <si>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</si>
  <si>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</si>
  <si>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</si>
  <si>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</si>
  <si>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</si>
  <si>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</si>
  <si>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</si>
  <si>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</si>
  <si>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</si>
  <si>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</si>
  <si>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</si>
  <si>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</si>
  <si>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</si>
  <si>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</si>
  <si>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</si>
  <si>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</si>
  <si>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</si>
  <si>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</si>
  <si>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</si>
  <si>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</si>
  <si>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</si>
  <si>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</si>
  <si>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</si>
  <si>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</si>
  <si>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</si>
  <si>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</si>
  <si>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</si>
  <si>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</si>
  <si>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</si>
  <si>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</si>
  <si>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</si>
  <si>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</si>
  <si>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</si>
  <si>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</si>
  <si>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</si>
  <si>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</si>
  <si>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</si>
  <si>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</si>
  <si>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</si>
  <si>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</si>
  <si>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</si>
  <si>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</si>
  <si>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</si>
  <si>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</si>
  <si>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</si>
  <si>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</si>
  <si>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</si>
  <si>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</si>
  <si>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</si>
  <si>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</si>
  <si>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</si>
  <si>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</si>
  <si>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</si>
  <si>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</si>
  <si>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</si>
  <si>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</si>
  <si>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</si>
  <si>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</si>
  <si>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</si>
  <si>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</si>
  <si>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</si>
  <si>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</si>
  <si>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</si>
  <si>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</si>
  <si>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</si>
  <si>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</si>
  <si>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</si>
  <si>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</si>
  <si>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</si>
  <si>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</si>
  <si>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</si>
  <si>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</si>
  <si>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</si>
  <si>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</si>
  <si>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</si>
  <si>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</si>
  <si>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</si>
  <si>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</si>
  <si>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</si>
  <si>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</si>
  <si>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</si>
  <si>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</si>
  <si>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</si>
  <si>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</si>
  <si>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</si>
  <si>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</si>
  <si>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</si>
  <si>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</si>
  <si>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</si>
  <si>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</si>
  <si>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</si>
  <si>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</si>
  <si>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</si>
  <si>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</si>
  <si>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</si>
  <si>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</si>
  <si>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</si>
  <si>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</si>
  <si>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</si>
  <si>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</si>
  <si>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</si>
  <si>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</si>
  <si>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</si>
  <si>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</si>
  <si>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</si>
  <si>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</si>
  <si>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</si>
  <si>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</si>
  <si>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</si>
  <si>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</si>
  <si>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</si>
  <si>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</si>
  <si>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</si>
  <si>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</si>
  <si>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</si>
  <si>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</si>
  <si>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</si>
  <si>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</si>
  <si>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</si>
  <si>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</si>
  <si>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</si>
  <si>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</si>
  <si>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</si>
  <si>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</si>
  <si>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</si>
  <si>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</si>
  <si>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</si>
  <si>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</si>
  <si>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</si>
  <si>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</si>
  <si>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</si>
  <si>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</si>
  <si>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</si>
  <si>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</si>
  <si>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</si>
  <si>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</si>
  <si>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</si>
  <si>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</si>
  <si>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</si>
  <si>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</si>
  <si>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</si>
  <si>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</si>
  <si>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</si>
  <si>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</si>
  <si>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</si>
  <si>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</si>
  <si>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</si>
  <si>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</si>
  <si>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</si>
  <si>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</si>
  <si>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</si>
  <si>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</si>
  <si>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</si>
  <si>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</si>
  <si>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</si>
  <si>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</si>
  <si>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</si>
  <si>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</si>
  <si>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</si>
  <si>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</si>
  <si>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</si>
  <si>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</si>
  <si>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</si>
  <si>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</si>
  <si>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</si>
  <si>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</si>
  <si>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</si>
  <si>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</si>
  <si>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</si>
  <si>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</si>
  <si>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</si>
  <si>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</si>
  <si>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</si>
  <si>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</si>
  <si>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</si>
  <si>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</si>
  <si>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</si>
  <si>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</si>
  <si>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</si>
  <si>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</si>
  <si>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</si>
  <si>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</si>
  <si>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</si>
  <si>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</si>
  <si>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</si>
  <si>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</si>
  <si>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</si>
  <si>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</si>
  <si>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</si>
  <si>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</si>
  <si>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</si>
  <si>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</si>
  <si>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</si>
  <si>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</si>
  <si>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</si>
  <si>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</si>
  <si>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</si>
  <si>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</si>
  <si>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</si>
  <si>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</si>
  <si>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</si>
  <si>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</si>
  <si>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</si>
  <si>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</si>
  <si>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</si>
  <si>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</si>
  <si>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</si>
  <si>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</si>
  <si>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</si>
  <si>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</si>
  <si>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</si>
  <si>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</si>
  <si>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</si>
  <si>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</si>
  <si>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</si>
  <si>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</si>
  <si>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</si>
  <si>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</si>
  <si>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</si>
  <si>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</si>
  <si>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</si>
  <si>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</si>
  <si>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</si>
  <si>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</si>
  <si>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</si>
  <si>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</si>
  <si>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</si>
  <si>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</si>
  <si>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</si>
  <si>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</si>
  <si>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</si>
  <si>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</si>
  <si>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</si>
  <si>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</si>
  <si>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</si>
  <si>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</si>
  <si>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</si>
  <si>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</si>
  <si>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</si>
  <si>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</si>
  <si>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</si>
  <si>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</si>
  <si>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</si>
  <si>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</si>
  <si>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</si>
  <si>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</si>
  <si>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</si>
  <si>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</si>
  <si>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</si>
  <si>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</si>
  <si>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</si>
  <si>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</si>
  <si>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</si>
  <si>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</si>
  <si>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</si>
  <si>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</si>
  <si>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</si>
  <si>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</si>
  <si>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</si>
  <si>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</si>
  <si>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</si>
  <si>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</si>
  <si>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</si>
  <si>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</si>
  <si>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</si>
  <si>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</si>
  <si>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</si>
  <si>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</si>
  <si>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</si>
  <si>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</si>
  <si>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</si>
  <si>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</si>
  <si>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</si>
  <si>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</si>
  <si>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</si>
  <si>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</si>
  <si>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</si>
  <si>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</si>
  <si>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</si>
  <si>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</si>
  <si>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</si>
  <si>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</si>
  <si>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</si>
  <si>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</si>
  <si>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</si>
  <si>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</si>
  <si>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</si>
  <si>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</si>
  <si>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</si>
  <si>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</si>
  <si>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</si>
  <si>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</si>
  <si>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</si>
  <si>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</si>
  <si>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</si>
  <si>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</si>
  <si>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</si>
  <si>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</si>
  <si>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</si>
  <si>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</si>
  <si>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</si>
  <si>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</si>
  <si>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</si>
  <si>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</si>
  <si>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</si>
  <si>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</si>
  <si>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</si>
  <si>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</si>
  <si>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</si>
  <si>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</si>
  <si>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</si>
  <si>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</si>
  <si>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</si>
  <si>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</si>
  <si>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</si>
  <si>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</si>
  <si>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</si>
  <si>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</si>
  <si>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</si>
  <si>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</si>
  <si>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</si>
  <si>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</si>
  <si>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</si>
  <si>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</si>
  <si>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</si>
  <si>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</si>
  <si>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</si>
  <si>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</si>
  <si>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</si>
  <si>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</si>
  <si>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</si>
  <si>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</si>
  <si>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</si>
  <si>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</si>
  <si>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</si>
  <si>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</si>
  <si>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</si>
  <si>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</si>
  <si>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</si>
  <si>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</si>
  <si>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</si>
  <si>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</si>
  <si>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</si>
  <si>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</si>
  <si>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</si>
  <si>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</si>
  <si>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</si>
  <si>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</si>
  <si>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</si>
  <si>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</si>
  <si>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</si>
  <si>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</si>
  <si>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</si>
  <si>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</si>
  <si>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</si>
  <si>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</si>
  <si>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</si>
  <si>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</si>
  <si>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</si>
  <si>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</si>
  <si>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</si>
  <si>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</si>
  <si>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</si>
  <si>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</si>
  <si>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</si>
  <si>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</si>
  <si>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</si>
  <si>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</si>
  <si>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</si>
  <si>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</si>
  <si>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</si>
  <si>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</si>
  <si>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</si>
  <si>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</si>
  <si>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</si>
  <si>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</si>
  <si>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</si>
  <si>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</si>
  <si>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</si>
  <si>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</si>
  <si>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</si>
  <si>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</si>
  <si>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</si>
  <si>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</si>
  <si>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</si>
  <si>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</si>
  <si>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</si>
  <si>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</si>
  <si>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</si>
  <si>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</si>
  <si>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</si>
  <si>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</si>
  <si>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</si>
  <si>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</si>
  <si>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</si>
  <si>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</si>
  <si>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</si>
  <si>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</si>
  <si>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</si>
  <si>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</si>
  <si>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</si>
  <si>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</si>
  <si>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</si>
  <si>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</si>
  <si>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</si>
  <si>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</si>
  <si>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</si>
  <si>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</si>
  <si>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</si>
  <si>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</si>
  <si>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</si>
  <si>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</si>
  <si>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</si>
  <si>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</si>
  <si>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</si>
  <si>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</si>
  <si>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</si>
  <si>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</si>
  <si>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</si>
  <si>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</si>
  <si>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</si>
  <si>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</si>
  <si>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</si>
  <si>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</si>
  <si>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</si>
  <si>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</si>
  <si>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</si>
  <si>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</si>
  <si>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</si>
  <si>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</si>
  <si>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</si>
  <si>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</si>
  <si>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</si>
  <si>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</si>
  <si>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</si>
  <si>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</si>
  <si>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</si>
  <si>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</si>
  <si>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</si>
  <si>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</si>
  <si>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</si>
  <si>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</si>
  <si>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</si>
  <si>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</si>
  <si>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</si>
  <si>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</si>
  <si>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</si>
  <si>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</si>
  <si>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</si>
  <si>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</si>
  <si>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</si>
  <si>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</si>
  <si>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</si>
  <si>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</si>
  <si>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</si>
  <si>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</si>
  <si>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</si>
  <si>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</si>
  <si>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</si>
  <si>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</si>
  <si>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</si>
  <si>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</si>
  <si>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</si>
  <si>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</si>
  <si>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</si>
  <si>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</si>
  <si>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</si>
  <si>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</si>
  <si>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</si>
  <si>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</si>
  <si>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</si>
  <si>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</si>
  <si>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</si>
  <si>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</si>
  <si>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</si>
  <si>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</si>
  <si>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</si>
  <si>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</si>
  <si>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</si>
  <si>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</si>
  <si>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</si>
  <si>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</si>
  <si>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</si>
  <si>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</si>
  <si>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</si>
  <si>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</si>
  <si>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</si>
  <si>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</si>
  <si>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</si>
  <si>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</si>
  <si>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</si>
  <si>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</si>
  <si>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</si>
  <si>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</si>
  <si>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</si>
  <si>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</si>
  <si>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</si>
  <si>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</si>
  <si>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</si>
  <si>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</si>
  <si>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</si>
  <si>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</si>
  <si>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</si>
  <si>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</si>
  <si>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</si>
  <si>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</si>
  <si>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</si>
  <si>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</si>
  <si>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</si>
  <si>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</si>
  <si>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</si>
  <si>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</si>
  <si>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</si>
  <si>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</si>
  <si>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</si>
  <si>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</si>
  <si>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</si>
  <si>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</si>
  <si>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</si>
  <si>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</si>
  <si>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</si>
  <si>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</si>
  <si>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</si>
  <si>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</si>
  <si>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</si>
  <si>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</si>
  <si>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</si>
  <si>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</si>
  <si>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</si>
  <si>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</si>
  <si>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</si>
  <si>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</si>
  <si>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</si>
  <si>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</si>
  <si>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</si>
  <si>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</si>
  <si>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</si>
  <si>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</si>
  <si>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</si>
  <si>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</si>
  <si>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</si>
  <si>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</si>
  <si>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</si>
  <si>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</si>
  <si>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</si>
  <si>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</si>
  <si>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</si>
  <si>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</si>
  <si>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</si>
  <si>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</si>
  <si>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</si>
  <si>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</si>
  <si>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</si>
  <si>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</si>
  <si>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</si>
  <si>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</si>
  <si>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</si>
  <si>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</si>
  <si>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</si>
  <si>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</si>
  <si>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</si>
  <si>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</si>
  <si>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</si>
  <si>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</si>
  <si>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</si>
  <si>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</si>
  <si>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</si>
  <si>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</si>
  <si>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</si>
  <si>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</si>
  <si>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</si>
  <si>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</si>
  <si>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</si>
  <si>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</si>
  <si>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</si>
  <si>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</si>
  <si>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</si>
  <si>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</si>
  <si>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</si>
  <si>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</si>
  <si>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</si>
  <si>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</si>
  <si>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</si>
  <si>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</si>
  <si>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</si>
  <si>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</si>
  <si>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</si>
  <si>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</si>
  <si>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</si>
  <si>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</si>
  <si>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</si>
  <si>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</si>
  <si>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</si>
  <si>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</si>
  <si>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</si>
  <si>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</si>
  <si>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</si>
  <si>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</si>
  <si>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</si>
  <si>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</si>
  <si>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</si>
  <si>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</si>
  <si>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</si>
  <si>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</si>
  <si>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</si>
  <si>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</si>
  <si>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</si>
  <si>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</si>
  <si>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</si>
  <si>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</si>
  <si>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</si>
  <si>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</si>
  <si>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</si>
  <si>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</si>
  <si>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</si>
  <si>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</si>
  <si>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</si>
  <si>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</si>
  <si>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</si>
  <si>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</si>
  <si>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</si>
  <si>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</si>
  <si>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</si>
  <si>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</si>
  <si>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</si>
  <si>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</si>
  <si>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</si>
  <si>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</si>
  <si>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</si>
  <si>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</si>
  <si>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</si>
  <si>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</si>
  <si>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</si>
  <si>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</si>
  <si>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</si>
  <si>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</si>
  <si>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</si>
  <si>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</si>
  <si>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</si>
  <si>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</si>
  <si>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</si>
  <si>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</si>
  <si>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</si>
  <si>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</si>
  <si>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</si>
  <si>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</si>
  <si>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</si>
  <si>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</si>
  <si>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</si>
  <si>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</si>
  <si>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</si>
  <si>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</si>
  <si>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</si>
  <si>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</si>
  <si>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</si>
  <si>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</si>
  <si>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</si>
  <si>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</si>
  <si>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</si>
  <si>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</si>
  <si>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</si>
  <si>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</si>
  <si>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</si>
  <si>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</si>
  <si>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</si>
  <si>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</si>
  <si>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</si>
  <si>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</si>
  <si>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</si>
  <si>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</si>
  <si>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</si>
  <si>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</si>
  <si>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</si>
  <si>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</si>
  <si>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</si>
  <si>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</si>
  <si>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</si>
  <si>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</si>
  <si>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</si>
  <si>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</si>
  <si>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</si>
  <si>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</si>
  <si>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</si>
  <si>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</si>
  <si>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</si>
  <si>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</si>
  <si>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</si>
  <si>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</si>
  <si>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</si>
  <si>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</si>
  <si>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</si>
  <si>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</si>
  <si>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</si>
  <si>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</si>
  <si>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</si>
  <si>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</si>
  <si>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</si>
  <si>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</si>
  <si>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</si>
  <si>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</si>
  <si>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</si>
  <si>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</si>
  <si>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</si>
  <si>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</si>
  <si>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</si>
  <si>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</si>
  <si>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</si>
  <si>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</si>
  <si>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</si>
  <si>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</si>
  <si>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</si>
  <si>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</si>
  <si>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</si>
  <si>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</si>
  <si>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</si>
  <si>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</si>
  <si>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</si>
  <si>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</si>
  <si>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</si>
  <si>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</si>
  <si>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</si>
  <si>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</si>
  <si>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</si>
  <si>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</si>
  <si>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</si>
  <si>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</si>
  <si>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</si>
  <si>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</si>
  <si>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</si>
  <si>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</si>
  <si>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</si>
  <si>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</si>
  <si>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</si>
  <si>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</si>
  <si>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</si>
  <si>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</si>
  <si>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</si>
  <si>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</si>
  <si>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</si>
  <si>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</si>
  <si>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</si>
  <si>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</si>
  <si>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</si>
  <si>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</si>
  <si>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</si>
  <si>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</si>
  <si>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</si>
  <si>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</si>
  <si>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</si>
  <si>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</si>
  <si>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</si>
  <si>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</si>
  <si>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</si>
  <si>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</si>
  <si>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</si>
  <si>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</si>
  <si>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</si>
  <si>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</si>
  <si>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</si>
  <si>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</si>
  <si>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</si>
  <si>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</si>
  <si>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</si>
  <si>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</si>
  <si>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</si>
  <si>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</si>
  <si>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</si>
  <si>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</si>
  <si>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</si>
  <si>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</si>
  <si>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</si>
  <si>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</si>
  <si>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</si>
  <si>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</si>
  <si>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</si>
  <si>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</si>
  <si>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</si>
  <si>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</si>
  <si>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</si>
  <si>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</si>
  <si>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</si>
  <si>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</si>
  <si>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</si>
  <si>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</si>
  <si>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</si>
  <si>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</si>
  <si>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</si>
  <si>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</si>
  <si>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</si>
  <si>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</si>
  <si>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</si>
  <si>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</si>
  <si>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</si>
  <si>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</si>
  <si>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</si>
  <si>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</si>
  <si>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</si>
  <si>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</si>
  <si>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</si>
  <si>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</si>
  <si>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</si>
  <si>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</si>
  <si>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</si>
  <si>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</si>
  <si>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</si>
  <si>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</si>
  <si>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</si>
  <si>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</si>
  <si>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</si>
  <si>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</si>
  <si>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</si>
  <si>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</si>
  <si>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</si>
  <si>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</si>
  <si>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</si>
  <si>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</si>
  <si>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</si>
  <si>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</si>
  <si>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</si>
  <si>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</si>
  <si>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</si>
  <si>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</si>
  <si>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</si>
  <si>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</si>
  <si>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</si>
  <si>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</si>
  <si>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</si>
  <si>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</si>
  <si>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</si>
  <si>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</si>
  <si>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</si>
  <si>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</si>
  <si>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</si>
  <si>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</si>
  <si>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</si>
  <si>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</si>
  <si>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</si>
  <si>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</si>
  <si>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</si>
  <si>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</si>
  <si>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</si>
  <si>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</si>
  <si>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</si>
  <si>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</si>
  <si>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</si>
  <si>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</si>
  <si>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</si>
  <si>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</si>
  <si>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</si>
  <si>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</si>
  <si>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</si>
  <si>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</si>
  <si>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</si>
  <si>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</si>
  <si>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</si>
  <si>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</si>
  <si>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</si>
  <si>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</si>
  <si>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</si>
  <si>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</si>
  <si>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</si>
  <si>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</si>
  <si>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</si>
  <si>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</si>
  <si>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</si>
  <si>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</si>
  <si>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</si>
  <si>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</si>
  <si>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</si>
  <si>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</si>
  <si>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</si>
  <si>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</si>
  <si>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</si>
  <si>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</si>
  <si>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</si>
  <si>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</si>
  <si>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</si>
  <si>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</si>
  <si>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</si>
  <si>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</si>
  <si>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</si>
  <si>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</si>
  <si>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</si>
  <si>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</si>
  <si>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</si>
  <si>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</si>
  <si>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</si>
  <si>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</si>
  <si>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</si>
  <si>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</si>
  <si>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</si>
  <si>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</si>
  <si>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</si>
  <si>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</si>
  <si>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</si>
  <si>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</si>
  <si>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</si>
  <si>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</si>
  <si>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</si>
  <si>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</si>
  <si>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</si>
  <si>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</si>
  <si>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</si>
  <si>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</si>
  <si>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</si>
  <si>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</si>
  <si>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</si>
  <si>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</si>
  <si>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</si>
  <si>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</si>
  <si>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</si>
  <si>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</si>
  <si>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</si>
  <si>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</si>
  <si>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</si>
  <si>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</si>
  <si>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</si>
  <si>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</si>
  <si>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</si>
  <si>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</si>
  <si>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</si>
  <si>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</si>
  <si>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</si>
  <si>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</si>
  <si>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</si>
  <si>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</si>
  <si>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</si>
  <si>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</si>
  <si>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</si>
  <si>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</si>
  <si>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</si>
  <si>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</si>
  <si>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</si>
  <si>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</si>
  <si>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</si>
  <si>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</si>
  <si>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</si>
  <si>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</si>
  <si>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</si>
  <si>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</si>
  <si>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</si>
  <si>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</si>
  <si>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</si>
  <si>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</si>
  <si>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</si>
  <si>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</si>
  <si>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</si>
  <si>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</si>
  <si>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</si>
  <si>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</si>
  <si>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</si>
  <si>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</si>
  <si>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</si>
  <si>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V308</t>
  </si>
  <si>
    <t xml:space="preserve">Vascular ultrasound made simple</t>
  </si>
  <si>
    <t xml:space="preserve">https://www.youtube.com/watch?v=hbVxhOV6NFw</t>
  </si>
  <si>
    <t xml:space="preserve">V309</t>
  </si>
  <si>
    <t xml:space="preserve">Carotid Plaque Characterization</t>
  </si>
  <si>
    <t xml:space="preserve">https://www.youtube.com/watch?v=9pqoVZEEyrg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</si>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</sst>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hyperlink" Target="https://www.youtube.com/watch?v=hbVxhOV6NFw" TargetMode="External"/><Relationship Id="rId309" Type="http://schemas.openxmlformats.org/officeDocument/2006/relationships/hyperlink" Target="https://www.youtube.com/watch?v=9pqoVZEEyrg" TargetMode="External"/><Relationship Id="rId310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5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5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8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5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6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7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  <row r="309" customFormat="false" ht="23.25" hidden="false" customHeight="true" outlineLevel="0" collapsed="false">
      <c r="A309" s="7" t="s">
        <v>2187</v>
      </c>
      <c r="B309" s="7" t="s">
        <v>428</v>
      </c>
      <c r="C309" s="7"/>
      <c r="D309" s="7" t="str">
        <f aca="false">IFERROR(INDEX(Mundarija!$D:$D,MATCH(B309,Mundarija!$A:$A,0)),"kod topilmadi")</f>
        <v>25.1. Qon tomirlarning normal sonografik anatomiyasi.</v>
      </c>
      <c r="E309" s="7" t="s">
        <v>2188</v>
      </c>
      <c r="F309" s="12" t="s">
        <v>2189</v>
      </c>
      <c r="G309" s="7" t="s">
        <v>1073</v>
      </c>
      <c r="H309" s="7" t="s">
        <v>845</v>
      </c>
      <c r="I309" s="7" t="s">
        <v>812</v>
      </c>
      <c r="J309" s="7" t="s">
        <v>812</v>
      </c>
      <c r="K309" s="7" t="s">
        <v>813</v>
      </c>
      <c r="L309" s="7" t="s">
        <v>814</v>
      </c>
      <c r="M309" s="7" t="s">
        <v>847</v>
      </c>
      <c r="N309" s="13" t="s">
        <v>816</v>
      </c>
      <c r="O309" s="7" t="s">
        <v>817</v>
      </c>
      <c r="P309" s="7" t="s">
        <v>2</v>
      </c>
      <c r="Q309" s="7" t="s">
        <v>20</v>
      </c>
      <c r="R309" s="13"/>
      <c r="S309" s="13"/>
      <c r="T309" s="13"/>
      <c r="U309" s="13"/>
      <c r="V309" s="13"/>
      <c r="W309" s="13"/>
      <c r="X309" s="7" t="str">
        <f aca="false">IF(COUNT(R309:W309)=6,SUM(R309:W309),"ko‘rilmagan")</f>
        <v>ko‘rilmagan</v>
      </c>
      <c r="Y309" s="13"/>
    </row>
    <row r="310" customFormat="false" ht="23.25" hidden="false" customHeight="true" outlineLevel="0" collapsed="false">
      <c r="A310" s="7" t="s">
        <v>2190</v>
      </c>
      <c r="B310" s="7" t="s">
        <v>434</v>
      </c>
      <c r="C310" s="7"/>
      <c r="D310" s="7" t="str">
        <f aca="false">IFERROR(INDEX(Mundarija!$D:$D,MATCH(B310,Mundarija!$A:$A,0)),"kod topilmadi")</f>
        <v>25.3. Aterosklerotik blyashkalar, stenoz va okklyuziya.</v>
      </c>
      <c r="E310" s="7" t="s">
        <v>2191</v>
      </c>
      <c r="F310" s="12" t="s">
        <v>2192</v>
      </c>
      <c r="G310" s="7" t="s">
        <v>1618</v>
      </c>
      <c r="H310" s="7" t="s">
        <v>1619</v>
      </c>
      <c r="I310" s="7" t="s">
        <v>812</v>
      </c>
      <c r="J310" s="7" t="s">
        <v>812</v>
      </c>
      <c r="K310" s="7" t="s">
        <v>813</v>
      </c>
      <c r="L310" s="7" t="s">
        <v>839</v>
      </c>
      <c r="M310" s="7" t="s">
        <v>847</v>
      </c>
      <c r="N310" s="13" t="s">
        <v>816</v>
      </c>
      <c r="O310" s="7" t="s">
        <v>817</v>
      </c>
      <c r="P310" s="7" t="s">
        <v>2</v>
      </c>
      <c r="Q310" s="7" t="s">
        <v>20</v>
      </c>
      <c r="R310" s="13"/>
      <c r="S310" s="13"/>
      <c r="T310" s="13"/>
      <c r="U310" s="13"/>
      <c r="V310" s="13"/>
      <c r="W310" s="13"/>
      <c r="X310" s="7" t="str">
        <f aca="false">IF(COUNT(R310:W310)=6,SUM(R310:W310),"ko‘rilmagan")</f>
        <v>ko‘rilmagan</v>
      </c>
      <c r="Y310" s="13"/>
    </row>
  </sheetData>
  <autoFilter ref="A1:Y308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  <hyperlink ref="F309" r:id="rId308" display="https://www.youtube.com/watch?v=hbVxhOV6NFw"/>
    <hyperlink ref="F310" r:id="rId309" display="https://www.youtube.com/watch?v=9pqoVZEEy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2193</v>
      </c>
      <c r="C1" s="6" t="s">
        <v>2194</v>
      </c>
      <c r="D1" s="6" t="s">
        <v>2195</v>
      </c>
    </row>
    <row r="2" customFormat="false" ht="23.25" hidden="false" customHeight="true" outlineLevel="0" collapsed="false">
      <c r="A2" s="12" t="s">
        <v>2196</v>
      </c>
      <c r="B2" s="7" t="s">
        <v>2197</v>
      </c>
      <c r="C2" s="7" t="s">
        <v>2198</v>
      </c>
      <c r="D2" s="7" t="s">
        <v>2199</v>
      </c>
    </row>
    <row r="3" customFormat="false" ht="15" hidden="false" customHeight="true" outlineLevel="0" collapsed="false">
      <c r="A3" s="12" t="s">
        <v>2200</v>
      </c>
      <c r="B3" s="7" t="s">
        <v>2201</v>
      </c>
      <c r="C3" s="7" t="s">
        <v>2202</v>
      </c>
      <c r="D3" s="7" t="s">
        <v>2199</v>
      </c>
    </row>
    <row r="4" customFormat="false" ht="15" hidden="false" customHeight="true" outlineLevel="0" collapsed="false">
      <c r="A4" s="12" t="s">
        <v>2203</v>
      </c>
      <c r="B4" s="7" t="s">
        <v>2204</v>
      </c>
      <c r="C4" s="7" t="s">
        <v>2205</v>
      </c>
      <c r="D4" s="7" t="s">
        <v>2199</v>
      </c>
    </row>
    <row r="5" customFormat="false" ht="23.25" hidden="false" customHeight="true" outlineLevel="0" collapsed="false">
      <c r="A5" s="12" t="s">
        <v>2206</v>
      </c>
      <c r="B5" s="7" t="s">
        <v>2207</v>
      </c>
      <c r="C5" s="7" t="s">
        <v>2208</v>
      </c>
      <c r="D5" s="7" t="s">
        <v>2199</v>
      </c>
    </row>
    <row r="6" customFormat="false" ht="23.25" hidden="false" customHeight="true" outlineLevel="0" collapsed="false">
      <c r="A6" s="12" t="s">
        <v>2209</v>
      </c>
      <c r="B6" s="7" t="s">
        <v>2210</v>
      </c>
      <c r="C6" s="7" t="s">
        <v>2211</v>
      </c>
      <c r="D6" s="7" t="s">
        <v>2212</v>
      </c>
    </row>
    <row r="7" customFormat="false" ht="23.25" hidden="false" customHeight="true" outlineLevel="0" collapsed="false">
      <c r="A7" s="12" t="s">
        <v>2213</v>
      </c>
      <c r="B7" s="7" t="s">
        <v>2214</v>
      </c>
      <c r="C7" s="7" t="s">
        <v>2215</v>
      </c>
      <c r="D7" s="7" t="s">
        <v>2216</v>
      </c>
    </row>
    <row r="8" customFormat="false" ht="15" hidden="false" customHeight="true" outlineLevel="0" collapsed="false">
      <c r="A8" s="12" t="s">
        <v>2217</v>
      </c>
      <c r="B8" s="7" t="s">
        <v>2218</v>
      </c>
      <c r="C8" s="7" t="s">
        <v>2219</v>
      </c>
      <c r="D8" s="7" t="s">
        <v>2216</v>
      </c>
    </row>
    <row r="9" customFormat="false" ht="15" hidden="false" customHeight="true" outlineLevel="0" collapsed="false">
      <c r="A9" s="12" t="s">
        <v>2220</v>
      </c>
      <c r="B9" s="7" t="s">
        <v>2221</v>
      </c>
      <c r="C9" s="7" t="s">
        <v>2222</v>
      </c>
      <c r="D9" s="7" t="s">
        <v>2223</v>
      </c>
    </row>
    <row r="10" customFormat="false" ht="15" hidden="false" customHeight="true" outlineLevel="0" collapsed="false">
      <c r="A10" s="12" t="s">
        <v>2224</v>
      </c>
      <c r="B10" s="7" t="s">
        <v>2225</v>
      </c>
      <c r="C10" s="7" t="s">
        <v>2226</v>
      </c>
      <c r="D10" s="7" t="s">
        <v>2223</v>
      </c>
    </row>
    <row r="11" customFormat="false" ht="15" hidden="false" customHeight="true" outlineLevel="0" collapsed="false">
      <c r="A11" s="12" t="s">
        <v>2227</v>
      </c>
      <c r="B11" s="7" t="s">
        <v>2228</v>
      </c>
      <c r="C11" s="7" t="s">
        <v>2229</v>
      </c>
      <c r="D11" s="7" t="s">
        <v>2223</v>
      </c>
    </row>
    <row r="12" customFormat="false" ht="15" hidden="false" customHeight="true" outlineLevel="0" collapsed="false">
      <c r="A12" s="12" t="s">
        <v>2230</v>
      </c>
      <c r="B12" s="7" t="s">
        <v>2231</v>
      </c>
      <c r="C12" s="7" t="s">
        <v>2232</v>
      </c>
      <c r="D12" s="7" t="s">
        <v>2212</v>
      </c>
    </row>
    <row r="13" customFormat="false" ht="23.25" hidden="false" customHeight="true" outlineLevel="0" collapsed="false">
      <c r="A13" s="12" t="s">
        <v>2233</v>
      </c>
      <c r="B13" s="7" t="s">
        <v>2234</v>
      </c>
      <c r="C13" s="7" t="s">
        <v>2235</v>
      </c>
      <c r="D13" s="7" t="s">
        <v>2236</v>
      </c>
    </row>
    <row r="14" customFormat="false" ht="15" hidden="false" customHeight="true" outlineLevel="0" collapsed="false">
      <c r="A14" s="12" t="s">
        <v>2237</v>
      </c>
      <c r="B14" s="7" t="s">
        <v>2238</v>
      </c>
      <c r="C14" s="7" t="s">
        <v>2239</v>
      </c>
      <c r="D14" s="7" t="s">
        <v>2216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2240</v>
      </c>
      <c r="D15" s="7" t="s">
        <v>2241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2240</v>
      </c>
      <c r="D16" s="7" t="s">
        <v>2241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2240</v>
      </c>
      <c r="D17" s="7" t="s">
        <v>2241</v>
      </c>
    </row>
    <row r="18" customFormat="false" ht="15" hidden="false" customHeight="true" outlineLevel="0" collapsed="false">
      <c r="A18" s="12" t="s">
        <v>2242</v>
      </c>
      <c r="B18" s="7" t="s">
        <v>2243</v>
      </c>
      <c r="C18" s="7" t="s">
        <v>2222</v>
      </c>
      <c r="D18" s="7" t="s">
        <v>2223</v>
      </c>
    </row>
    <row r="19" customFormat="false" ht="15" hidden="false" customHeight="true" outlineLevel="0" collapsed="false">
      <c r="A19" s="12" t="s">
        <v>2244</v>
      </c>
      <c r="B19" s="7" t="s">
        <v>2245</v>
      </c>
      <c r="C19" s="7" t="s">
        <v>2226</v>
      </c>
      <c r="D19" s="7" t="s">
        <v>2223</v>
      </c>
    </row>
    <row r="20" customFormat="false" ht="23.25" hidden="false" customHeight="true" outlineLevel="0" collapsed="false">
      <c r="A20" s="12" t="s">
        <v>2246</v>
      </c>
      <c r="B20" s="7" t="s">
        <v>2247</v>
      </c>
      <c r="C20" s="7" t="s">
        <v>2248</v>
      </c>
      <c r="D20" s="7" t="s">
        <v>2216</v>
      </c>
    </row>
    <row r="21" customFormat="false" ht="23.25" hidden="false" customHeight="true" outlineLevel="0" collapsed="false">
      <c r="A21" s="12" t="s">
        <v>2249</v>
      </c>
      <c r="B21" s="7" t="s">
        <v>2250</v>
      </c>
      <c r="C21" s="7" t="s">
        <v>2251</v>
      </c>
      <c r="D21" s="7" t="s">
        <v>2216</v>
      </c>
    </row>
    <row r="22" customFormat="false" ht="15" hidden="false" customHeight="true" outlineLevel="0" collapsed="false">
      <c r="A22" s="12" t="s">
        <v>2252</v>
      </c>
      <c r="B22" s="7" t="s">
        <v>2253</v>
      </c>
      <c r="C22" s="7" t="s">
        <v>2254</v>
      </c>
      <c r="D22" s="7" t="s">
        <v>2223</v>
      </c>
    </row>
    <row r="23" customFormat="false" ht="23.25" hidden="false" customHeight="true" outlineLevel="0" collapsed="false">
      <c r="A23" s="12" t="s">
        <v>2255</v>
      </c>
      <c r="B23" s="7" t="s">
        <v>2256</v>
      </c>
      <c r="C23" s="7" t="s">
        <v>2254</v>
      </c>
      <c r="D23" s="7" t="s">
        <v>2223</v>
      </c>
    </row>
    <row r="24" customFormat="false" ht="15" hidden="false" customHeight="true" outlineLevel="0" collapsed="false">
      <c r="A24" s="12" t="s">
        <v>2257</v>
      </c>
      <c r="B24" s="7" t="s">
        <v>2258</v>
      </c>
      <c r="C24" s="7" t="s">
        <v>2254</v>
      </c>
      <c r="D24" s="7" t="s">
        <v>2223</v>
      </c>
    </row>
    <row r="25" customFormat="false" ht="15" hidden="false" customHeight="true" outlineLevel="0" collapsed="false">
      <c r="A25" s="12" t="s">
        <v>2259</v>
      </c>
      <c r="B25" s="7" t="s">
        <v>2260</v>
      </c>
      <c r="C25" s="7" t="s">
        <v>2261</v>
      </c>
      <c r="D25" s="7" t="s">
        <v>2223</v>
      </c>
    </row>
    <row r="26" customFormat="false" ht="15" hidden="false" customHeight="true" outlineLevel="0" collapsed="false">
      <c r="A26" s="12" t="s">
        <v>2262</v>
      </c>
      <c r="B26" s="7" t="s">
        <v>2263</v>
      </c>
      <c r="C26" s="7" t="s">
        <v>2264</v>
      </c>
      <c r="D26" s="7" t="s">
        <v>2223</v>
      </c>
    </row>
    <row r="27" customFormat="false" ht="15" hidden="false" customHeight="true" outlineLevel="0" collapsed="false">
      <c r="A27" s="12" t="s">
        <v>2265</v>
      </c>
      <c r="B27" s="7" t="s">
        <v>2266</v>
      </c>
      <c r="C27" s="7" t="s">
        <v>2267</v>
      </c>
      <c r="D27" s="7" t="s">
        <v>2216</v>
      </c>
    </row>
    <row r="28" customFormat="false" ht="15" hidden="false" customHeight="true" outlineLevel="0" collapsed="false">
      <c r="A28" s="12" t="s">
        <v>2268</v>
      </c>
      <c r="B28" s="7" t="s">
        <v>2269</v>
      </c>
      <c r="C28" s="7" t="s">
        <v>2270</v>
      </c>
      <c r="D28" s="7" t="s">
        <v>2216</v>
      </c>
    </row>
    <row r="29" customFormat="false" ht="15" hidden="false" customHeight="true" outlineLevel="0" collapsed="false">
      <c r="A29" s="12" t="s">
        <v>2271</v>
      </c>
      <c r="B29" s="7" t="s">
        <v>2272</v>
      </c>
      <c r="C29" s="7" t="s">
        <v>2273</v>
      </c>
      <c r="D29" s="7" t="s">
        <v>2216</v>
      </c>
    </row>
    <row r="30" customFormat="false" ht="15" hidden="false" customHeight="true" outlineLevel="0" collapsed="false">
      <c r="A30" s="12" t="s">
        <v>2274</v>
      </c>
      <c r="B30" s="7" t="s">
        <v>2275</v>
      </c>
      <c r="C30" s="7" t="s">
        <v>2261</v>
      </c>
      <c r="D30" s="7" t="s">
        <v>2223</v>
      </c>
    </row>
    <row r="31" customFormat="false" ht="15" hidden="false" customHeight="true" outlineLevel="0" collapsed="false">
      <c r="A31" s="12" t="s">
        <v>2276</v>
      </c>
      <c r="B31" s="7" t="s">
        <v>2277</v>
      </c>
      <c r="C31" s="7" t="s">
        <v>2254</v>
      </c>
      <c r="D31" s="7" t="s">
        <v>2223</v>
      </c>
    </row>
    <row r="32" customFormat="false" ht="15" hidden="false" customHeight="true" outlineLevel="0" collapsed="false">
      <c r="A32" s="12" t="s">
        <v>2278</v>
      </c>
      <c r="B32" s="7" t="s">
        <v>2279</v>
      </c>
      <c r="C32" s="7" t="s">
        <v>2254</v>
      </c>
      <c r="D32" s="7" t="s">
        <v>2223</v>
      </c>
    </row>
    <row r="33" customFormat="false" ht="15" hidden="false" customHeight="true" outlineLevel="0" collapsed="false">
      <c r="A33" s="12" t="s">
        <v>2280</v>
      </c>
      <c r="B33" s="7" t="s">
        <v>2281</v>
      </c>
      <c r="C33" s="7" t="s">
        <v>2261</v>
      </c>
      <c r="D33" s="7" t="s">
        <v>2223</v>
      </c>
    </row>
    <row r="34" customFormat="false" ht="15" hidden="false" customHeight="true" outlineLevel="0" collapsed="false">
      <c r="A34" s="12" t="s">
        <v>2282</v>
      </c>
      <c r="B34" s="7" t="s">
        <v>2283</v>
      </c>
      <c r="C34" s="7" t="s">
        <v>2254</v>
      </c>
      <c r="D34" s="7" t="s">
        <v>2223</v>
      </c>
    </row>
    <row r="35" customFormat="false" ht="23.25" hidden="false" customHeight="true" outlineLevel="0" collapsed="false">
      <c r="A35" s="12" t="s">
        <v>2284</v>
      </c>
      <c r="B35" s="7" t="s">
        <v>2285</v>
      </c>
      <c r="C35" s="7" t="s">
        <v>2261</v>
      </c>
      <c r="D35" s="7" t="s">
        <v>2223</v>
      </c>
    </row>
    <row r="36" customFormat="false" ht="15" hidden="false" customHeight="true" outlineLevel="0" collapsed="false">
      <c r="A36" s="12" t="s">
        <v>2286</v>
      </c>
      <c r="B36" s="7" t="s">
        <v>2287</v>
      </c>
      <c r="C36" s="7" t="s">
        <v>2261</v>
      </c>
      <c r="D36" s="7" t="s">
        <v>2223</v>
      </c>
    </row>
    <row r="37" customFormat="false" ht="15" hidden="false" customHeight="true" outlineLevel="0" collapsed="false">
      <c r="A37" s="12" t="s">
        <v>2288</v>
      </c>
      <c r="B37" s="7" t="s">
        <v>2289</v>
      </c>
      <c r="C37" s="7" t="s">
        <v>2261</v>
      </c>
      <c r="D37" s="7" t="s">
        <v>2223</v>
      </c>
    </row>
    <row r="38" customFormat="false" ht="15" hidden="false" customHeight="true" outlineLevel="0" collapsed="false">
      <c r="A38" s="12" t="s">
        <v>2290</v>
      </c>
      <c r="B38" s="7" t="s">
        <v>2291</v>
      </c>
      <c r="C38" s="7" t="s">
        <v>2264</v>
      </c>
      <c r="D38" s="7" t="s">
        <v>2223</v>
      </c>
    </row>
    <row r="39" customFormat="false" ht="15" hidden="false" customHeight="true" outlineLevel="0" collapsed="false">
      <c r="A39" s="12" t="s">
        <v>2292</v>
      </c>
      <c r="B39" s="7" t="s">
        <v>2293</v>
      </c>
      <c r="C39" s="7" t="s">
        <v>2294</v>
      </c>
      <c r="D39" s="7" t="s">
        <v>2216</v>
      </c>
    </row>
    <row r="40" customFormat="false" ht="15" hidden="false" customHeight="true" outlineLevel="0" collapsed="false">
      <c r="A40" s="12" t="s">
        <v>2295</v>
      </c>
      <c r="B40" s="7" t="s">
        <v>2296</v>
      </c>
      <c r="C40" s="7" t="s">
        <v>2297</v>
      </c>
      <c r="D40" s="7" t="s">
        <v>2216</v>
      </c>
    </row>
    <row r="41" customFormat="false" ht="15" hidden="false" customHeight="true" outlineLevel="0" collapsed="false">
      <c r="A41" s="12" t="s">
        <v>2298</v>
      </c>
      <c r="B41" s="7" t="s">
        <v>2299</v>
      </c>
      <c r="C41" s="7" t="s">
        <v>2254</v>
      </c>
      <c r="D41" s="7" t="s">
        <v>2223</v>
      </c>
    </row>
    <row r="42" customFormat="false" ht="15" hidden="false" customHeight="true" outlineLevel="0" collapsed="false">
      <c r="A42" s="12" t="s">
        <v>2300</v>
      </c>
      <c r="B42" s="7" t="s">
        <v>2188</v>
      </c>
      <c r="C42" s="7" t="s">
        <v>2301</v>
      </c>
      <c r="D42" s="7" t="s">
        <v>2216</v>
      </c>
    </row>
    <row r="43" customFormat="false" ht="15" hidden="false" customHeight="true" outlineLevel="0" collapsed="false">
      <c r="A43" s="12" t="s">
        <v>2302</v>
      </c>
      <c r="B43" s="7" t="s">
        <v>2303</v>
      </c>
      <c r="C43" s="7" t="s">
        <v>2301</v>
      </c>
      <c r="D43" s="7" t="s">
        <v>2216</v>
      </c>
    </row>
    <row r="44" customFormat="false" ht="23.25" hidden="false" customHeight="true" outlineLevel="0" collapsed="false">
      <c r="A44" s="12" t="s">
        <v>2304</v>
      </c>
      <c r="B44" s="7" t="s">
        <v>2305</v>
      </c>
      <c r="C44" s="7" t="s">
        <v>2301</v>
      </c>
      <c r="D44" s="7" t="s">
        <v>2216</v>
      </c>
    </row>
    <row r="45" customFormat="false" ht="15" hidden="false" customHeight="true" outlineLevel="0" collapsed="false">
      <c r="A45" s="12" t="s">
        <v>2306</v>
      </c>
      <c r="B45" s="7" t="s">
        <v>2307</v>
      </c>
      <c r="C45" s="7" t="s">
        <v>2301</v>
      </c>
      <c r="D45" s="7" t="s">
        <v>2216</v>
      </c>
    </row>
    <row r="46" customFormat="false" ht="15" hidden="false" customHeight="true" outlineLevel="0" collapsed="false">
      <c r="A46" s="12" t="s">
        <v>2308</v>
      </c>
      <c r="B46" s="7" t="s">
        <v>2309</v>
      </c>
      <c r="C46" s="7" t="s">
        <v>2301</v>
      </c>
      <c r="D46" s="7" t="s">
        <v>2216</v>
      </c>
    </row>
    <row r="47" customFormat="false" ht="15" hidden="false" customHeight="true" outlineLevel="0" collapsed="false">
      <c r="A47" s="12" t="s">
        <v>2310</v>
      </c>
      <c r="B47" s="7" t="s">
        <v>2311</v>
      </c>
      <c r="C47" s="7" t="s">
        <v>2301</v>
      </c>
      <c r="D47" s="7" t="s">
        <v>2216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2312</v>
      </c>
      <c r="D1" s="6" t="s">
        <v>2313</v>
      </c>
      <c r="E1" s="6" t="s">
        <v>2314</v>
      </c>
      <c r="F1" s="6" t="s">
        <v>2315</v>
      </c>
      <c r="G1" s="6" t="s">
        <v>2316</v>
      </c>
      <c r="H1" s="6" t="s">
        <v>2236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2317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2318</v>
      </c>
    </row>
    <row r="38" customFormat="false" ht="15" hidden="false" customHeight="true" outlineLevel="0" collapsed="false">
      <c r="A38" s="11" t="s">
        <v>2319</v>
      </c>
      <c r="B38" s="11" t="s">
        <v>2320</v>
      </c>
      <c r="C38" s="11" t="s">
        <v>2321</v>
      </c>
    </row>
    <row r="39" customFormat="false" ht="23.25" hidden="false" customHeight="true" outlineLevel="0" collapsed="false">
      <c r="A39" s="7" t="s">
        <v>2322</v>
      </c>
      <c r="B39" s="7" t="s">
        <v>2323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2324</v>
      </c>
      <c r="B40" s="7" t="s">
        <v>2325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2326</v>
      </c>
      <c r="B41" s="7" t="s">
        <v>2327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2328</v>
      </c>
      <c r="B42" s="7" t="s">
        <v>2329</v>
      </c>
      <c r="C42" s="16" t="n">
        <f aca="false">(COUNTIF(Katalog!$Q$2:$Q$310,"Havola tekshirilgan*")+COUNTIF(Katalog!$Q$2:$Q$310,"Metadata tekshirilgan*"))/COUNTA(Katalog!$A$2:$A$310)</f>
        <v>0.990291262135922</v>
      </c>
    </row>
    <row r="43" customFormat="false" ht="23.25" hidden="false" customHeight="true" outlineLevel="0" collapsed="false">
      <c r="A43" s="7" t="s">
        <v>2330</v>
      </c>
      <c r="B43" s="7" t="s">
        <v>2331</v>
      </c>
      <c r="C43" s="16" t="n">
        <f aca="false">COUNT(Katalog!$X$2:$X$310)/COUNTA(Katalog!$A$2:$A$310)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2332</v>
      </c>
      <c r="B1" s="6" t="s">
        <v>2333</v>
      </c>
      <c r="C1" s="6" t="s">
        <v>2334</v>
      </c>
      <c r="D1" s="6" t="s">
        <v>41</v>
      </c>
      <c r="E1" s="6" t="s">
        <v>2335</v>
      </c>
    </row>
    <row r="2" customFormat="false" ht="23.25" hidden="false" customHeight="true" outlineLevel="0" collapsed="false">
      <c r="A2" s="7" t="s">
        <v>2336</v>
      </c>
      <c r="B2" s="7" t="s">
        <v>2337</v>
      </c>
      <c r="C2" s="7" t="s">
        <v>2338</v>
      </c>
      <c r="D2" s="7" t="s">
        <v>2339</v>
      </c>
      <c r="E2" s="7" t="s">
        <v>2340</v>
      </c>
    </row>
    <row r="3" customFormat="false" ht="23.25" hidden="false" customHeight="true" outlineLevel="0" collapsed="false">
      <c r="A3" s="7" t="s">
        <v>2341</v>
      </c>
      <c r="B3" s="7" t="s">
        <v>2342</v>
      </c>
      <c r="C3" s="7" t="s">
        <v>2343</v>
      </c>
      <c r="D3" s="7" t="s">
        <v>2344</v>
      </c>
      <c r="E3" s="7" t="s">
        <v>2345</v>
      </c>
    </row>
    <row r="4" customFormat="false" ht="34.5" hidden="false" customHeight="true" outlineLevel="0" collapsed="false">
      <c r="A4" s="7" t="s">
        <v>2346</v>
      </c>
      <c r="B4" s="7" t="s">
        <v>2347</v>
      </c>
      <c r="C4" s="7" t="s">
        <v>2348</v>
      </c>
      <c r="D4" s="7" t="s">
        <v>2349</v>
      </c>
      <c r="E4" s="7" t="s">
        <v>2350</v>
      </c>
    </row>
    <row r="5" customFormat="false" ht="23.25" hidden="false" customHeight="true" outlineLevel="0" collapsed="false">
      <c r="A5" s="7" t="s">
        <v>2351</v>
      </c>
      <c r="B5" s="7" t="s">
        <v>2352</v>
      </c>
      <c r="C5" s="7" t="s">
        <v>2353</v>
      </c>
      <c r="D5" s="7" t="s">
        <v>2349</v>
      </c>
      <c r="E5" s="7" t="s">
        <v>2354</v>
      </c>
    </row>
    <row r="6" customFormat="false" ht="23.25" hidden="false" customHeight="true" outlineLevel="0" collapsed="false">
      <c r="A6" s="7" t="s">
        <v>2355</v>
      </c>
      <c r="B6" s="7" t="s">
        <v>2356</v>
      </c>
      <c r="C6" s="7" t="s">
        <v>2357</v>
      </c>
      <c r="D6" s="7" t="s">
        <v>2349</v>
      </c>
      <c r="E6" s="7" t="s">
        <v>2358</v>
      </c>
    </row>
    <row r="7" customFormat="false" ht="23.25" hidden="false" customHeight="true" outlineLevel="0" collapsed="false">
      <c r="A7" s="7" t="s">
        <v>2359</v>
      </c>
      <c r="B7" s="7" t="s">
        <v>2360</v>
      </c>
      <c r="C7" s="7" t="s">
        <v>2361</v>
      </c>
      <c r="D7" s="7" t="s">
        <v>2349</v>
      </c>
      <c r="E7" s="7" t="s">
        <v>2362</v>
      </c>
    </row>
    <row r="8" customFormat="false" ht="23.25" hidden="false" customHeight="true" outlineLevel="0" collapsed="false">
      <c r="A8" s="7" t="s">
        <v>2363</v>
      </c>
      <c r="B8" s="7" t="s">
        <v>2364</v>
      </c>
      <c r="C8" s="7" t="s">
        <v>2365</v>
      </c>
      <c r="D8" s="7" t="s">
        <v>2366</v>
      </c>
      <c r="E8" s="7" t="s">
        <v>2367</v>
      </c>
    </row>
    <row r="9" customFormat="false" ht="23.25" hidden="false" customHeight="true" outlineLevel="0" collapsed="false">
      <c r="A9" s="7" t="s">
        <v>2368</v>
      </c>
      <c r="B9" s="7" t="s">
        <v>2369</v>
      </c>
      <c r="C9" s="7" t="s">
        <v>2370</v>
      </c>
      <c r="D9" s="7" t="s">
        <v>2371</v>
      </c>
      <c r="E9" s="7" t="s">
        <v>2372</v>
      </c>
    </row>
    <row r="11" customFormat="false" ht="15" hidden="false" customHeight="true" outlineLevel="0" collapsed="false">
      <c r="A11" s="10" t="s">
        <v>2373</v>
      </c>
    </row>
    <row r="12" customFormat="false" ht="15" hidden="false" customHeight="true" outlineLevel="0" collapsed="false">
      <c r="A12" s="11" t="s">
        <v>2374</v>
      </c>
      <c r="B12" s="11" t="s">
        <v>2375</v>
      </c>
      <c r="C12" s="11" t="s">
        <v>2194</v>
      </c>
      <c r="D12" s="11" t="s">
        <v>2376</v>
      </c>
    </row>
    <row r="13" customFormat="false" ht="15" hidden="false" customHeight="true" outlineLevel="0" collapsed="false">
      <c r="A13" s="7" t="s">
        <v>2377</v>
      </c>
      <c r="B13" s="7" t="s">
        <v>2378</v>
      </c>
      <c r="C13" s="7" t="s">
        <v>2379</v>
      </c>
      <c r="D13" s="7" t="s">
        <v>2380</v>
      </c>
    </row>
    <row r="14" customFormat="false" ht="34.5" hidden="false" customHeight="true" outlineLevel="0" collapsed="false">
      <c r="A14" s="7" t="s">
        <v>2377</v>
      </c>
      <c r="B14" s="7" t="s">
        <v>2381</v>
      </c>
      <c r="C14" s="7" t="s">
        <v>2382</v>
      </c>
      <c r="D14" s="7" t="s">
        <v>2383</v>
      </c>
    </row>
    <row r="15" customFormat="false" ht="23.25" hidden="false" customHeight="true" outlineLevel="0" collapsed="false">
      <c r="A15" s="7" t="s">
        <v>2377</v>
      </c>
      <c r="B15" s="7" t="s">
        <v>2384</v>
      </c>
      <c r="C15" s="7" t="s">
        <v>2385</v>
      </c>
      <c r="D15" s="7" t="s">
        <v>2386</v>
      </c>
    </row>
    <row r="16" customFormat="false" ht="23.25" hidden="false" customHeight="true" outlineLevel="0" collapsed="false">
      <c r="A16" s="7" t="s">
        <v>2377</v>
      </c>
      <c r="B16" s="7" t="s">
        <v>2387</v>
      </c>
      <c r="C16" s="7" t="s">
        <v>2388</v>
      </c>
      <c r="D16" s="7" t="s">
        <v>2389</v>
      </c>
    </row>
    <row r="17" customFormat="false" ht="23.25" hidden="false" customHeight="true" outlineLevel="0" collapsed="false">
      <c r="A17" s="7" t="s">
        <v>2377</v>
      </c>
      <c r="B17" s="7" t="s">
        <v>2390</v>
      </c>
      <c r="C17" s="7" t="s">
        <v>2391</v>
      </c>
      <c r="D17" s="7" t="s">
        <v>2392</v>
      </c>
    </row>
    <row r="18" customFormat="false" ht="23.25" hidden="false" customHeight="true" outlineLevel="0" collapsed="false">
      <c r="A18" s="7" t="s">
        <v>2377</v>
      </c>
      <c r="B18" s="7" t="s">
        <v>2393</v>
      </c>
      <c r="C18" s="7" t="s">
        <v>2394</v>
      </c>
      <c r="D18" s="7" t="s">
        <v>2395</v>
      </c>
    </row>
    <row r="19" customFormat="false" ht="34.5" hidden="false" customHeight="true" outlineLevel="0" collapsed="false">
      <c r="A19" s="7" t="s">
        <v>2396</v>
      </c>
      <c r="B19" s="7" t="s">
        <v>95</v>
      </c>
      <c r="C19" s="7" t="s">
        <v>2397</v>
      </c>
      <c r="D19" s="7" t="s">
        <v>2398</v>
      </c>
    </row>
    <row r="20" customFormat="false" ht="15" hidden="false" customHeight="true" outlineLevel="0" collapsed="false">
      <c r="A20" s="7" t="s">
        <v>2399</v>
      </c>
      <c r="B20" s="7" t="s">
        <v>63</v>
      </c>
      <c r="C20" s="7" t="s">
        <v>2400</v>
      </c>
      <c r="D20" s="7" t="s">
        <v>2401</v>
      </c>
    </row>
    <row r="21" customFormat="false" ht="34.5" hidden="false" customHeight="true" outlineLevel="0" collapsed="false">
      <c r="A21" s="7" t="s">
        <v>2399</v>
      </c>
      <c r="B21" s="7" t="s">
        <v>68</v>
      </c>
      <c r="C21" s="7" t="s">
        <v>2402</v>
      </c>
      <c r="D21" s="7" t="s">
        <v>2403</v>
      </c>
    </row>
    <row r="22" customFormat="false" ht="23.25" hidden="false" customHeight="true" outlineLevel="0" collapsed="false">
      <c r="A22" s="7" t="s">
        <v>2399</v>
      </c>
      <c r="B22" s="7" t="s">
        <v>2404</v>
      </c>
      <c r="C22" s="7" t="s">
        <v>2405</v>
      </c>
      <c r="D22" s="7" t="s">
        <v>2406</v>
      </c>
    </row>
    <row r="23" customFormat="false" ht="23.25" hidden="false" customHeight="true" outlineLevel="0" collapsed="false">
      <c r="A23" s="7" t="s">
        <v>2399</v>
      </c>
      <c r="B23" s="7" t="s">
        <v>2407</v>
      </c>
      <c r="C23" s="7" t="s">
        <v>2408</v>
      </c>
      <c r="D23" s="7" t="s">
        <v>2409</v>
      </c>
    </row>
    <row r="24" customFormat="false" ht="23.25" hidden="false" customHeight="true" outlineLevel="0" collapsed="false">
      <c r="A24" s="7" t="s">
        <v>2315</v>
      </c>
      <c r="B24" s="7" t="s">
        <v>185</v>
      </c>
      <c r="C24" s="7" t="s">
        <v>2410</v>
      </c>
      <c r="D24" s="7" t="s">
        <v>2411</v>
      </c>
    </row>
    <row r="25" customFormat="false" ht="23.25" hidden="false" customHeight="true" outlineLevel="0" collapsed="false">
      <c r="A25" s="7" t="s">
        <v>2315</v>
      </c>
      <c r="B25" s="7" t="s">
        <v>201</v>
      </c>
      <c r="C25" s="7" t="s">
        <v>2412</v>
      </c>
      <c r="D25" s="7" t="s">
        <v>2413</v>
      </c>
    </row>
    <row r="26" customFormat="false" ht="15" hidden="false" customHeight="true" outlineLevel="0" collapsed="false">
      <c r="A26" s="7" t="s">
        <v>2315</v>
      </c>
      <c r="B26" s="7" t="s">
        <v>354</v>
      </c>
      <c r="C26" s="7" t="s">
        <v>2414</v>
      </c>
      <c r="D26" s="7" t="s">
        <v>2415</v>
      </c>
    </row>
    <row r="27" customFormat="false" ht="34.5" hidden="false" customHeight="true" outlineLevel="0" collapsed="false">
      <c r="A27" s="7" t="s">
        <v>2416</v>
      </c>
      <c r="B27" s="7" t="s">
        <v>482</v>
      </c>
      <c r="C27" s="7" t="s">
        <v>2417</v>
      </c>
      <c r="D27" s="7" t="s">
        <v>2418</v>
      </c>
    </row>
    <row r="29" customFormat="false" ht="15" hidden="false" customHeight="true" outlineLevel="0" collapsed="false">
      <c r="A29" s="10" t="s">
        <v>2419</v>
      </c>
    </row>
    <row r="30" customFormat="false" ht="15" hidden="false" customHeight="true" outlineLevel="0" collapsed="false">
      <c r="A30" s="11" t="s">
        <v>2420</v>
      </c>
      <c r="B30" s="11" t="s">
        <v>2421</v>
      </c>
      <c r="C30" s="11" t="s">
        <v>2422</v>
      </c>
      <c r="D30" s="11" t="s">
        <v>41</v>
      </c>
    </row>
    <row r="31" customFormat="false" ht="45.75" hidden="false" customHeight="true" outlineLevel="0" collapsed="false">
      <c r="A31" s="7" t="s">
        <v>2423</v>
      </c>
      <c r="B31" s="7" t="s">
        <v>2424</v>
      </c>
      <c r="C31" s="7" t="s">
        <v>2425</v>
      </c>
      <c r="D31" s="7" t="s">
        <v>2426</v>
      </c>
    </row>
    <row r="32" customFormat="false" ht="23.25" hidden="false" customHeight="true" outlineLevel="0" collapsed="false">
      <c r="A32" s="7" t="s">
        <v>2427</v>
      </c>
      <c r="B32" s="7" t="s">
        <v>2428</v>
      </c>
      <c r="C32" s="7" t="s">
        <v>2429</v>
      </c>
      <c r="D32" s="7" t="s">
        <v>2426</v>
      </c>
    </row>
    <row r="33" customFormat="false" ht="34.5" hidden="false" customHeight="true" outlineLevel="0" collapsed="false">
      <c r="A33" s="7" t="s">
        <v>2430</v>
      </c>
      <c r="B33" s="7" t="s">
        <v>2431</v>
      </c>
      <c r="C33" s="7" t="s">
        <v>2432</v>
      </c>
      <c r="D33" s="7" t="s">
        <v>2433</v>
      </c>
    </row>
    <row r="34" customFormat="false" ht="23.25" hidden="false" customHeight="true" outlineLevel="0" collapsed="false">
      <c r="A34" s="7" t="s">
        <v>2434</v>
      </c>
      <c r="B34" s="7" t="s">
        <v>2435</v>
      </c>
      <c r="C34" s="7" t="s">
        <v>2436</v>
      </c>
      <c r="D34" s="7" t="s">
        <v>2437</v>
      </c>
    </row>
    <row r="35" customFormat="false" ht="23.25" hidden="false" customHeight="true" outlineLevel="0" collapsed="false">
      <c r="A35" s="7" t="s">
        <v>2438</v>
      </c>
      <c r="B35" s="7" t="s">
        <v>2439</v>
      </c>
      <c r="C35" s="7" t="s">
        <v>2440</v>
      </c>
      <c r="D35" s="7" t="s">
        <v>2441</v>
      </c>
    </row>
    <row r="36" customFormat="false" ht="34.5" hidden="false" customHeight="true" outlineLevel="0" collapsed="false">
      <c r="A36" s="7" t="s">
        <v>2442</v>
      </c>
      <c r="B36" s="7" t="s">
        <v>2443</v>
      </c>
      <c r="C36" s="7" t="s">
        <v>2444</v>
      </c>
      <c r="D36" s="7" t="s">
        <v>2445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2026-10-17T11:04:15Z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