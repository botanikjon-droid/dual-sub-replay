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Katalog!$A$1:$Y$312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<sst xmlns="http://schemas.openxmlformats.org/spreadsheetml/2006/main" count="7133" uniqueCount="2453">
  <si>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</si>
  <si>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</si>
  <si>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</si>
  <si>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</si>
  <si>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</si>
  <si>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</si>
  <si>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</si>
  <si>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</si>
  <si>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</si>
  <si>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</si>
  <si>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</si>
  <si>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</si>
  <si>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</si>
  <si>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</si>
  <si>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</si>
  <si>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</si>
  <si>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</si>
  <si>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</si>
  <si>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</si>
  <si>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</si>
  <si>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</si>
  <si>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</si>
  <si>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</si>
  <si>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</si>
  <si>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</si>
  <si>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</si>
  <si>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</si>
  <si>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</si>
  <si>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</si>
  <si>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</si>
  <si>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</si>
  <si>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</si>
  <si>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</si>
  <si>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</si>
  <si>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</si>
  <si>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</si>
  <si>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</si>
  <si>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</si>
  <si>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</si>
  <si>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</si>
  <si>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</si>
  <si>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</si>
  <si>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</si>
  <si>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</si>
  <si>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</si>
  <si>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</si>
  <si>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</si>
  <si>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</si>
  <si>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</si>
  <si>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</si>
  <si>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</si>
  <si>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</si>
  <si>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</si>
  <si>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</si>
  <si>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</si>
  <si>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</si>
  <si>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</si>
  <si>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</si>
  <si>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</si>
  <si>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</si>
  <si>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</si>
  <si>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</si>
  <si>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</si>
  <si>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</si>
  <si>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</si>
  <si>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</si>
  <si>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</si>
  <si>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</si>
  <si>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</si>
  <si>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</si>
  <si>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</si>
  <si>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</si>
  <si>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</si>
  <si>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</si>
  <si>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</si>
  <si>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</si>
  <si>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</si>
  <si>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</si>
  <si>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</si>
  <si>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</si>
  <si>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</si>
  <si>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</si>
  <si>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</si>
  <si>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</si>
  <si>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</si>
  <si>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</si>
  <si>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</si>
  <si>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</si>
  <si>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</si>
  <si>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</si>
  <si>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</si>
  <si>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</si>
  <si>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</si>
  <si>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</si>
  <si>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</si>
  <si>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</si>
  <si>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</si>
  <si>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</si>
  <si>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</si>
  <si>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</si>
  <si>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</si>
  <si>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</si>
  <si>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</si>
  <si>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</si>
  <si>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</si>
  <si>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</si>
  <si>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</si>
  <si>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</si>
  <si>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</si>
  <si>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</si>
  <si>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</si>
  <si>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</si>
  <si>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</si>
  <si>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</si>
  <si>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</si>
  <si>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</si>
  <si>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</si>
  <si>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</si>
  <si>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</si>
  <si>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</si>
  <si>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</si>
  <si>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</si>
  <si>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</si>
  <si>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</si>
  <si>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</si>
  <si>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</si>
  <si>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</si>
  <si>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</si>
  <si>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</si>
  <si>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</si>
  <si>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</si>
  <si>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</si>
  <si>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</si>
  <si>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</si>
  <si>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</si>
  <si>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</si>
  <si>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</si>
  <si>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</si>
  <si>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</si>
  <si>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</si>
  <si>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</si>
  <si>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</si>
  <si>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</si>
  <si>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</si>
  <si>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</si>
  <si>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</si>
  <si>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</si>
  <si>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</si>
  <si>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</si>
  <si>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</si>
  <si>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</si>
  <si>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</si>
  <si>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</si>
  <si>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</si>
  <si>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</si>
  <si>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</si>
  <si>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</si>
  <si>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</si>
  <si>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</si>
  <si>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</si>
  <si>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</si>
  <si>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</si>
  <si>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</si>
  <si>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</si>
  <si>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</si>
  <si>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</si>
  <si>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</si>
  <si>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</si>
  <si>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</si>
  <si>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</si>
  <si>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</si>
  <si>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</si>
  <si>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</si>
  <si>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</si>
  <si>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</si>
  <si>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</si>
  <si>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</si>
  <si>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</si>
  <si>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</si>
  <si>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</si>
  <si>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</si>
  <si>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</si>
  <si>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</si>
  <si>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</si>
  <si>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</si>
  <si>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</si>
  <si>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</si>
  <si>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</si>
  <si>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</si>
  <si>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</si>
  <si>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</si>
  <si>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</si>
  <si>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</si>
  <si>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</si>
  <si>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</si>
  <si>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</si>
  <si>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</si>
  <si>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</si>
  <si>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</si>
  <si>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</si>
  <si>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</si>
  <si>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</si>
  <si>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</si>
  <si>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</si>
  <si>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</si>
  <si>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</si>
  <si>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</si>
  <si>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</si>
  <si>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</si>
  <si>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</si>
  <si>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</si>
  <si>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</si>
  <si>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</si>
  <si>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</si>
  <si>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</si>
  <si>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</si>
  <si>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</si>
  <si>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</si>
  <si>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</si>
  <si>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</si>
  <si>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</si>
  <si>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</si>
  <si>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</si>
  <si>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</si>
  <si>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</si>
  <si>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</si>
  <si>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</si>
  <si>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</si>
  <si>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</si>
  <si>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</si>
  <si>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</si>
  <si>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</si>
  <si>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</si>
  <si>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</si>
  <si>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</si>
  <si>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</si>
  <si>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</si>
  <si>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</si>
  <si>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</si>
  <si>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</si>
  <si>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</si>
  <si>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</si>
  <si>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</si>
  <si>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</si>
  <si>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</si>
  <si>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</si>
  <si>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</si>
  <si>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</si>
  <si>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</si>
  <si>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</si>
  <si>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</si>
  <si>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</si>
  <si>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</si>
  <si>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</si>
  <si>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</si>
  <si>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</si>
  <si>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</si>
  <si>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</si>
  <si>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</si>
  <si>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</si>
  <si>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</si>
  <si>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</si>
  <si>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</si>
  <si>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</si>
  <si>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</si>
  <si>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</si>
  <si>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</si>
  <si>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</si>
  <si>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</si>
  <si>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</si>
  <si>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</si>
  <si>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</si>
  <si>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</si>
  <si>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</si>
  <si>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</si>
  <si>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</si>
  <si>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</si>
  <si>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</si>
  <si>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</si>
  <si>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</si>
  <si>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</si>
  <si>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</si>
  <si>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</si>
  <si>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</si>
  <si>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</si>
  <si>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</si>
  <si>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</si>
  <si>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</si>
  <si>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</si>
  <si>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</si>
  <si>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</si>
  <si>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</si>
  <si>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</si>
  <si>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</si>
  <si>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</si>
  <si>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</si>
  <si>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</si>
  <si>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</si>
  <si>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</si>
  <si>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</si>
  <si>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</si>
  <si>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</si>
  <si>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</si>
  <si>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</si>
  <si>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</si>
  <si>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</si>
  <si>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</si>
  <si>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</si>
  <si>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</si>
  <si>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</si>
  <si>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</si>
  <si>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</si>
  <si>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</si>
  <si>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</si>
  <si>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</si>
  <si>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</si>
  <si>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</si>
  <si>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</si>
  <si>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</si>
  <si>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</si>
  <si>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</si>
  <si>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</si>
  <si>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</si>
  <si>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</si>
  <si>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</si>
  <si>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</si>
  <si>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</si>
  <si>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</si>
  <si>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</si>
  <si>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</si>
  <si>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</si>
  <si>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</si>
  <si>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</si>
  <si>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</si>
  <si>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</si>
  <si>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</si>
  <si>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</si>
  <si>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</si>
  <si>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</si>
  <si>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</si>
  <si>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</si>
  <si>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</si>
  <si>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</si>
  <si>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</si>
  <si>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</si>
  <si>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</si>
  <si>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</si>
  <si>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</si>
  <si>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</si>
  <si>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</si>
  <si>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</si>
  <si>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</si>
  <si>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</si>
  <si>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</si>
  <si>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</si>
  <si>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</si>
  <si>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</si>
  <si>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</si>
  <si>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</si>
  <si>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</si>
  <si>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</si>
  <si>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</si>
  <si>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</si>
  <si>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</si>
  <si>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</si>
  <si>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</si>
  <si>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</si>
  <si>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</si>
  <si>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</si>
  <si>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</si>
  <si>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</si>
  <si>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</si>
  <si>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</si>
  <si>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</si>
  <si>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</si>
  <si>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</si>
  <si>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</si>
  <si>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</si>
  <si>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</si>
  <si>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</si>
  <si>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</si>
  <si>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</si>
  <si>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</si>
  <si>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</si>
  <si>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</si>
  <si>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</si>
  <si>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</si>
  <si>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</si>
  <si>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</si>
  <si>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</si>
  <si>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</si>
  <si>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</si>
  <si>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</si>
  <si>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</si>
  <si>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</si>
  <si>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</si>
  <si>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</si>
  <si>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</si>
  <si>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</si>
  <si>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</si>
  <si>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</si>
  <si>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</si>
  <si>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</si>
  <si>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</si>
  <si>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</si>
  <si>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</si>
  <si>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</si>
  <si>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</si>
  <si>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</si>
  <si>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</si>
  <si>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</si>
  <si>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</si>
  <si>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</si>
  <si>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</si>
  <si>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</si>
  <si>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</si>
  <si>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</si>
  <si>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</si>
  <si>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</si>
  <si>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</si>
  <si>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</si>
  <si>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</si>
  <si>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</si>
  <si>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</si>
  <si>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</si>
  <si>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</si>
  <si>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</si>
  <si>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</si>
  <si>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</si>
  <si>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</si>
  <si>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</si>
  <si>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</si>
  <si>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</si>
  <si>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</si>
  <si>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</si>
  <si>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</si>
  <si>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</si>
  <si>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</si>
  <si>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</si>
  <si>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</si>
  <si>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</si>
  <si>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</si>
  <si>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</si>
  <si>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</si>
  <si>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</si>
  <si>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</si>
  <si>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</si>
  <si>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</si>
  <si>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</si>
  <si>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</si>
  <si>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</si>
  <si>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</si>
  <si>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</si>
  <si>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</si>
  <si>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</si>
  <si>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</si>
  <si>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</si>
  <si>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</si>
  <si>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</si>
  <si>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</si>
  <si>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</si>
  <si>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</si>
  <si>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</si>
  <si>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</si>
  <si>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</si>
  <si>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</si>
  <si>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</si>
  <si>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</si>
  <si>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</si>
  <si>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</si>
  <si>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</si>
  <si>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</si>
  <si>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</si>
  <si>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</si>
  <si>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</si>
  <si>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</si>
  <si>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</si>
  <si>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</si>
  <si>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</si>
  <si>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</si>
  <si>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</si>
  <si>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</si>
  <si>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</si>
  <si>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</si>
  <si>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</si>
  <si>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</si>
  <si>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</si>
  <si>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</si>
  <si>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</si>
  <si>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</si>
  <si>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</si>
  <si>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</si>
  <si>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</si>
  <si>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</si>
  <si>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</si>
  <si>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</si>
  <si>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</si>
  <si>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</si>
  <si>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</si>
  <si>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</si>
  <si>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</si>
  <si>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</si>
  <si>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</si>
  <si>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</si>
  <si>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</si>
  <si>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</si>
  <si>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</si>
  <si>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</si>
  <si>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</si>
  <si>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</si>
  <si>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</si>
  <si>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</si>
  <si>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</si>
  <si>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</si>
  <si>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</si>
  <si>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</si>
  <si>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</si>
  <si>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</si>
  <si>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</si>
  <si>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</si>
  <si>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</si>
  <si>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</si>
  <si>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</si>
  <si>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</si>
  <si>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</si>
  <si>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</si>
  <si>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</si>
  <si>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</si>
  <si>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</si>
  <si>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</si>
  <si>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</si>
  <si>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</si>
  <si>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</si>
  <si>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</si>
  <si>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</si>
  <si>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</si>
  <si>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</si>
  <si>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</si>
  <si>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</si>
  <si>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</si>
  <si>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</si>
  <si>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</si>
  <si>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</si>
  <si>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</si>
  <si>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</si>
  <si>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</si>
  <si>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</si>
  <si>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</si>
  <si>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</si>
  <si>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</si>
  <si>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</si>
  <si>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</si>
  <si>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</si>
  <si>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</si>
  <si>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</si>
  <si>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</si>
  <si>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</si>
  <si>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</si>
  <si>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</si>
  <si>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</si>
  <si>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</si>
  <si>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</si>
  <si>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</si>
  <si>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</si>
  <si>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</si>
  <si>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</si>
  <si>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</si>
  <si>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</si>
  <si>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</si>
  <si>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</si>
  <si>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</si>
  <si>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</si>
  <si>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</si>
  <si>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</si>
  <si>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</si>
  <si>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</si>
  <si>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</si>
  <si>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</si>
  <si>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</si>
  <si>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</si>
  <si>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</si>
  <si>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</si>
  <si>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</si>
  <si>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</si>
  <si>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</si>
  <si>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</si>
  <si>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</si>
  <si>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</si>
  <si>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</si>
  <si>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</si>
  <si>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</si>
  <si>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</si>
  <si>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</si>
  <si>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</si>
  <si>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</si>
  <si>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</si>
  <si>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</si>
  <si>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</si>
  <si>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</si>
  <si>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</si>
  <si>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</si>
  <si>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</si>
  <si>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</si>
  <si>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</si>
  <si>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</si>
  <si>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</si>
  <si>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</si>
  <si>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</si>
  <si>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</si>
  <si>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</si>
  <si>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</si>
  <si>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</si>
  <si>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</si>
  <si>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</si>
  <si>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</si>
  <si>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</si>
  <si>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</si>
  <si>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</si>
  <si>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</si>
  <si>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</si>
  <si>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</si>
  <si>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</si>
  <si>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</si>
  <si>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</si>
  <si>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</si>
  <si>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</si>
  <si>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</si>
  <si>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</si>
  <si>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</si>
  <si>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</si>
  <si>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</si>
  <si>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</si>
  <si>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</si>
  <si>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</si>
  <si>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</si>
  <si>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</si>
  <si>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</si>
  <si>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</si>
  <si>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</si>
  <si>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</si>
  <si>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</si>
  <si>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</si>
  <si>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</si>
  <si>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</si>
  <si>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</si>
  <si>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</si>
  <si>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</si>
  <si>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</si>
  <si>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</si>
  <si>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</si>
  <si>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</si>
  <si>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</si>
  <si>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</si>
  <si>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</si>
  <si>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</si>
  <si>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</si>
  <si>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</si>
  <si>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</si>
  <si>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</si>
  <si>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</si>
  <si>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</si>
  <si>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</si>
  <si>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</si>
  <si>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</si>
  <si>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</si>
  <si>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</si>
  <si>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</si>
  <si>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</si>
  <si>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</si>
  <si>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</si>
  <si>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</si>
  <si>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</si>
  <si>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</si>
  <si>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</si>
  <si>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</si>
  <si>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</si>
  <si>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</si>
  <si>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</si>
  <si>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</si>
  <si>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</si>
  <si>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</si>
  <si>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</si>
  <si>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</si>
  <si>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</si>
  <si>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</si>
  <si>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</si>
  <si>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</si>
  <si>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</si>
  <si>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</si>
  <si>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</si>
  <si>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</si>
  <si>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</si>
  <si>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</si>
  <si>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</si>
  <si>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</si>
  <si>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</si>
  <si>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</si>
  <si>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</si>
  <si>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</si>
  <si>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</si>
  <si>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</si>
  <si>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</si>
  <si>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</si>
  <si>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</si>
  <si>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</si>
  <si>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</si>
  <si>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</si>
  <si>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</si>
  <si>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</si>
  <si>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</si>
  <si>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</si>
  <si>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</si>
  <si>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</si>
  <si>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</si>
  <si>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</si>
  <si>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</si>
  <si>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</si>
  <si>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</si>
  <si>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</si>
  <si>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</si>
  <si>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</si>
  <si>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</si>
  <si>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</si>
  <si>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</si>
  <si>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</si>
  <si>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</si>
  <si>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</si>
  <si>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</si>
  <si>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</si>
  <si>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</si>
  <si>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</si>
  <si>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</si>
  <si>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</si>
  <si>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</si>
  <si>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</si>
  <si>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</si>
  <si>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</si>
  <si>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</si>
  <si>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</si>
  <si>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</si>
  <si>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</si>
  <si>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</si>
  <si>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</si>
  <si>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</si>
  <si>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</si>
  <si>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</si>
  <si>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</si>
  <si>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</si>
  <si>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</si>
  <si>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</si>
  <si>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</si>
  <si>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</si>
  <si>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</si>
  <si>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</si>
  <si>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</si>
  <si>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</si>
  <si>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</si>
  <si>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</si>
  <si>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</si>
  <si>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</si>
  <si>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</si>
  <si>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</si>
  <si>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</si>
  <si>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</si>
  <si>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</si>
  <si>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</si>
  <si>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</si>
  <si>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</si>
  <si>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</si>
  <si>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</si>
  <si>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</si>
  <si>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</si>
  <si>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</si>
  <si>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</si>
  <si>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</si>
  <si>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</si>
  <si>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</si>
  <si>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</si>
  <si>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</si>
  <si>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</si>
  <si>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</si>
  <si>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</si>
  <si>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</si>
  <si>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</si>
  <si>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</si>
  <si>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</si>
  <si>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</si>
  <si>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</si>
  <si>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</si>
  <si>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</si>
  <si>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</si>
  <si>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</si>
  <si>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</si>
  <si>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</si>
  <si>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</si>
  <si>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</si>
  <si>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</si>
  <si>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</si>
  <si>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</si>
  <si>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</si>
  <si>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</si>
  <si>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</si>
  <si>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</si>
  <si>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</si>
  <si>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</si>
  <si>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</si>
  <si>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</si>
  <si>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</si>
  <si>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</si>
  <si>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</si>
  <si>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</si>
  <si>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</si>
  <si>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</si>
  <si>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</si>
  <si>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</si>
  <si>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</si>
  <si>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</si>
  <si>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</si>
  <si>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</si>
  <si>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</si>
  <si>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</si>
  <si>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</si>
  <si>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</si>
  <si>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</si>
  <si>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</si>
  <si>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</si>
  <si>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</si>
  <si>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</si>
  <si>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</si>
  <si>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</si>
  <si>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</si>
  <si>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</si>
  <si>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</si>
  <si>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</si>
  <si>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</si>
  <si>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</si>
  <si>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</si>
  <si>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</si>
  <si>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</si>
  <si>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</si>
  <si>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</si>
  <si>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</si>
  <si>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</si>
  <si>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</si>
  <si>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</si>
  <si>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</si>
  <si>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</si>
  <si>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</si>
  <si>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</si>
  <si>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</si>
  <si>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</si>
  <si>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</si>
  <si>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</si>
  <si>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</si>
  <si>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</si>
  <si>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</si>
  <si>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</si>
  <si>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</si>
  <si>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</si>
  <si>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</si>
  <si>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</si>
  <si>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</si>
  <si>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</si>
  <si>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</si>
  <si>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</si>
  <si>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</si>
  <si>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</si>
  <si>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</si>
  <si>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</si>
  <si>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</si>
  <si>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</si>
  <si>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</si>
  <si>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</si>
  <si>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</si>
  <si>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</si>
  <si>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</si>
  <si>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</si>
  <si>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</si>
  <si>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</si>
  <si>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</si>
  <si>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</si>
  <si>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</si>
  <si>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</si>
  <si>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</si>
  <si>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</si>
  <si>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</si>
  <si>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</si>
  <si>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</si>
  <si>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</si>
  <si>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</si>
  <si>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</si>
  <si>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</si>
  <si>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</si>
  <si>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</si>
  <si>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</si>
  <si>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</si>
  <si>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</si>
  <si>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</si>
  <si>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</si>
  <si>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</si>
  <si>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</si>
  <si>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</si>
  <si>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</si>
  <si>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</si>
  <si>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</si>
  <si>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</si>
  <si>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</si>
  <si>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</si>
  <si>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</si>
  <si>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</si>
  <si>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</si>
  <si>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</si>
  <si>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</si>
  <si>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</si>
  <si>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</si>
  <si>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</si>
  <si>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</si>
  <si>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</si>
  <si>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</si>
  <si>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</si>
  <si>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</si>
  <si>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</si>
  <si>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</si>
  <si>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</si>
  <si>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</si>
  <si>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</si>
  <si>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</si>
  <si>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</si>
  <si>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</si>
  <si>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</si>
  <si>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</si>
  <si>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</si>
  <si>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</si>
  <si>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</si>
  <si>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</si>
  <si>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</si>
  <si>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</si>
  <si>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</si>
  <si>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</si>
  <si>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</si>
  <si>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</si>
  <si>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</si>
  <si>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</si>
  <si>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</si>
  <si>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</si>
  <si>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</si>
  <si>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</si>
  <si>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</si>
  <si>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</si>
  <si>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</si>
  <si>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</si>
  <si>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</si>
  <si>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</si>
  <si>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</si>
  <si>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</si>
  <si>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</si>
  <si>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</si>
  <si>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</si>
  <si>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</si>
  <si>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</si>
  <si>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</si>
  <si>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</si>
  <si>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</si>
  <si>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</si>
  <si>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</si>
  <si>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</si>
  <si>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</si>
  <si>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</si>
  <si>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</si>
  <si>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</si>
  <si>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</si>
  <si>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</si>
  <si>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</si>
  <si>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</si>
  <si>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</si>
  <si>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</si>
  <si>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</si>
  <si>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</si>
  <si>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</si>
  <si>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</si>
  <si>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</si>
  <si>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</si>
  <si>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</si>
  <si>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</si>
  <si>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</si>
  <si>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</si>
  <si>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</si>
  <si>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</si>
  <si>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</si>
  <si>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</si>
  <si>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</si>
  <si>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</si>
  <si>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</si>
  <si>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</si>
  <si>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</si>
  <si>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</si>
  <si>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</si>
  <si>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</si>
  <si>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</si>
  <si>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</si>
  <si>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</si>
  <si>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</si>
  <si>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</si>
  <si>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</si>
  <si>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</si>
  <si>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</si>
  <si>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</si>
  <si>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</si>
  <si>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</si>
  <si>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</si>
  <si>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</si>
  <si>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</si>
  <si>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</si>
  <si>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</si>
  <si>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</si>
  <si>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</si>
  <si>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</si>
  <si>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</si>
  <si>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</si>
  <si>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</si>
  <si>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</si>
  <si>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</si>
  <si>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</si>
  <si>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</si>
  <si>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</si>
  <si>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</si>
  <si>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</si>
  <si>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</si>
  <si>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</si>
  <si>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</si>
  <si>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</si>
  <si>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</si>
  <si>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</si>
  <si>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</si>
  <si>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</si>
  <si>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</si>
  <si>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</si>
  <si>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</si>
  <si>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</si>
  <si>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</si>
  <si>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</si>
  <si>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</si>
  <si>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</si>
  <si>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</si>
  <si>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</si>
  <si>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</si>
  <si>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</si>
  <si>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</si>
  <si>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</si>
  <si>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</si>
  <si>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</si>
  <si>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</si>
  <si>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</si>
  <si>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</si>
  <si>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</si>
  <si>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</si>
  <si>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</si>
  <si>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</si>
  <si>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</si>
  <si>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</si>
  <si>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</si>
  <si>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</si>
  <si>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</si>
  <si>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</si>
  <si>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</si>
  <si>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</si>
  <si>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</si>
  <si>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</si>
  <si>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</si>
  <si>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</si>
  <si>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</si>
  <si>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</si>
  <si>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</si>
  <si>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</si>
  <si>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</si>
  <si>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</si>
  <si>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</si>
  <si>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</si>
  <si>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</si>
  <si>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</si>
  <si>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</si>
  <si>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</si>
  <si>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</si>
  <si>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</si>
  <si>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</si>
  <si>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</si>
  <si>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</si>
  <si>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</si>
  <si>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</si>
  <si>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</si>
  <si>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</si>
  <si>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</si>
  <si>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</si>
  <si>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</si>
  <si>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</si>
  <si>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</si>
  <si>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</si>
  <si>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</si>
  <si>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</si>
  <si>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</si>
  <si>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</si>
  <si>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</si>
  <si>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</si>
  <si>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</si>
  <si>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</si>
  <si>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</si>
  <si>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</si>
  <si>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</si>
  <si>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</si>
  <si>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</si>
  <si>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</si>
  <si>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</si>
  <si>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</si>
  <si>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</si>
  <si>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</si>
  <si>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</si>
  <si>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</si>
  <si>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</si>
  <si>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</si>
  <si>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</si>
  <si>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</si>
  <si>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</si>
  <si>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</si>
  <si>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</si>
  <si>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</si>
  <si>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</si>
  <si>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</si>
  <si>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</si>
  <si>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</si>
  <si>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</si>
  <si>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</si>
  <si>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</si>
  <si>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</si>
  <si>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</si>
  <si>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</si>
  <si>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</si>
  <si>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</si>
  <si>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</si>
  <si>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</si>
  <si>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</si>
  <si>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</si>
  <si>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</si>
  <si>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</si>
  <si>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</si>
  <si>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</si>
  <si>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</si>
  <si>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</si>
  <si>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</si>
  <si>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</si>
  <si>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</si>
  <si>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</si>
  <si>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</si>
  <si>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</si>
  <si>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</si>
  <si>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</si>
  <si>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</si>
  <si>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</si>
  <si>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</si>
  <si>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</si>
  <si>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</si>
  <si>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</si>
  <si>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</si>
  <si>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</si>
  <si>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</si>
  <si>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</si>
  <si>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</si>
  <si>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</si>
  <si>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</si>
  <si>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</si>
  <si>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</si>
  <si>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</si>
  <si>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</si>
  <si>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</si>
  <si>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</si>
  <si>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</si>
  <si>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</si>
  <si>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</si>
  <si>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</si>
  <si>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</si>
  <si>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</si>
  <si>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</si>
  <si>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</si>
  <si>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</si>
  <si>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</si>
  <si>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</si>
  <si>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</si>
  <si>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</si>
  <si>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</si>
  <si>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</si>
  <si>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</si>
  <si>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</si>
  <si>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</si>
  <si>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</si>
  <si>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</si>
  <si>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</si>
  <si>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</si>
  <si>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</si>
  <si>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</si>
  <si>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</si>
  <si>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</si>
  <si>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</si>
  <si>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</si>
  <si>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</si>
  <si>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</si>
  <si>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</si>
  <si>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</si>
  <si>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</si>
  <si>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</si>
  <si>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</si>
  <si>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</si>
  <si>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</si>
  <si>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</si>
  <si>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</si>
  <si>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</si>
  <si>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</si>
  <si>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</si>
  <si>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</si>
  <si>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</si>
  <si>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</si>
  <si>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</si>
  <si>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</si>
  <si>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</si>
  <si>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</si>
  <si>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</si>
  <si>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</si>
  <si>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</si>
  <si>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</si>
  <si>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</si>
  <si>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</si>
  <si>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</si>
  <si>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</si>
  <si>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</si>
  <si>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</si>
  <si>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</si>
  <si>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</si>
  <si>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</si>
  <si>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</si>
  <si>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</si>
  <si>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</si>
  <si>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</si>
  <si>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</si>
  <si>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</si>
  <si>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</si>
  <si>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</si>
  <si>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</si>
  <si>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</si>
  <si>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</si>
  <si>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</si>
  <si>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</si>
  <si>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</si>
  <si>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</si>
  <si>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</si>
  <si>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</si>
  <si>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</si>
  <si>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</si>
  <si>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</si>
  <si>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</si>
  <si>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</si>
  <si>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</si>
  <si>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</si>
  <si>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</si>
  <si>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</si>
  <si>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</si>
  <si>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</si>
  <si>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</si>
  <si>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</si>
  <si>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</si>
  <si>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</si>
  <si>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</si>
  <si>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</si>
  <si>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</si>
  <si>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</si>
  <si>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</si>
  <si>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</si>
  <si>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</si>
  <si>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</si>
  <si>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</si>
  <si>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</si>
  <si>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</si>
  <si>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</si>
  <si>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</si>
  <si>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</si>
  <si>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</si>
  <si>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</si>
  <si>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</si>
  <si>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</si>
  <si>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</si>
  <si>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</si>
  <si>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</si>
  <si>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</si>
  <si>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</si>
  <si>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</si>
  <si>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</si>
  <si>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</si>
  <si>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</si>
  <si>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</si>
  <si>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</si>
  <si>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</si>
  <si>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</si>
  <si>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</si>
  <si>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</si>
  <si>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</si>
  <si>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</si>
  <si>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</si>
  <si>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</si>
  <si>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</si>
  <si>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</si>
  <si>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</si>
  <si>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</si>
  <si>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</si>
  <si>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</si>
  <si>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</si>
  <si>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</si>
  <si>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</si>
  <si>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</si>
  <si>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</si>
  <si>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</si>
  <si>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</si>
  <si>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</si>
  <si>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</si>
  <si>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</si>
  <si>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</si>
  <si>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</si>
  <si>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</si>
  <si>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</si>
  <si>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</si>
  <si>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</si>
  <si>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</si>
  <si>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</si>
  <si>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</si>
  <si>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</si>
  <si>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</si>
  <si>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</si>
  <si>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</si>
  <si>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</si>
  <si>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</si>
  <si>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</si>
  <si>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</si>
  <si>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</si>
  <si>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</si>
  <si>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</si>
  <si>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</si>
  <si>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</si>
  <si>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</si>
  <si>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</si>
  <si>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</si>
  <si>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</si>
  <si>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</si>
  <si>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</si>
  <si>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</si>
  <si>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</si>
  <si>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</si>
  <si>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</si>
  <si>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</si>
  <si>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</si>
  <si>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</si>
  <si>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</si>
  <si>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</si>
  <si>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</si>
  <si>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</si>
  <si>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</si>
  <si>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</si>
  <si>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</si>
  <si>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</si>
  <si>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</si>
  <si>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</si>
  <si>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</si>
  <si>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</si>
  <si>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</si>
  <si>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</si>
  <si>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</si>
  <si>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</si>
  <si>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</si>
  <si>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</si>
  <si>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</si>
  <si>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</si>
  <si>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</si>
  <si>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</si>
  <si>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</si>
  <si>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</si>
  <si>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</si>
  <si>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</si>
  <si>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</si>
  <si>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</si>
  <si>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</si>
  <si>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</si>
  <si>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</si>
  <si>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</si>
  <si>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</si>
  <si>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</si>
  <si>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</si>
  <si>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</si>
  <si>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</si>
  <si>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</si>
  <si>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</si>
  <si>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</si>
  <si>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</si>
  <si>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</si>
  <si>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</si>
  <si>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</si>
  <si>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</si>
  <si>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</si>
  <si>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</si>
  <si>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</si>
  <si>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</si>
  <si>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</si>
  <si>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</si>
  <si>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</si>
  <si>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</si>
  <si>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</si>
  <si>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</si>
  <si>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</si>
  <si>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</si>
  <si>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</si>
  <si>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</si>
  <si>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</si>
  <si>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</si>
  <si>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</si>
  <si>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</si>
  <si>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</si>
  <si>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</si>
  <si>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</si>
  <si>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</si>
  <si>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</si>
  <si>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</si>
  <si>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</si>
  <si>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</si>
  <si>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</si>
  <si>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</si>
  <si>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</si>
  <si>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</si>
  <si>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</si>
  <si>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</si>
  <si>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</si>
  <si>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</si>
  <si>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</si>
  <si>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</si>
  <si>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</si>
  <si>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</si>
  <si>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</si>
  <si>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</si>
  <si>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</si>
  <si>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</si>
  <si>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</si>
  <si>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</si>
  <si>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</si>
  <si>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</si>
  <si>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</si>
  <si>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</si>
  <si>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</si>
  <si>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</si>
  <si>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</si>
  <si>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</si>
  <si>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</si>
  <si>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</si>
  <si>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</si>
  <si>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</si>
  <si>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</si>
  <si>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</si>
  <si>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</si>
  <si>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</si>
  <si>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</si>
  <si>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</si>
  <si>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</si>
  <si>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</si>
  <si>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</si>
  <si>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</si>
  <si>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</si>
  <si>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</si>
  <si>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</si>
  <si>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</si>
  <si>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</si>
  <si>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</si>
  <si>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</si>
  <si>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</si>
  <si>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</si>
  <si>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</si>
  <si>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</si>
  <si>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</si>
  <si>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</si>
  <si>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</si>
  <si>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</si>
  <si>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</si>
  <si>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</si>
  <si>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</si>
  <si>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</si>
  <si>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</si>
  <si>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</si>
  <si>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</si>
  <si>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</si>
  <si>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</si>
  <si>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</si>
  <si>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</si>
  <si>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</si>
  <si>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</si>
  <si>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</si>
  <si>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</si>
  <si>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</si>
  <si>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</si>
  <si>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</si>
  <si>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</si>
  <si>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</si>
  <si>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</si>
  <si>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</si>
  <si>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</si>
  <si>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</si>
  <si>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</si>
  <si>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</si>
  <si>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</si>
  <si>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</si>
  <si>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</si>
  <si>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</si>
  <si>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</si>
  <si>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</si>
  <si>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</si>
  <si>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</si>
  <si>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</si>
  <si>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</si>
  <si>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</si>
  <si>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</si>
  <si>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</si>
  <si>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</si>
  <si>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</si>
  <si>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</si>
  <si>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</si>
  <si>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</si>
  <si>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</si>
  <si>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</si>
  <si>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</si>
  <si>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</si>
  <si>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</si>
  <si>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</si>
  <si>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</si>
  <si>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</si>
  <si>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</si>
  <si>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</si>
  <si>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</si>
  <si>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</si>
  <si>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</si>
  <si>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</si>
  <si>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</si>
  <si>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</si>
  <si>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</si>
  <si>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</si>
  <si>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</si>
  <si>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</si>
  <si>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</si>
  <si>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</si>
  <si>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</si>
  <si>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</si>
  <si>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</si>
  <si>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</si>
  <si>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</si>
  <si>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</si>
  <si>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</si>
  <si>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</si>
  <si>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</si>
  <si>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</si>
  <si>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</si>
  <si>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</si>
  <si>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</si>
  <si>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</si>
  <si>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</si>
  <si>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</si>
  <si>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</si>
  <si>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</si>
  <si>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</si>
  <si>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</si>
  <si>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</si>
  <si>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</si>
  <si>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</si>
  <si>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</si>
  <si>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</si>
  <si>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</si>
  <si>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</si>
  <si>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</si>
  <si>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</si>
  <si>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</si>
  <si>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</si>
  <si>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</si>
  <si>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</si>
  <si>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</si>
  <si>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</si>
  <si>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</si>
  <si>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</si>
  <si>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</si>
  <si>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</si>
  <si>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</si>
  <si>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</si>
  <si>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</si>
  <si>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</si>
  <si>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</si>
  <si>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</si>
  <si>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</si>
  <si>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</si>
  <si>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</si>
  <si>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</si>
  <si>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</si>
  <si>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</si>
  <si>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</si>
  <si>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</si>
  <si>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</si>
  <si>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</si>
  <si>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</si>
  <si>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</si>
  <si>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</si>
  <si>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</si>
  <si>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</si>
  <si>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</si>
  <si>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</si>
  <si>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</si>
  <si>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</si>
  <si>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</si>
  <si>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</si>
  <si>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</si>
  <si>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</si>
  <si>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</si>
  <si>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</si>
  <si>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</si>
  <si>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</si>
  <si>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</si>
  <si>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</si>
  <si>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</si>
  <si>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</si>
  <si>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</si>
  <si>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</si>
  <si>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</si>
  <si>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</si>
  <si>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</si>
  <si>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</si>
  <si>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</si>
  <si>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</si>
  <si>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</si>
  <si>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</si>
  <si>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</si>
  <si>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</si>
  <si>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</si>
  <si>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</si>
  <si>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</si>
  <si>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</si>
  <si>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</si>
  <si>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</si>
  <si>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</si>
  <si>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</si>
  <si>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</si>
  <si>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</si>
  <si>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</si>
  <si>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</si>
  <si>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</si>
  <si>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</si>
  <si>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</si>
  <si>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</si>
  <si>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</si>
  <si>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</si>
  <si>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</si>
  <si>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</si>
  <si>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</si>
  <si>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</si>
  <si>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</si>
  <si>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</si>
  <si>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</si>
  <si>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</si>
  <si>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</si>
  <si>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</si>
  <si>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</si>
  <si>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</si>
  <si>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</si>
  <si>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</si>
  <si>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</si>
  <si>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</si>
  <si>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</si>
  <si>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</si>
  <si>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</si>
  <si>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</si>
  <si>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</si>
  <si>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</si>
  <si>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</si>
  <si>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</si>
  <si>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</si>
  <si>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</si>
  <si>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</si>
  <si>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</si>
  <si>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</si>
  <si>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</si>
  <si>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</si>
  <si>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</si>
  <si>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</si>
  <si>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</si>
  <si>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</si>
  <si>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</si>
  <si>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</si>
  <si>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</si>
  <si>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</si>
  <si>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</si>
  <si>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</si>
  <si>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</si>
  <si>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</si>
  <si>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</si>
  <si>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</si>
  <si>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</si>
  <si>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</si>
  <si>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</si>
  <si>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</si>
  <si>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</si>
  <si>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</si>
  <si>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</si>
  <si>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</si>
  <si>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</si>
  <si>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</si>
  <si>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</si>
  <si>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</si>
  <si>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</si>
  <si>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</si>
  <si>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</si>
  <si>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</si>
  <si>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</si>
  <si>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</si>
  <si>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</si>
  <si>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</si>
  <si>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</si>
  <si>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</si>
  <si>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</si>
  <si>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</si>
  <si>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</si>
  <si>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</si>
  <si>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</si>
  <si>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</si>
  <si>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</si>
  <si>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</si>
  <si>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</si>
  <si>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</si>
  <si>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</si>
  <si>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</si>
  <si>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</si>
  <si>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</si>
  <si>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</si>
  <si>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</si>
  <si>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</si>
  <si>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</si>
  <si>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</si>
  <si>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</si>
  <si>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</si>
  <si>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</si>
  <si>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</si>
  <si>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</si>
  <si>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</si>
  <si>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</si>
  <si>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</si>
  <si>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</si>
  <si>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</si>
  <si>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</si>
  <si>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</si>
  <si>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</si>
  <si>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</si>
  <si>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</si>
  <si>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</si>
  <si>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</si>
  <si>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</si>
  <si>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</si>
  <si>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</si>
  <si>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</si>
  <si>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</si>
  <si>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</si>
  <si>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</si>
  <si>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</si>
  <si>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</si>
  <si>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</si>
  <si>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</si>
  <si>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</si>
  <si>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</si>
  <si>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</si>
  <si>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</si>
  <si>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</si>
  <si>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</si>
  <si>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</si>
  <si>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</si>
  <si>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</si>
  <si>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</si>
  <si>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</si>
  <si>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</si>
  <si>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</si>
  <si>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</si>
  <si>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</si>
  <si>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</si>
  <si>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</si>
  <si>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</si>
  <si>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</si>
  <si>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</si>
  <si>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</si>
  <si>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</si>
  <si>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</si>
  <si>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</si>
  <si>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</si>
  <si>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</si>
  <si>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</si>
  <si>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</si>
  <si>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</si>
  <si>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</si>
  <si>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</si>
  <si>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</si>
  <si>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</si>
  <si>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</si>
  <si>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</si>
  <si>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</si>
  <si>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</si>
  <si>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</si>
  <si>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</si>
  <si>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</si>
  <si>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</si>
  <si>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</si>
  <si>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</si>
  <si>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</si>
  <si>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</si>
  <si>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</si>
  <si>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</si>
  <si>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</si>
  <si>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</si>
  <si>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</si>
  <si>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</si>
  <si>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</si>
  <si>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</si>
  <si>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</si>
  <si>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</si>
  <si>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</si>
  <si>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</si>
  <si>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</si>
  <si>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</si>
  <si>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</si>
  <si>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</si>
  <si>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</si>
  <si>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</si>
  <si>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</si>
  <si>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</si>
  <si>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</si>
  <si>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</si>
  <si>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</si>
  <si>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</si>
  <si>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</si>
  <si>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</si>
  <si>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</si>
  <si>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</si>
  <si>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</si>
  <si>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</si>
  <si>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</si>
  <si>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</si>
  <si>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</si>
  <si>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</si>
  <si>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</si>
  <si>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</si>
  <si>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</si>
  <si>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</si>
  <si>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</si>
  <si>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</si>
  <si>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</si>
  <si>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</si>
  <si>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</si>
  <si>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</si>
  <si>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</si>
  <si>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</si>
  <si>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</si>
  <si>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</si>
  <si>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</si>
  <si>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</si>
  <si>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</si>
  <si>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</si>
  <si>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</si>
  <si>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</si>
  <si>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</si>
  <si>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</si>
  <si>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</si>
  <si>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</si>
  <si>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</si>
  <si>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</si>
  <si>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</si>
  <si>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</si>
  <si>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</si>
  <si>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</si>
  <si>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</si>
  <si>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</si>
  <si>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</si>
  <si>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</si>
  <si>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</si>
  <si>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</si>
  <si>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</si>
  <si>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</si>
  <si>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</si>
  <si>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</si>
  <si>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</si>
  <si>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</si>
  <si>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</si>
  <si>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</si>
  <si>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</si>
  <si>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</si>
  <si>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</si>
  <si>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</si>
  <si>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</si>
  <si>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</si>
  <si>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</si>
  <si>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</si>
  <si>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</si>
  <si>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</si>
  <si>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</si>
  <si>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</si>
  <si>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</si>
  <si>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</si>
  <si>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</si>
  <si>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</si>
  <si>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</si>
  <si>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</si>
  <si>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</si>
  <si>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</si>
  <si>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</si>
  <si>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</si>
  <si>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</si>
  <si>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</si>
  <si>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</si>
  <si>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</si>
  <si>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</si>
  <si>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</si>
  <si>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</si>
  <si>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</si>
  <si>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</si>
  <si>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</si>
  <si>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</si>
  <si>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</si>
  <si>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</si>
  <si>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</si>
  <si>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</si>
  <si>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</si>
  <si>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</si>
  <si>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</si>
  <si>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</si>
  <si>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</si>
  <si>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</si>
  <si>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</si>
  <si>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</si>
  <si>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</si>
  <si>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</si>
  <si>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</si>
  <si>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</si>
  <si>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</si>
  <si>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</si>
  <si>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</si>
  <si>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</si>
  <si>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</si>
  <si>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</si>
  <si>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</si>
  <si>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</si>
  <si>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</si>
  <si>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</si>
  <si>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</si>
  <si>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</si>
  <si>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</si>
  <si>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</si>
  <si>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</si>
  <si>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</si>
  <si>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</si>
  <si>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</si>
  <si>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</si>
  <si>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</si>
  <si>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</si>
  <si>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</si>
  <si>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</si>
  <si>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</si>
  <si>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</si>
  <si>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</si>
  <si>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</si>
  <si>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</si>
  <si>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</si>
  <si>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</si>
  <si>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</si>
  <si>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</si>
  <si>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</si>
  <si>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</si>
  <si>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</si>
  <si>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</si>
  <si>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</si>
  <si>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</si>
  <si>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</si>
  <si>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</si>
  <si>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</si>
  <si>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</si>
  <si>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</si>
  <si>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</si>
  <si>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</si>
  <si>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</si>
  <si>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</si>
  <si>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</si>
  <si>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</si>
  <si>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</si>
  <si>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</si>
  <si>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</si>
  <si>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</si>
  <si>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</si>
  <si>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</si>
  <si>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</si>
  <si>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</si>
  <si>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</si>
  <si>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</si>
  <si>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</si>
  <si>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</si>
  <si>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</si>
  <si>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</si>
  <si>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</si>
  <si>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</si>
  <si>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</si>
  <si>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</si>
  <si>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</si>
  <si>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</si>
  <si>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</si>
  <si>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</si>
  <si>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</si>
  <si>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</si>
  <si>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</si>
  <si>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</si>
  <si>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</si>
  <si>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</si>
  <si>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</si>
  <si>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</si>
  <si>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</si>
  <si>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</si>
  <si>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</si>
  <si>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</si>
  <si>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</si>
  <si>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</si>
  <si>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</si>
  <si>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</si>
  <si>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</si>
  <si>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</si>
  <si>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</si>
  <si>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</si>
  <si>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</si>
  <si>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</si>
  <si>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</si>
  <si>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</si>
  <si>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</si>
  <si>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</si>
  <si>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</si>
  <si>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</si>
  <si>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</si>
  <si>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</si>
  <si>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</si>
  <si>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</si>
  <si>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</si>
  <si>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</si>
  <si>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</si>
  <si>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</si>
  <si>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</si>
  <si>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</si>
  <si>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</si>
  <si>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</si>
  <si>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</si>
  <si>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</si>
  <si>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</si>
  <si>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</si>
  <si>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</si>
  <si>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</si>
  <si>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</si>
  <si>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</si>
  <si>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</si>
  <si>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</si>
  <si>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</si>
  <si>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</si>
  <si>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</si>
  <si>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</si>
  <si>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</si>
  <si>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</si>
  <si>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</si>
  <si>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</si>
  <si>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</si>
  <si>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</si>
  <si>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</si>
  <si>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</si>
  <si>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</si>
  <si>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</si>
  <si>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</si>
  <si>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</si>
  <si>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</si>
  <si>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</si>
  <si>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</si>
  <si>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</si>
  <si>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</si>
  <si>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</si>
  <si>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</si>
  <si>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</si>
  <si>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</si>
  <si>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</si>
  <si>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</si>
  <si>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</si>
  <si>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</si>
  <si>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</si>
  <si>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</si>
  <si>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</si>
  <si>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</si>
  <si>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</si>
  <si>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</si>
  <si>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</si>
  <si>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</si>
  <si>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</si>
  <si>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</si>
  <si>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</si>
  <si>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</si>
  <si>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</si>
  <si>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</si>
  <si>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</si>
  <si>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</si>
  <si>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</si>
  <si>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</si>
  <si>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</si>
  <si>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</si>
  <si>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</si>
  <si>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</si>
  <si>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</si>
  <si>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</si>
  <si>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</si>
  <si>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</si>
  <si>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</si>
  <si>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</si>
  <si>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</si>
  <si>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</si>
  <si>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</si>
  <si>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</si>
  <si>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</si>
  <si>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</si>
  <si>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</si>
  <si>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</si>
  <si>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</si>
  <si>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</si>
  <si>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</si>
  <si>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</si>
  <si>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</si>
  <si>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</si>
  <si>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</si>
  <si>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</si>
  <si>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</si>
  <si>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</si>
  <si>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</si>
  <si>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</si>
  <si>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</si>
  <si>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</si>
  <si>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</si>
  <si>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</si>
  <si>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</si>
  <si>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</si>
  <si>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</si>
  <si>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</si>
  <si>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</si>
  <si>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</si>
  <si>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</si>
  <si>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</si>
  <si>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V298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</si>
  <si>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</si>
  <si>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</si>
  <si>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Parallel sessiyadan qo‘shildi (2026-10-17)</t>
  </si>
  <si>
    <t xml:space="preserve">V299</t>
  </si>
  <si>
    <t xml:space="preserve">Vascular ultrasound free lectures: carotid and venous ultrasound</t>
  </si>
  <si>
    <t xml:space="preserve">https://www.youtube.com/watch?v=fWYo00L5w6o</t>
  </si>
  <si>
    <t xml:space="preserve">V300</t>
  </si>
  <si>
    <t xml:space="preserve">Venous ultrasound course: Deciphering DVT waveforms</t>
  </si>
  <si>
    <t xml:space="preserve">https://www.youtube.com/watch?v=zFtlbk2yzn8</t>
  </si>
  <si>
    <t xml:space="preserve">V301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</si>
  <si>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</si>
  <si>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</si>
  <si>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</si>
  <si>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V302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</si>
  <si>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</si>
  <si>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</si>
  <si>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</si>
  <si>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</si>
  <si>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V303</t>
  </si>
  <si>
    <t xml:space="preserve">Doppler Ultrasound of the Liver and Portal Hypertension</t>
  </si>
  <si>
    <t xml:space="preserve">https://www.youtube.com/watch?v=R_BbuhzjQzc</t>
  </si>
  <si>
    <t xml:space="preserve">V304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</si>
  <si>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</si>
  <si>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</si>
  <si>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</si>
  <si>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V305</t>
  </si>
  <si>
    <t xml:space="preserve">Carotid and Vertebral Arteries Doppler Ultrasound Protocols</t>
  </si>
  <si>
    <t xml:space="preserve">https://www.youtube.com/watch?v=r8egrNqH2YU</t>
  </si>
  <si>
    <t xml:space="preserve">V306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</si>
  <si>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</si>
  <si>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</si>
  <si>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</si>
  <si>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</si>
  <si>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V307</t>
  </si>
  <si>
    <t xml:space="preserve">IVC Ultrasound | How to assess the IVC for volume status using ultrasound | Clarius Ultrasound</t>
  </si>
  <si>
    <t xml:space="preserve">https://www.youtube.com/watch?v=j5aboEF2-qo</t>
  </si>
  <si>
    <t xml:space="preserve">V308</t>
  </si>
  <si>
    <t xml:space="preserve">Vascular ultrasound made simple</t>
  </si>
  <si>
    <t xml:space="preserve">https://www.youtube.com/watch?v=hbVxhOV6NFw</t>
  </si>
  <si>
    <t xml:space="preserve">V309</t>
  </si>
  <si>
    <t xml:space="preserve">Carotid Plaque Characterization</t>
  </si>
  <si>
    <t xml:space="preserve">https://www.youtube.com/watch?v=9pqoVZEEyrg</t>
  </si>
  <si>
    <t xml:space="preserve">V310</t>
  </si>
  <si>
    <t xml:space="preserve">Identifying carotid artery disease with ultrasound</t>
  </si>
  <si>
    <t xml:space="preserve">https://www.youtube.com/watch?v=66KjiicFGL4</t>
  </si>
  <si>
    <t xml:space="preserve">Faqat bitta parallel ishda topilgan; 2026-10-17 da qo‘shildi</t>
  </si>
  <si>
    <t xml:space="preserve">V311</t>
  </si>
  <si>
    <t xml:space="preserve">Aorta Duplex (Doppler) Protocol</t>
  </si>
  <si>
    <t xml:space="preserve">https://www.youtube.com/watch?v=0fwT622SLB8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</si>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</sst>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hyperlink" Target="https://www.youtube.com/watch?v=sOwTdJPSBeI" TargetMode="External"/><Relationship Id="rId299" Type="http://schemas.openxmlformats.org/officeDocument/2006/relationships/hyperlink" Target="https://www.youtube.com/watch?v=fWYo00L5w6o" TargetMode="External"/><Relationship Id="rId300" Type="http://schemas.openxmlformats.org/officeDocument/2006/relationships/hyperlink" Target="https://www.youtube.com/watch?v=zFtlbk2yzn8" TargetMode="External"/><Relationship Id="rId301" Type="http://schemas.openxmlformats.org/officeDocument/2006/relationships/hyperlink" Target="https://www.youtube.com/watch?v=JwIWZuq5o14" TargetMode="External"/><Relationship Id="rId302" Type="http://schemas.openxmlformats.org/officeDocument/2006/relationships/hyperlink" Target="https://www.youtube.com/watch?v=QaQNYFjvKxs" TargetMode="External"/><Relationship Id="rId303" Type="http://schemas.openxmlformats.org/officeDocument/2006/relationships/hyperlink" Target="https://www.youtube.com/watch?v=R_BbuhzjQzc" TargetMode="External"/><Relationship Id="rId304" Type="http://schemas.openxmlformats.org/officeDocument/2006/relationships/hyperlink" Target="https://www.youtube.com/watch?v=1kuYwCDc0tM" TargetMode="External"/><Relationship Id="rId305" Type="http://schemas.openxmlformats.org/officeDocument/2006/relationships/hyperlink" Target="https://www.youtube.com/watch?v=r8egrNqH2YU" TargetMode="External"/><Relationship Id="rId306" Type="http://schemas.openxmlformats.org/officeDocument/2006/relationships/hyperlink" Target="https://www.youtube.com/watch?v=tqt1Wr5-q-E" TargetMode="External"/><Relationship Id="rId307" Type="http://schemas.openxmlformats.org/officeDocument/2006/relationships/hyperlink" Target="https://www.youtube.com/watch?v=j5aboEF2-qo" TargetMode="External"/><Relationship Id="rId308" Type="http://schemas.openxmlformats.org/officeDocument/2006/relationships/hyperlink" Target="https://www.youtube.com/watch?v=hbVxhOV6NFw" TargetMode="External"/><Relationship Id="rId309" Type="http://schemas.openxmlformats.org/officeDocument/2006/relationships/hyperlink" Target="https://www.youtube.com/watch?v=9pqoVZEEyrg" TargetMode="External"/><Relationship Id="rId310" Type="http://schemas.openxmlformats.org/officeDocument/2006/relationships/hyperlink" Target="https://www.youtube.com/watch?v=66KjiicFGL4" TargetMode="External"/><Relationship Id="rId311" Type="http://schemas.openxmlformats.org/officeDocument/2006/relationships/hyperlink" Target="https://www.youtube.com/watch?v=0fwT622SLB8" TargetMode="External"/><Relationship Id="rId312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4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3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6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5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5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8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6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5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6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8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4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5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1</v>
      </c>
      <c r="F220" s="7"/>
      <c r="G220" s="7"/>
      <c r="H220" s="7" t="str">
        <f aca="false">IF(G220&lt;&gt;"","Takroriy",IF(E220=0,"Yetishmaydi",IF(F220="ha","Qisman to‘ldirilgan","Mavjud, lekin tekshirilmagan")))</f>
        <v>Mavjud, lekin tekshirilmagan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25" hidden="false" customHeight="tru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25" hidden="false" customHeight="tru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25" hidden="false" customHeight="tru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25" hidden="false" customHeight="tru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25" hidden="false" customHeight="tru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25" hidden="false" customHeight="tru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  <row r="299" customFormat="false" ht="23.25" hidden="false" customHeight="true" outlineLevel="0" collapsed="false">
      <c r="A299" s="7" t="s">
        <v>2150</v>
      </c>
      <c r="B299" s="7" t="s">
        <v>432</v>
      </c>
      <c r="C299" s="7"/>
      <c r="D299" s="7" t="str">
        <f aca="false">IFERROR(INDEX(Mundarija!$D:$D,MATCH(B299,Mundarija!$A:$A,0)),"kod topilmadi")</f>
        <v>25.2. Karotid va vertebral arteriyalar.</v>
      </c>
      <c r="E299" s="7" t="s">
        <v>2151</v>
      </c>
      <c r="F299" s="12" t="s">
        <v>2152</v>
      </c>
      <c r="G299" s="7" t="s">
        <v>1194</v>
      </c>
      <c r="H299" s="7" t="s">
        <v>895</v>
      </c>
      <c r="I299" s="7" t="s">
        <v>812</v>
      </c>
      <c r="J299" s="7" t="s">
        <v>812</v>
      </c>
      <c r="K299" s="7" t="s">
        <v>813</v>
      </c>
      <c r="L299" s="7" t="s">
        <v>839</v>
      </c>
      <c r="M299" s="7" t="s">
        <v>897</v>
      </c>
      <c r="N299" s="13" t="s">
        <v>816</v>
      </c>
      <c r="O299" s="7" t="s">
        <v>817</v>
      </c>
      <c r="P299" s="7" t="s">
        <v>2</v>
      </c>
      <c r="Q299" s="7" t="s">
        <v>20</v>
      </c>
      <c r="R299" s="13"/>
      <c r="S299" s="13"/>
      <c r="T299" s="13"/>
      <c r="U299" s="13"/>
      <c r="V299" s="13"/>
      <c r="W299" s="13"/>
      <c r="X299" s="7" t="str">
        <f aca="false">IF(COUNT(R299:W299)=6,SUM(R299:W299),"ko‘rilmagan")</f>
        <v>ko‘rilmagan</v>
      </c>
      <c r="Y299" s="13" t="s">
        <v>2153</v>
      </c>
    </row>
    <row r="300" customFormat="false" ht="23.25" hidden="false" customHeight="true" outlineLevel="0" collapsed="false">
      <c r="A300" s="7" t="s">
        <v>2154</v>
      </c>
      <c r="B300" s="7" t="s">
        <v>432</v>
      </c>
      <c r="C300" s="7" t="s">
        <v>438</v>
      </c>
      <c r="D300" s="7" t="str">
        <f aca="false">IFERROR(INDEX(Mundarija!$D:$D,MATCH(B300,Mundarija!$A:$A,0)),"kod topilmadi")</f>
        <v>25.2. Karotid va vertebral arteriyalar.</v>
      </c>
      <c r="E300" s="7" t="s">
        <v>2155</v>
      </c>
      <c r="F300" s="12" t="s">
        <v>2156</v>
      </c>
      <c r="G300" s="7" t="s">
        <v>2044</v>
      </c>
      <c r="H300" s="7" t="s">
        <v>2045</v>
      </c>
      <c r="I300" s="7" t="s">
        <v>812</v>
      </c>
      <c r="J300" s="7" t="s">
        <v>812</v>
      </c>
      <c r="K300" s="7" t="s">
        <v>813</v>
      </c>
      <c r="L300" s="7" t="s">
        <v>839</v>
      </c>
      <c r="M300" s="7" t="s">
        <v>847</v>
      </c>
      <c r="N300" s="13" t="s">
        <v>816</v>
      </c>
      <c r="O300" s="7" t="s">
        <v>817</v>
      </c>
      <c r="P300" s="7" t="s">
        <v>2</v>
      </c>
      <c r="Q300" s="7" t="s">
        <v>20</v>
      </c>
      <c r="R300" s="13"/>
      <c r="S300" s="13"/>
      <c r="T300" s="13"/>
      <c r="U300" s="13"/>
      <c r="V300" s="13"/>
      <c r="W300" s="13"/>
      <c r="X300" s="7" t="str">
        <f aca="false">IF(COUNT(R300:W300)=6,SUM(R300:W300),"ko‘rilmagan")</f>
        <v>ko‘rilmagan</v>
      </c>
      <c r="Y300" s="13" t="s">
        <v>2153</v>
      </c>
    </row>
    <row r="301" customFormat="false" ht="23.25" hidden="false" customHeight="true" outlineLevel="0" collapsed="false">
      <c r="A301" s="7" t="s">
        <v>2157</v>
      </c>
      <c r="B301" s="7" t="s">
        <v>438</v>
      </c>
      <c r="C301" s="7"/>
      <c r="D301" s="7" t="str">
        <f aca="false">IFERROR(INDEX(Mundarija!$D:$D,MATCH(B301,Mundarija!$A:$A,0)),"kod topilmadi")</f>
        <v>25.5. Chuqur vena trombozi: kompressiya va Doppler.</v>
      </c>
      <c r="E301" s="7" t="s">
        <v>2158</v>
      </c>
      <c r="F301" s="12" t="s">
        <v>2159</v>
      </c>
      <c r="G301" s="7" t="s">
        <v>1158</v>
      </c>
      <c r="H301" s="7" t="s">
        <v>1777</v>
      </c>
      <c r="I301" s="7" t="s">
        <v>812</v>
      </c>
      <c r="J301" s="7" t="s">
        <v>812</v>
      </c>
      <c r="K301" s="7" t="s">
        <v>813</v>
      </c>
      <c r="L301" s="7" t="s">
        <v>839</v>
      </c>
      <c r="M301" s="7" t="s">
        <v>847</v>
      </c>
      <c r="N301" s="13" t="s">
        <v>816</v>
      </c>
      <c r="O301" s="7" t="s">
        <v>817</v>
      </c>
      <c r="P301" s="7" t="s">
        <v>2</v>
      </c>
      <c r="Q301" s="7" t="s">
        <v>20</v>
      </c>
      <c r="R301" s="13"/>
      <c r="S301" s="13"/>
      <c r="T301" s="13"/>
      <c r="U301" s="13"/>
      <c r="V301" s="13"/>
      <c r="W301" s="13"/>
      <c r="X301" s="7" t="str">
        <f aca="false">IF(COUNT(R301:W301)=6,SUM(R301:W301),"ko‘rilmagan")</f>
        <v>ko‘rilmagan</v>
      </c>
      <c r="Y301" s="13" t="s">
        <v>2153</v>
      </c>
    </row>
    <row r="302" customFormat="false" ht="23.25" hidden="false" customHeight="true" outlineLevel="0" collapsed="false">
      <c r="A302" s="7" t="s">
        <v>2160</v>
      </c>
      <c r="B302" s="7" t="s">
        <v>440</v>
      </c>
      <c r="C302" s="7"/>
      <c r="D302" s="7" t="str">
        <f aca="false">IFERROR(INDEX(Mundarija!$D:$D,MATCH(B302,Mundarija!$A:$A,0)),"kod topilmadi")</f>
        <v>25.6. Yuzaki venalar va varikoz.</v>
      </c>
      <c r="E302" s="7" t="s">
        <v>2161</v>
      </c>
      <c r="F302" s="12" t="s">
        <v>2162</v>
      </c>
      <c r="G302" s="7" t="s">
        <v>1344</v>
      </c>
      <c r="H302" s="7" t="s">
        <v>2163</v>
      </c>
      <c r="I302" s="7" t="s">
        <v>812</v>
      </c>
      <c r="J302" s="7" t="s">
        <v>812</v>
      </c>
      <c r="K302" s="7" t="s">
        <v>813</v>
      </c>
      <c r="L302" s="7" t="s">
        <v>1683</v>
      </c>
      <c r="M302" s="7" t="s">
        <v>847</v>
      </c>
      <c r="N302" s="13" t="s">
        <v>816</v>
      </c>
      <c r="O302" s="7" t="s">
        <v>817</v>
      </c>
      <c r="P302" s="7" t="s">
        <v>2</v>
      </c>
      <c r="Q302" s="7" t="s">
        <v>20</v>
      </c>
      <c r="R302" s="13"/>
      <c r="S302" s="13"/>
      <c r="T302" s="13"/>
      <c r="U302" s="13"/>
      <c r="V302" s="13"/>
      <c r="W302" s="13"/>
      <c r="X302" s="7" t="str">
        <f aca="false">IF(COUNT(R302:W302)=6,SUM(R302:W302),"ko‘rilmagan")</f>
        <v>ko‘rilmagan</v>
      </c>
      <c r="Y302" s="13" t="s">
        <v>2153</v>
      </c>
    </row>
    <row r="303" customFormat="false" ht="23.25" hidden="false" customHeight="true" outlineLevel="0" collapsed="false">
      <c r="A303" s="7" t="s">
        <v>2164</v>
      </c>
      <c r="B303" s="7" t="s">
        <v>442</v>
      </c>
      <c r="C303" s="7" t="s">
        <v>255</v>
      </c>
      <c r="D303" s="7" t="str">
        <f aca="false">IFERROR(INDEX(Mundarija!$D:$D,MATCH(B303,Mundarija!$A:$A,0)),"kod topilmadi")</f>
        <v>25.7. Qorin aortasi va pastki kava vena.</v>
      </c>
      <c r="E303" s="7" t="s">
        <v>2165</v>
      </c>
      <c r="F303" s="12" t="s">
        <v>2166</v>
      </c>
      <c r="G303" s="7" t="s">
        <v>2167</v>
      </c>
      <c r="H303" s="7" t="s">
        <v>2168</v>
      </c>
      <c r="I303" s="7" t="s">
        <v>812</v>
      </c>
      <c r="J303" s="7" t="s">
        <v>812</v>
      </c>
      <c r="K303" s="7" t="s">
        <v>813</v>
      </c>
      <c r="L303" s="7" t="s">
        <v>814</v>
      </c>
      <c r="M303" s="7" t="s">
        <v>826</v>
      </c>
      <c r="N303" s="13" t="s">
        <v>816</v>
      </c>
      <c r="O303" s="7" t="s">
        <v>817</v>
      </c>
      <c r="P303" s="7" t="s">
        <v>2</v>
      </c>
      <c r="Q303" s="7" t="s">
        <v>20</v>
      </c>
      <c r="R303" s="13"/>
      <c r="S303" s="13"/>
      <c r="T303" s="13"/>
      <c r="U303" s="13"/>
      <c r="V303" s="13"/>
      <c r="W303" s="13"/>
      <c r="X303" s="7" t="str">
        <f aca="false">IF(COUNT(R303:W303)=6,SUM(R303:W303),"ko‘rilmagan")</f>
        <v>ko‘rilmagan</v>
      </c>
      <c r="Y303" s="13" t="s">
        <v>2153</v>
      </c>
    </row>
    <row r="304" customFormat="false" ht="23.25" hidden="false" customHeight="true" outlineLevel="0" collapsed="false">
      <c r="A304" s="7" t="s">
        <v>2169</v>
      </c>
      <c r="B304" s="7" t="s">
        <v>181</v>
      </c>
      <c r="C304" s="7"/>
      <c r="D304" s="7" t="str">
        <f aca="false">IFERROR(INDEX(Mundarija!$D:$D,MATCH(B304,Mundarija!$A:$A,0)),"kod topilmadi")</f>
        <v>10.4. Portal gipertenziya, portal va jigar venalari.</v>
      </c>
      <c r="E304" s="7" t="s">
        <v>2170</v>
      </c>
      <c r="F304" s="12" t="s">
        <v>2171</v>
      </c>
      <c r="G304" s="7" t="s">
        <v>1170</v>
      </c>
      <c r="H304" s="7" t="s">
        <v>845</v>
      </c>
      <c r="I304" s="7" t="s">
        <v>812</v>
      </c>
      <c r="J304" s="7" t="s">
        <v>812</v>
      </c>
      <c r="K304" s="7" t="s">
        <v>813</v>
      </c>
      <c r="L304" s="7" t="s">
        <v>839</v>
      </c>
      <c r="M304" s="7" t="s">
        <v>847</v>
      </c>
      <c r="N304" s="13" t="s">
        <v>816</v>
      </c>
      <c r="O304" s="7" t="s">
        <v>817</v>
      </c>
      <c r="P304" s="7" t="s">
        <v>2</v>
      </c>
      <c r="Q304" s="7" t="s">
        <v>20</v>
      </c>
      <c r="R304" s="13"/>
      <c r="S304" s="13"/>
      <c r="T304" s="13"/>
      <c r="U304" s="13"/>
      <c r="V304" s="13"/>
      <c r="W304" s="13"/>
      <c r="X304" s="7" t="str">
        <f aca="false">IF(COUNT(R304:W304)=6,SUM(R304:W304),"ko‘rilmagan")</f>
        <v>ko‘rilmagan</v>
      </c>
      <c r="Y304" s="13" t="s">
        <v>2153</v>
      </c>
    </row>
    <row r="305" customFormat="false" ht="23.25" hidden="false" customHeight="true" outlineLevel="0" collapsed="false">
      <c r="A305" s="7" t="s">
        <v>2172</v>
      </c>
      <c r="B305" s="7" t="s">
        <v>181</v>
      </c>
      <c r="C305" s="7"/>
      <c r="D305" s="7" t="str">
        <f aca="false">IFERROR(INDEX(Mundarija!$D:$D,MATCH(B305,Mundarija!$A:$A,0)),"kod topilmadi")</f>
        <v>10.4. Portal gipertenziya, portal va jigar venalari.</v>
      </c>
      <c r="E305" s="7" t="s">
        <v>2173</v>
      </c>
      <c r="F305" s="12" t="s">
        <v>2174</v>
      </c>
      <c r="G305" s="7" t="s">
        <v>2175</v>
      </c>
      <c r="H305" s="7" t="s">
        <v>845</v>
      </c>
      <c r="I305" s="7" t="s">
        <v>812</v>
      </c>
      <c r="J305" s="7" t="s">
        <v>812</v>
      </c>
      <c r="K305" s="7" t="s">
        <v>813</v>
      </c>
      <c r="L305" s="7" t="s">
        <v>839</v>
      </c>
      <c r="M305" s="7" t="s">
        <v>847</v>
      </c>
      <c r="N305" s="13" t="s">
        <v>816</v>
      </c>
      <c r="O305" s="7" t="s">
        <v>817</v>
      </c>
      <c r="P305" s="7" t="s">
        <v>2</v>
      </c>
      <c r="Q305" s="7" t="s">
        <v>20</v>
      </c>
      <c r="R305" s="13"/>
      <c r="S305" s="13"/>
      <c r="T305" s="13"/>
      <c r="U305" s="13"/>
      <c r="V305" s="13"/>
      <c r="W305" s="13"/>
      <c r="X305" s="7" t="str">
        <f aca="false">IF(COUNT(R305:W305)=6,SUM(R305:W305),"ko‘rilmagan")</f>
        <v>ko‘rilmagan</v>
      </c>
      <c r="Y305" s="13" t="s">
        <v>2153</v>
      </c>
    </row>
    <row r="306" customFormat="false" ht="23.25" hidden="false" customHeight="true" outlineLevel="0" collapsed="false">
      <c r="A306" s="7" t="s">
        <v>2176</v>
      </c>
      <c r="B306" s="7" t="s">
        <v>432</v>
      </c>
      <c r="C306" s="7"/>
      <c r="D306" s="7" t="str">
        <f aca="false">IFERROR(INDEX(Mundarija!$D:$D,MATCH(B306,Mundarija!$A:$A,0)),"kod topilmadi")</f>
        <v>25.2. Karotid va vertebral arteriyalar.</v>
      </c>
      <c r="E306" s="7" t="s">
        <v>2177</v>
      </c>
      <c r="F306" s="12" t="s">
        <v>2178</v>
      </c>
      <c r="G306" s="7" t="s">
        <v>1475</v>
      </c>
      <c r="H306" s="7" t="s">
        <v>845</v>
      </c>
      <c r="I306" s="7" t="s">
        <v>812</v>
      </c>
      <c r="J306" s="7" t="s">
        <v>812</v>
      </c>
      <c r="K306" s="7" t="s">
        <v>813</v>
      </c>
      <c r="L306" s="7" t="s">
        <v>839</v>
      </c>
      <c r="M306" s="7" t="s">
        <v>826</v>
      </c>
      <c r="N306" s="13" t="s">
        <v>816</v>
      </c>
      <c r="O306" s="7" t="s">
        <v>817</v>
      </c>
      <c r="P306" s="7" t="s">
        <v>2</v>
      </c>
      <c r="Q306" s="7" t="s">
        <v>20</v>
      </c>
      <c r="R306" s="13"/>
      <c r="S306" s="13"/>
      <c r="T306" s="13"/>
      <c r="U306" s="13"/>
      <c r="V306" s="13"/>
      <c r="W306" s="13"/>
      <c r="X306" s="7" t="str">
        <f aca="false">IF(COUNT(R306:W306)=6,SUM(R306:W306),"ko‘rilmagan")</f>
        <v>ko‘rilmagan</v>
      </c>
      <c r="Y306" s="13"/>
    </row>
    <row r="307" customFormat="false" ht="23.25" hidden="false" customHeight="true" outlineLevel="0" collapsed="false">
      <c r="A307" s="7" t="s">
        <v>2179</v>
      </c>
      <c r="B307" s="7" t="s">
        <v>442</v>
      </c>
      <c r="C307" s="7" t="s">
        <v>2180</v>
      </c>
      <c r="D307" s="7" t="str">
        <f aca="false">IFERROR(INDEX(Mundarija!$D:$D,MATCH(B307,Mundarija!$A:$A,0)),"kod topilmadi")</f>
        <v>25.7. Qorin aortasi va pastki kava vena.</v>
      </c>
      <c r="E307" s="7" t="s">
        <v>2181</v>
      </c>
      <c r="F307" s="12" t="s">
        <v>2182</v>
      </c>
      <c r="G307" s="7" t="s">
        <v>2183</v>
      </c>
      <c r="H307" s="7" t="s">
        <v>845</v>
      </c>
      <c r="I307" s="7" t="s">
        <v>812</v>
      </c>
      <c r="J307" s="7" t="s">
        <v>812</v>
      </c>
      <c r="K307" s="7" t="s">
        <v>813</v>
      </c>
      <c r="L307" s="7" t="s">
        <v>839</v>
      </c>
      <c r="M307" s="7" t="s">
        <v>1648</v>
      </c>
      <c r="N307" s="13" t="s">
        <v>816</v>
      </c>
      <c r="O307" s="7" t="s">
        <v>817</v>
      </c>
      <c r="P307" s="7" t="s">
        <v>2</v>
      </c>
      <c r="Q307" s="7" t="s">
        <v>20</v>
      </c>
      <c r="R307" s="13"/>
      <c r="S307" s="13"/>
      <c r="T307" s="13"/>
      <c r="U307" s="13"/>
      <c r="V307" s="13"/>
      <c r="W307" s="13"/>
      <c r="X307" s="7" t="str">
        <f aca="false">IF(COUNT(R307:W307)=6,SUM(R307:W307),"ko‘rilmagan")</f>
        <v>ko‘rilmagan</v>
      </c>
      <c r="Y307" s="13"/>
    </row>
    <row r="308" customFormat="false" ht="23.25" hidden="false" customHeight="true" outlineLevel="0" collapsed="false">
      <c r="A308" s="7" t="s">
        <v>2184</v>
      </c>
      <c r="B308" s="7" t="s">
        <v>255</v>
      </c>
      <c r="C308" s="7" t="s">
        <v>534</v>
      </c>
      <c r="D308" s="7" t="str">
        <f aca="false">IFERROR(INDEX(Mundarija!$D:$D,MATCH(B308,Mundarija!$A:$A,0)),"kod topilmadi")</f>
        <v>15.2. Pastki kava vena va uning klinik ahamiyati.</v>
      </c>
      <c r="E308" s="7" t="s">
        <v>2185</v>
      </c>
      <c r="F308" s="12" t="s">
        <v>2186</v>
      </c>
      <c r="G308" s="7" t="s">
        <v>1253</v>
      </c>
      <c r="H308" s="7" t="s">
        <v>1575</v>
      </c>
      <c r="I308" s="7" t="s">
        <v>812</v>
      </c>
      <c r="J308" s="7" t="s">
        <v>812</v>
      </c>
      <c r="K308" s="7" t="s">
        <v>813</v>
      </c>
      <c r="L308" s="7" t="s">
        <v>814</v>
      </c>
      <c r="M308" s="7" t="s">
        <v>826</v>
      </c>
      <c r="N308" s="13" t="s">
        <v>816</v>
      </c>
      <c r="O308" s="7" t="s">
        <v>817</v>
      </c>
      <c r="P308" s="7" t="s">
        <v>2</v>
      </c>
      <c r="Q308" s="7" t="s">
        <v>20</v>
      </c>
      <c r="R308" s="13"/>
      <c r="S308" s="13"/>
      <c r="T308" s="13"/>
      <c r="U308" s="13"/>
      <c r="V308" s="13"/>
      <c r="W308" s="13"/>
      <c r="X308" s="7" t="str">
        <f aca="false">IF(COUNT(R308:W308)=6,SUM(R308:W308),"ko‘rilmagan")</f>
        <v>ko‘rilmagan</v>
      </c>
      <c r="Y308" s="13"/>
    </row>
    <row r="309" customFormat="false" ht="23.25" hidden="false" customHeight="true" outlineLevel="0" collapsed="false">
      <c r="A309" s="7" t="s">
        <v>2187</v>
      </c>
      <c r="B309" s="7" t="s">
        <v>428</v>
      </c>
      <c r="C309" s="7"/>
      <c r="D309" s="7" t="str">
        <f aca="false">IFERROR(INDEX(Mundarija!$D:$D,MATCH(B309,Mundarija!$A:$A,0)),"kod topilmadi")</f>
        <v>25.1. Qon tomirlarning normal sonografik anatomiyasi.</v>
      </c>
      <c r="E309" s="7" t="s">
        <v>2188</v>
      </c>
      <c r="F309" s="12" t="s">
        <v>2189</v>
      </c>
      <c r="G309" s="7" t="s">
        <v>1073</v>
      </c>
      <c r="H309" s="7" t="s">
        <v>845</v>
      </c>
      <c r="I309" s="7" t="s">
        <v>812</v>
      </c>
      <c r="J309" s="7" t="s">
        <v>812</v>
      </c>
      <c r="K309" s="7" t="s">
        <v>813</v>
      </c>
      <c r="L309" s="7" t="s">
        <v>814</v>
      </c>
      <c r="M309" s="7" t="s">
        <v>847</v>
      </c>
      <c r="N309" s="13" t="s">
        <v>816</v>
      </c>
      <c r="O309" s="7" t="s">
        <v>817</v>
      </c>
      <c r="P309" s="7" t="s">
        <v>2</v>
      </c>
      <c r="Q309" s="7" t="s">
        <v>20</v>
      </c>
      <c r="R309" s="13"/>
      <c r="S309" s="13"/>
      <c r="T309" s="13"/>
      <c r="U309" s="13"/>
      <c r="V309" s="13"/>
      <c r="W309" s="13"/>
      <c r="X309" s="7" t="str">
        <f aca="false">IF(COUNT(R309:W309)=6,SUM(R309:W309),"ko‘rilmagan")</f>
        <v>ko‘rilmagan</v>
      </c>
      <c r="Y309" s="13"/>
    </row>
    <row r="310" customFormat="false" ht="23.25" hidden="false" customHeight="true" outlineLevel="0" collapsed="false">
      <c r="A310" s="7" t="s">
        <v>2190</v>
      </c>
      <c r="B310" s="7" t="s">
        <v>434</v>
      </c>
      <c r="C310" s="7"/>
      <c r="D310" s="7" t="str">
        <f aca="false">IFERROR(INDEX(Mundarija!$D:$D,MATCH(B310,Mundarija!$A:$A,0)),"kod topilmadi")</f>
        <v>25.3. Aterosklerotik blyashkalar, stenoz va okklyuziya.</v>
      </c>
      <c r="E310" s="7" t="s">
        <v>2191</v>
      </c>
      <c r="F310" s="12" t="s">
        <v>2192</v>
      </c>
      <c r="G310" s="7" t="s">
        <v>1618</v>
      </c>
      <c r="H310" s="7" t="s">
        <v>1619</v>
      </c>
      <c r="I310" s="7" t="s">
        <v>812</v>
      </c>
      <c r="J310" s="7" t="s">
        <v>812</v>
      </c>
      <c r="K310" s="7" t="s">
        <v>813</v>
      </c>
      <c r="L310" s="7" t="s">
        <v>839</v>
      </c>
      <c r="M310" s="7" t="s">
        <v>847</v>
      </c>
      <c r="N310" s="13" t="s">
        <v>816</v>
      </c>
      <c r="O310" s="7" t="s">
        <v>817</v>
      </c>
      <c r="P310" s="7" t="s">
        <v>2</v>
      </c>
      <c r="Q310" s="7" t="s">
        <v>20</v>
      </c>
      <c r="R310" s="13"/>
      <c r="S310" s="13"/>
      <c r="T310" s="13"/>
      <c r="U310" s="13"/>
      <c r="V310" s="13"/>
      <c r="W310" s="13"/>
      <c r="X310" s="7" t="str">
        <f aca="false">IF(COUNT(R310:W310)=6,SUM(R310:W310),"ko‘rilmagan")</f>
        <v>ko‘rilmagan</v>
      </c>
      <c r="Y310" s="13"/>
    </row>
    <row r="311" customFormat="false" ht="23.85" hidden="false" customHeight="false" outlineLevel="0" collapsed="false">
      <c r="A311" s="7" t="s">
        <v>2193</v>
      </c>
      <c r="B311" s="7" t="s">
        <v>434</v>
      </c>
      <c r="C311" s="7"/>
      <c r="D311" s="7" t="str">
        <f aca="false">IFERROR(INDEX(Mundarija!$D:$D,MATCH(B311,Mundarija!$A:$A,0)),"kod topilmadi")</f>
        <v>25.3. Aterosklerotik blyashkalar, stenoz va okklyuziya.</v>
      </c>
      <c r="E311" s="7" t="s">
        <v>2194</v>
      </c>
      <c r="F311" s="12" t="s">
        <v>2195</v>
      </c>
      <c r="G311" s="7" t="s">
        <v>1158</v>
      </c>
      <c r="H311" s="7" t="s">
        <v>1777</v>
      </c>
      <c r="I311" s="7" t="s">
        <v>812</v>
      </c>
      <c r="J311" s="7" t="s">
        <v>812</v>
      </c>
      <c r="K311" s="7" t="s">
        <v>813</v>
      </c>
      <c r="L311" s="7" t="s">
        <v>839</v>
      </c>
      <c r="M311" s="7" t="s">
        <v>847</v>
      </c>
      <c r="N311" s="13" t="s">
        <v>816</v>
      </c>
      <c r="O311" s="7" t="s">
        <v>817</v>
      </c>
      <c r="P311" s="7" t="s">
        <v>2</v>
      </c>
      <c r="Q311" s="7" t="s">
        <v>20</v>
      </c>
      <c r="R311" s="13"/>
      <c r="S311" s="13"/>
      <c r="T311" s="13"/>
      <c r="U311" s="13"/>
      <c r="V311" s="13"/>
      <c r="W311" s="13"/>
      <c r="X311" s="7" t="str">
        <f aca="false">IF(COUNT(R311:W311)=6,SUM(R311:W311),"ko‘rilmagan")</f>
        <v>ko‘rilmagan</v>
      </c>
      <c r="Y311" s="13" t="s">
        <v>2196</v>
      </c>
    </row>
    <row r="312" customFormat="false" ht="23.85" hidden="false" customHeight="false" outlineLevel="0" collapsed="false">
      <c r="A312" s="7" t="s">
        <v>2197</v>
      </c>
      <c r="B312" s="7" t="s">
        <v>442</v>
      </c>
      <c r="C312" s="7" t="s">
        <v>251</v>
      </c>
      <c r="D312" s="7" t="str">
        <f aca="false">IFERROR(INDEX(Mundarija!$D:$D,MATCH(B312,Mundarija!$A:$A,0)),"kod topilmadi")</f>
        <v>25.7. Qorin aortasi va pastki kava vena.</v>
      </c>
      <c r="E312" s="7" t="s">
        <v>2198</v>
      </c>
      <c r="F312" s="12" t="s">
        <v>2199</v>
      </c>
      <c r="G312" s="7" t="s">
        <v>822</v>
      </c>
      <c r="H312" s="7" t="s">
        <v>2037</v>
      </c>
      <c r="I312" s="7" t="s">
        <v>812</v>
      </c>
      <c r="J312" s="7" t="s">
        <v>812</v>
      </c>
      <c r="K312" s="7" t="s">
        <v>813</v>
      </c>
      <c r="L312" s="7" t="s">
        <v>839</v>
      </c>
      <c r="M312" s="7" t="s">
        <v>826</v>
      </c>
      <c r="N312" s="13" t="s">
        <v>816</v>
      </c>
      <c r="O312" s="7" t="s">
        <v>817</v>
      </c>
      <c r="P312" s="7" t="s">
        <v>2</v>
      </c>
      <c r="Q312" s="7" t="s">
        <v>20</v>
      </c>
      <c r="R312" s="13"/>
      <c r="S312" s="13"/>
      <c r="T312" s="13"/>
      <c r="U312" s="13"/>
      <c r="V312" s="13"/>
      <c r="W312" s="13"/>
      <c r="X312" s="7" t="str">
        <f aca="false">IF(COUNT(R312:W312)=6,SUM(R312:W312),"ko‘rilmagan")</f>
        <v>ko‘rilmagan</v>
      </c>
      <c r="Y312" s="13" t="s">
        <v>2196</v>
      </c>
    </row>
  </sheetData>
  <autoFilter ref="A1:Y312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  <hyperlink ref="F299" r:id="rId298" display="https://www.youtube.com/watch?v=sOwTdJPSBeI"/>
    <hyperlink ref="F300" r:id="rId299" display="https://www.youtube.com/watch?v=fWYo00L5w6o"/>
    <hyperlink ref="F301" r:id="rId300" display="https://www.youtube.com/watch?v=zFtlbk2yzn8"/>
    <hyperlink ref="F302" r:id="rId301" display="https://www.youtube.com/watch?v=JwIWZuq5o14"/>
    <hyperlink ref="F303" r:id="rId302" display="https://www.youtube.com/watch?v=QaQNYFjvKxs"/>
    <hyperlink ref="F304" r:id="rId303" display="https://www.youtube.com/watch?v=R_BbuhzjQzc"/>
    <hyperlink ref="F305" r:id="rId304" display="https://www.youtube.com/watch?v=1kuYwCDc0tM"/>
    <hyperlink ref="F306" r:id="rId305" display="https://www.youtube.com/watch?v=r8egrNqH2YU"/>
    <hyperlink ref="F307" r:id="rId306" display="https://www.youtube.com/watch?v=tqt1Wr5-q-E"/>
    <hyperlink ref="F308" r:id="rId307" display="https://www.youtube.com/watch?v=j5aboEF2-qo"/>
    <hyperlink ref="F309" r:id="rId308" display="https://www.youtube.com/watch?v=hbVxhOV6NFw"/>
    <hyperlink ref="F310" r:id="rId309" display="https://www.youtube.com/watch?v=9pqoVZEEyrg"/>
    <hyperlink ref="F311" r:id="rId310" display="https://www.youtube.com/watch?v=66KjiicFGL4"/>
    <hyperlink ref="F312" r:id="rId311" display="https://www.youtube.com/watch?v=0fwT622SLB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2200</v>
      </c>
      <c r="C1" s="6" t="s">
        <v>2201</v>
      </c>
      <c r="D1" s="6" t="s">
        <v>2202</v>
      </c>
    </row>
    <row r="2" customFormat="false" ht="23.25" hidden="false" customHeight="true" outlineLevel="0" collapsed="false">
      <c r="A2" s="12" t="s">
        <v>2203</v>
      </c>
      <c r="B2" s="7" t="s">
        <v>2204</v>
      </c>
      <c r="C2" s="7" t="s">
        <v>2205</v>
      </c>
      <c r="D2" s="7" t="s">
        <v>2206</v>
      </c>
    </row>
    <row r="3" customFormat="false" ht="15" hidden="false" customHeight="true" outlineLevel="0" collapsed="false">
      <c r="A3" s="12" t="s">
        <v>2207</v>
      </c>
      <c r="B3" s="7" t="s">
        <v>2208</v>
      </c>
      <c r="C3" s="7" t="s">
        <v>2209</v>
      </c>
      <c r="D3" s="7" t="s">
        <v>2206</v>
      </c>
    </row>
    <row r="4" customFormat="false" ht="15" hidden="false" customHeight="true" outlineLevel="0" collapsed="false">
      <c r="A4" s="12" t="s">
        <v>2210</v>
      </c>
      <c r="B4" s="7" t="s">
        <v>2211</v>
      </c>
      <c r="C4" s="7" t="s">
        <v>2212</v>
      </c>
      <c r="D4" s="7" t="s">
        <v>2206</v>
      </c>
    </row>
    <row r="5" customFormat="false" ht="23.25" hidden="false" customHeight="true" outlineLevel="0" collapsed="false">
      <c r="A5" s="12" t="s">
        <v>2213</v>
      </c>
      <c r="B5" s="7" t="s">
        <v>2214</v>
      </c>
      <c r="C5" s="7" t="s">
        <v>2215</v>
      </c>
      <c r="D5" s="7" t="s">
        <v>2206</v>
      </c>
    </row>
    <row r="6" customFormat="false" ht="23.25" hidden="false" customHeight="true" outlineLevel="0" collapsed="false">
      <c r="A6" s="12" t="s">
        <v>2216</v>
      </c>
      <c r="B6" s="7" t="s">
        <v>2217</v>
      </c>
      <c r="C6" s="7" t="s">
        <v>2218</v>
      </c>
      <c r="D6" s="7" t="s">
        <v>2219</v>
      </c>
    </row>
    <row r="7" customFormat="false" ht="23.25" hidden="false" customHeight="true" outlineLevel="0" collapsed="false">
      <c r="A7" s="12" t="s">
        <v>2220</v>
      </c>
      <c r="B7" s="7" t="s">
        <v>2221</v>
      </c>
      <c r="C7" s="7" t="s">
        <v>2222</v>
      </c>
      <c r="D7" s="7" t="s">
        <v>2223</v>
      </c>
    </row>
    <row r="8" customFormat="false" ht="15" hidden="false" customHeight="true" outlineLevel="0" collapsed="false">
      <c r="A8" s="12" t="s">
        <v>2224</v>
      </c>
      <c r="B8" s="7" t="s">
        <v>2225</v>
      </c>
      <c r="C8" s="7" t="s">
        <v>2226</v>
      </c>
      <c r="D8" s="7" t="s">
        <v>2223</v>
      </c>
    </row>
    <row r="9" customFormat="false" ht="15" hidden="false" customHeight="true" outlineLevel="0" collapsed="false">
      <c r="A9" s="12" t="s">
        <v>2227</v>
      </c>
      <c r="B9" s="7" t="s">
        <v>2228</v>
      </c>
      <c r="C9" s="7" t="s">
        <v>2229</v>
      </c>
      <c r="D9" s="7" t="s">
        <v>2230</v>
      </c>
    </row>
    <row r="10" customFormat="false" ht="15" hidden="false" customHeight="true" outlineLevel="0" collapsed="false">
      <c r="A10" s="12" t="s">
        <v>2231</v>
      </c>
      <c r="B10" s="7" t="s">
        <v>2232</v>
      </c>
      <c r="C10" s="7" t="s">
        <v>2233</v>
      </c>
      <c r="D10" s="7" t="s">
        <v>2230</v>
      </c>
    </row>
    <row r="11" customFormat="false" ht="15" hidden="false" customHeight="true" outlineLevel="0" collapsed="false">
      <c r="A11" s="12" t="s">
        <v>2234</v>
      </c>
      <c r="B11" s="7" t="s">
        <v>2235</v>
      </c>
      <c r="C11" s="7" t="s">
        <v>2236</v>
      </c>
      <c r="D11" s="7" t="s">
        <v>2230</v>
      </c>
    </row>
    <row r="12" customFormat="false" ht="15" hidden="false" customHeight="true" outlineLevel="0" collapsed="false">
      <c r="A12" s="12" t="s">
        <v>2237</v>
      </c>
      <c r="B12" s="7" t="s">
        <v>2238</v>
      </c>
      <c r="C12" s="7" t="s">
        <v>2239</v>
      </c>
      <c r="D12" s="7" t="s">
        <v>2219</v>
      </c>
    </row>
    <row r="13" customFormat="false" ht="23.25" hidden="false" customHeight="true" outlineLevel="0" collapsed="false">
      <c r="A13" s="12" t="s">
        <v>2240</v>
      </c>
      <c r="B13" s="7" t="s">
        <v>2241</v>
      </c>
      <c r="C13" s="7" t="s">
        <v>2242</v>
      </c>
      <c r="D13" s="7" t="s">
        <v>2243</v>
      </c>
    </row>
    <row r="14" customFormat="false" ht="15" hidden="false" customHeight="true" outlineLevel="0" collapsed="false">
      <c r="A14" s="12" t="s">
        <v>2244</v>
      </c>
      <c r="B14" s="7" t="s">
        <v>2245</v>
      </c>
      <c r="C14" s="7" t="s">
        <v>2246</v>
      </c>
      <c r="D14" s="7" t="s">
        <v>2223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2247</v>
      </c>
      <c r="D15" s="7" t="s">
        <v>2248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2247</v>
      </c>
      <c r="D16" s="7" t="s">
        <v>2248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2247</v>
      </c>
      <c r="D17" s="7" t="s">
        <v>2248</v>
      </c>
    </row>
    <row r="18" customFormat="false" ht="15" hidden="false" customHeight="true" outlineLevel="0" collapsed="false">
      <c r="A18" s="12" t="s">
        <v>2249</v>
      </c>
      <c r="B18" s="7" t="s">
        <v>2250</v>
      </c>
      <c r="C18" s="7" t="s">
        <v>2229</v>
      </c>
      <c r="D18" s="7" t="s">
        <v>2230</v>
      </c>
    </row>
    <row r="19" customFormat="false" ht="15" hidden="false" customHeight="true" outlineLevel="0" collapsed="false">
      <c r="A19" s="12" t="s">
        <v>2251</v>
      </c>
      <c r="B19" s="7" t="s">
        <v>2252</v>
      </c>
      <c r="C19" s="7" t="s">
        <v>2233</v>
      </c>
      <c r="D19" s="7" t="s">
        <v>2230</v>
      </c>
    </row>
    <row r="20" customFormat="false" ht="23.25" hidden="false" customHeight="true" outlineLevel="0" collapsed="false">
      <c r="A20" s="12" t="s">
        <v>2253</v>
      </c>
      <c r="B20" s="7" t="s">
        <v>2254</v>
      </c>
      <c r="C20" s="7" t="s">
        <v>2255</v>
      </c>
      <c r="D20" s="7" t="s">
        <v>2223</v>
      </c>
    </row>
    <row r="21" customFormat="false" ht="23.25" hidden="false" customHeight="true" outlineLevel="0" collapsed="false">
      <c r="A21" s="12" t="s">
        <v>2256</v>
      </c>
      <c r="B21" s="7" t="s">
        <v>2257</v>
      </c>
      <c r="C21" s="7" t="s">
        <v>2258</v>
      </c>
      <c r="D21" s="7" t="s">
        <v>2223</v>
      </c>
    </row>
    <row r="22" customFormat="false" ht="15" hidden="false" customHeight="true" outlineLevel="0" collapsed="false">
      <c r="A22" s="12" t="s">
        <v>2259</v>
      </c>
      <c r="B22" s="7" t="s">
        <v>2260</v>
      </c>
      <c r="C22" s="7" t="s">
        <v>2261</v>
      </c>
      <c r="D22" s="7" t="s">
        <v>2230</v>
      </c>
    </row>
    <row r="23" customFormat="false" ht="23.25" hidden="false" customHeight="true" outlineLevel="0" collapsed="false">
      <c r="A23" s="12" t="s">
        <v>2262</v>
      </c>
      <c r="B23" s="7" t="s">
        <v>2263</v>
      </c>
      <c r="C23" s="7" t="s">
        <v>2261</v>
      </c>
      <c r="D23" s="7" t="s">
        <v>2230</v>
      </c>
    </row>
    <row r="24" customFormat="false" ht="15" hidden="false" customHeight="true" outlineLevel="0" collapsed="false">
      <c r="A24" s="12" t="s">
        <v>2264</v>
      </c>
      <c r="B24" s="7" t="s">
        <v>2265</v>
      </c>
      <c r="C24" s="7" t="s">
        <v>2261</v>
      </c>
      <c r="D24" s="7" t="s">
        <v>2230</v>
      </c>
    </row>
    <row r="25" customFormat="false" ht="15" hidden="false" customHeight="true" outlineLevel="0" collapsed="false">
      <c r="A25" s="12" t="s">
        <v>2266</v>
      </c>
      <c r="B25" s="7" t="s">
        <v>2267</v>
      </c>
      <c r="C25" s="7" t="s">
        <v>2268</v>
      </c>
      <c r="D25" s="7" t="s">
        <v>2230</v>
      </c>
    </row>
    <row r="26" customFormat="false" ht="15" hidden="false" customHeight="true" outlineLevel="0" collapsed="false">
      <c r="A26" s="12" t="s">
        <v>2269</v>
      </c>
      <c r="B26" s="7" t="s">
        <v>2270</v>
      </c>
      <c r="C26" s="7" t="s">
        <v>2271</v>
      </c>
      <c r="D26" s="7" t="s">
        <v>2230</v>
      </c>
    </row>
    <row r="27" customFormat="false" ht="15" hidden="false" customHeight="true" outlineLevel="0" collapsed="false">
      <c r="A27" s="12" t="s">
        <v>2272</v>
      </c>
      <c r="B27" s="7" t="s">
        <v>2273</v>
      </c>
      <c r="C27" s="7" t="s">
        <v>2274</v>
      </c>
      <c r="D27" s="7" t="s">
        <v>2223</v>
      </c>
    </row>
    <row r="28" customFormat="false" ht="15" hidden="false" customHeight="true" outlineLevel="0" collapsed="false">
      <c r="A28" s="12" t="s">
        <v>2275</v>
      </c>
      <c r="B28" s="7" t="s">
        <v>2276</v>
      </c>
      <c r="C28" s="7" t="s">
        <v>2277</v>
      </c>
      <c r="D28" s="7" t="s">
        <v>2223</v>
      </c>
    </row>
    <row r="29" customFormat="false" ht="15" hidden="false" customHeight="true" outlineLevel="0" collapsed="false">
      <c r="A29" s="12" t="s">
        <v>2278</v>
      </c>
      <c r="B29" s="7" t="s">
        <v>2279</v>
      </c>
      <c r="C29" s="7" t="s">
        <v>2280</v>
      </c>
      <c r="D29" s="7" t="s">
        <v>2223</v>
      </c>
    </row>
    <row r="30" customFormat="false" ht="15" hidden="false" customHeight="true" outlineLevel="0" collapsed="false">
      <c r="A30" s="12" t="s">
        <v>2281</v>
      </c>
      <c r="B30" s="7" t="s">
        <v>2282</v>
      </c>
      <c r="C30" s="7" t="s">
        <v>2268</v>
      </c>
      <c r="D30" s="7" t="s">
        <v>2230</v>
      </c>
    </row>
    <row r="31" customFormat="false" ht="15" hidden="false" customHeight="true" outlineLevel="0" collapsed="false">
      <c r="A31" s="12" t="s">
        <v>2283</v>
      </c>
      <c r="B31" s="7" t="s">
        <v>2284</v>
      </c>
      <c r="C31" s="7" t="s">
        <v>2261</v>
      </c>
      <c r="D31" s="7" t="s">
        <v>2230</v>
      </c>
    </row>
    <row r="32" customFormat="false" ht="15" hidden="false" customHeight="true" outlineLevel="0" collapsed="false">
      <c r="A32" s="12" t="s">
        <v>2285</v>
      </c>
      <c r="B32" s="7" t="s">
        <v>2286</v>
      </c>
      <c r="C32" s="7" t="s">
        <v>2261</v>
      </c>
      <c r="D32" s="7" t="s">
        <v>2230</v>
      </c>
    </row>
    <row r="33" customFormat="false" ht="15" hidden="false" customHeight="true" outlineLevel="0" collapsed="false">
      <c r="A33" s="12" t="s">
        <v>2287</v>
      </c>
      <c r="B33" s="7" t="s">
        <v>2288</v>
      </c>
      <c r="C33" s="7" t="s">
        <v>2268</v>
      </c>
      <c r="D33" s="7" t="s">
        <v>2230</v>
      </c>
    </row>
    <row r="34" customFormat="false" ht="15" hidden="false" customHeight="true" outlineLevel="0" collapsed="false">
      <c r="A34" s="12" t="s">
        <v>2289</v>
      </c>
      <c r="B34" s="7" t="s">
        <v>2290</v>
      </c>
      <c r="C34" s="7" t="s">
        <v>2261</v>
      </c>
      <c r="D34" s="7" t="s">
        <v>2230</v>
      </c>
    </row>
    <row r="35" customFormat="false" ht="23.25" hidden="false" customHeight="true" outlineLevel="0" collapsed="false">
      <c r="A35" s="12" t="s">
        <v>2291</v>
      </c>
      <c r="B35" s="7" t="s">
        <v>2292</v>
      </c>
      <c r="C35" s="7" t="s">
        <v>2268</v>
      </c>
      <c r="D35" s="7" t="s">
        <v>2230</v>
      </c>
    </row>
    <row r="36" customFormat="false" ht="15" hidden="false" customHeight="true" outlineLevel="0" collapsed="false">
      <c r="A36" s="12" t="s">
        <v>2293</v>
      </c>
      <c r="B36" s="7" t="s">
        <v>2294</v>
      </c>
      <c r="C36" s="7" t="s">
        <v>2268</v>
      </c>
      <c r="D36" s="7" t="s">
        <v>2230</v>
      </c>
    </row>
    <row r="37" customFormat="false" ht="15" hidden="false" customHeight="true" outlineLevel="0" collapsed="false">
      <c r="A37" s="12" t="s">
        <v>2295</v>
      </c>
      <c r="B37" s="7" t="s">
        <v>2296</v>
      </c>
      <c r="C37" s="7" t="s">
        <v>2268</v>
      </c>
      <c r="D37" s="7" t="s">
        <v>2230</v>
      </c>
    </row>
    <row r="38" customFormat="false" ht="15" hidden="false" customHeight="true" outlineLevel="0" collapsed="false">
      <c r="A38" s="12" t="s">
        <v>2297</v>
      </c>
      <c r="B38" s="7" t="s">
        <v>2298</v>
      </c>
      <c r="C38" s="7" t="s">
        <v>2271</v>
      </c>
      <c r="D38" s="7" t="s">
        <v>2230</v>
      </c>
    </row>
    <row r="39" customFormat="false" ht="15" hidden="false" customHeight="true" outlineLevel="0" collapsed="false">
      <c r="A39" s="12" t="s">
        <v>2299</v>
      </c>
      <c r="B39" s="7" t="s">
        <v>2300</v>
      </c>
      <c r="C39" s="7" t="s">
        <v>2301</v>
      </c>
      <c r="D39" s="7" t="s">
        <v>2223</v>
      </c>
    </row>
    <row r="40" customFormat="false" ht="15" hidden="false" customHeight="true" outlineLevel="0" collapsed="false">
      <c r="A40" s="12" t="s">
        <v>2302</v>
      </c>
      <c r="B40" s="7" t="s">
        <v>2303</v>
      </c>
      <c r="C40" s="7" t="s">
        <v>2304</v>
      </c>
      <c r="D40" s="7" t="s">
        <v>2223</v>
      </c>
    </row>
    <row r="41" customFormat="false" ht="15" hidden="false" customHeight="true" outlineLevel="0" collapsed="false">
      <c r="A41" s="12" t="s">
        <v>2305</v>
      </c>
      <c r="B41" s="7" t="s">
        <v>2306</v>
      </c>
      <c r="C41" s="7" t="s">
        <v>2261</v>
      </c>
      <c r="D41" s="7" t="s">
        <v>2230</v>
      </c>
    </row>
    <row r="42" customFormat="false" ht="15" hidden="false" customHeight="true" outlineLevel="0" collapsed="false">
      <c r="A42" s="12" t="s">
        <v>2307</v>
      </c>
      <c r="B42" s="7" t="s">
        <v>2188</v>
      </c>
      <c r="C42" s="7" t="s">
        <v>2308</v>
      </c>
      <c r="D42" s="7" t="s">
        <v>2223</v>
      </c>
    </row>
    <row r="43" customFormat="false" ht="15" hidden="false" customHeight="true" outlineLevel="0" collapsed="false">
      <c r="A43" s="12" t="s">
        <v>2309</v>
      </c>
      <c r="B43" s="7" t="s">
        <v>2310</v>
      </c>
      <c r="C43" s="7" t="s">
        <v>2308</v>
      </c>
      <c r="D43" s="7" t="s">
        <v>2223</v>
      </c>
    </row>
    <row r="44" customFormat="false" ht="23.25" hidden="false" customHeight="true" outlineLevel="0" collapsed="false">
      <c r="A44" s="12" t="s">
        <v>2311</v>
      </c>
      <c r="B44" s="7" t="s">
        <v>2312</v>
      </c>
      <c r="C44" s="7" t="s">
        <v>2308</v>
      </c>
      <c r="D44" s="7" t="s">
        <v>2223</v>
      </c>
    </row>
    <row r="45" customFormat="false" ht="15" hidden="false" customHeight="true" outlineLevel="0" collapsed="false">
      <c r="A45" s="12" t="s">
        <v>2313</v>
      </c>
      <c r="B45" s="7" t="s">
        <v>2314</v>
      </c>
      <c r="C45" s="7" t="s">
        <v>2308</v>
      </c>
      <c r="D45" s="7" t="s">
        <v>2223</v>
      </c>
    </row>
    <row r="46" customFormat="false" ht="15" hidden="false" customHeight="true" outlineLevel="0" collapsed="false">
      <c r="A46" s="12" t="s">
        <v>2315</v>
      </c>
      <c r="B46" s="7" t="s">
        <v>2316</v>
      </c>
      <c r="C46" s="7" t="s">
        <v>2308</v>
      </c>
      <c r="D46" s="7" t="s">
        <v>2223</v>
      </c>
    </row>
    <row r="47" customFormat="false" ht="15" hidden="false" customHeight="true" outlineLevel="0" collapsed="false">
      <c r="A47" s="12" t="s">
        <v>2317</v>
      </c>
      <c r="B47" s="7" t="s">
        <v>2318</v>
      </c>
      <c r="C47" s="7" t="s">
        <v>2308</v>
      </c>
      <c r="D47" s="7" t="s">
        <v>2223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2319</v>
      </c>
      <c r="D1" s="6" t="s">
        <v>2320</v>
      </c>
      <c r="E1" s="6" t="s">
        <v>2321</v>
      </c>
      <c r="F1" s="6" t="s">
        <v>2322</v>
      </c>
      <c r="G1" s="6" t="s">
        <v>2323</v>
      </c>
      <c r="H1" s="6" t="s">
        <v>2243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1</v>
      </c>
      <c r="E30" s="16" t="n">
        <f aca="false">IF(C30=0,0,D30/C30)</f>
        <v>0.111111111111111</v>
      </c>
      <c r="F30" s="7" t="n">
        <f aca="false">COUNTIFS(Mundarija!$C$2:$C$254,B30,Mundarija!$H$2:$H$254,"Yetishmaydi")</f>
        <v>8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2324</v>
      </c>
      <c r="C35" s="17" t="n">
        <f aca="false">SUM(C2:C34)</f>
        <v>253</v>
      </c>
      <c r="D35" s="17" t="n">
        <f aca="false">SUM(D2:D34)</f>
        <v>179</v>
      </c>
      <c r="E35" s="18" t="n">
        <f aca="false">IF(C35=0,0,D35/C35)</f>
        <v>0.707509881422925</v>
      </c>
      <c r="F35" s="17" t="n">
        <f aca="false">SUM(F2:F34)</f>
        <v>70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2325</v>
      </c>
    </row>
    <row r="38" customFormat="false" ht="15" hidden="false" customHeight="true" outlineLevel="0" collapsed="false">
      <c r="A38" s="11" t="s">
        <v>2326</v>
      </c>
      <c r="B38" s="11" t="s">
        <v>2327</v>
      </c>
      <c r="C38" s="11" t="s">
        <v>2328</v>
      </c>
    </row>
    <row r="39" customFormat="false" ht="23.25" hidden="false" customHeight="true" outlineLevel="0" collapsed="false">
      <c r="A39" s="7" t="s">
        <v>2329</v>
      </c>
      <c r="B39" s="7" t="s">
        <v>2330</v>
      </c>
      <c r="C39" s="16" t="n">
        <f aca="false">C35/253</f>
        <v>1</v>
      </c>
    </row>
    <row r="40" customFormat="false" ht="15" hidden="false" customHeight="true" outlineLevel="0" collapsed="false">
      <c r="A40" s="7" t="s">
        <v>2331</v>
      </c>
      <c r="B40" s="7" t="s">
        <v>2332</v>
      </c>
      <c r="C40" s="16" t="n">
        <f aca="false">E35</f>
        <v>0.707509881422925</v>
      </c>
    </row>
    <row r="41" customFormat="false" ht="23.25" hidden="false" customHeight="true" outlineLevel="0" collapsed="false">
      <c r="A41" s="7" t="s">
        <v>2333</v>
      </c>
      <c r="B41" s="7" t="s">
        <v>2334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2335</v>
      </c>
      <c r="B42" s="7" t="s">
        <v>2336</v>
      </c>
      <c r="C42" s="16" t="n">
        <f aca="false">(COUNTIF(Katalog!$Q$2:$Q$312,"Havola tekshirilgan*")+COUNTIF(Katalog!$Q$2:$Q$312,"Metadata tekshirilgan*"))/COUNTA(Katalog!$A$2:$A$312)</f>
        <v>0.990353697749196</v>
      </c>
    </row>
    <row r="43" customFormat="false" ht="23.25" hidden="false" customHeight="true" outlineLevel="0" collapsed="false">
      <c r="A43" s="7" t="s">
        <v>2337</v>
      </c>
      <c r="B43" s="7" t="s">
        <v>2338</v>
      </c>
      <c r="C43" s="16" t="n">
        <f aca="false">COUNT(Katalog!$X$2:$X$312)/COUNTA(Katalog!$A$2:$A$312)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2339</v>
      </c>
      <c r="B1" s="6" t="s">
        <v>2340</v>
      </c>
      <c r="C1" s="6" t="s">
        <v>2341</v>
      </c>
      <c r="D1" s="6" t="s">
        <v>41</v>
      </c>
      <c r="E1" s="6" t="s">
        <v>2342</v>
      </c>
    </row>
    <row r="2" customFormat="false" ht="23.25" hidden="false" customHeight="true" outlineLevel="0" collapsed="false">
      <c r="A2" s="7" t="s">
        <v>2343</v>
      </c>
      <c r="B2" s="7" t="s">
        <v>2344</v>
      </c>
      <c r="C2" s="7" t="s">
        <v>2345</v>
      </c>
      <c r="D2" s="7" t="s">
        <v>2346</v>
      </c>
      <c r="E2" s="7" t="s">
        <v>2347</v>
      </c>
    </row>
    <row r="3" customFormat="false" ht="23.25" hidden="false" customHeight="true" outlineLevel="0" collapsed="false">
      <c r="A3" s="7" t="s">
        <v>2348</v>
      </c>
      <c r="B3" s="7" t="s">
        <v>2349</v>
      </c>
      <c r="C3" s="7" t="s">
        <v>2350</v>
      </c>
      <c r="D3" s="7" t="s">
        <v>2351</v>
      </c>
      <c r="E3" s="7" t="s">
        <v>2352</v>
      </c>
    </row>
    <row r="4" customFormat="false" ht="34.5" hidden="false" customHeight="true" outlineLevel="0" collapsed="false">
      <c r="A4" s="7" t="s">
        <v>2353</v>
      </c>
      <c r="B4" s="7" t="s">
        <v>2354</v>
      </c>
      <c r="C4" s="7" t="s">
        <v>2355</v>
      </c>
      <c r="D4" s="7" t="s">
        <v>2356</v>
      </c>
      <c r="E4" s="7" t="s">
        <v>2357</v>
      </c>
    </row>
    <row r="5" customFormat="false" ht="23.25" hidden="false" customHeight="true" outlineLevel="0" collapsed="false">
      <c r="A5" s="7" t="s">
        <v>2358</v>
      </c>
      <c r="B5" s="7" t="s">
        <v>2359</v>
      </c>
      <c r="C5" s="7" t="s">
        <v>2360</v>
      </c>
      <c r="D5" s="7" t="s">
        <v>2356</v>
      </c>
      <c r="E5" s="7" t="s">
        <v>2361</v>
      </c>
    </row>
    <row r="6" customFormat="false" ht="23.25" hidden="false" customHeight="true" outlineLevel="0" collapsed="false">
      <c r="A6" s="7" t="s">
        <v>2362</v>
      </c>
      <c r="B6" s="7" t="s">
        <v>2363</v>
      </c>
      <c r="C6" s="7" t="s">
        <v>2364</v>
      </c>
      <c r="D6" s="7" t="s">
        <v>2356</v>
      </c>
      <c r="E6" s="7" t="s">
        <v>2365</v>
      </c>
    </row>
    <row r="7" customFormat="false" ht="23.25" hidden="false" customHeight="true" outlineLevel="0" collapsed="false">
      <c r="A7" s="7" t="s">
        <v>2366</v>
      </c>
      <c r="B7" s="7" t="s">
        <v>2367</v>
      </c>
      <c r="C7" s="7" t="s">
        <v>2368</v>
      </c>
      <c r="D7" s="7" t="s">
        <v>2356</v>
      </c>
      <c r="E7" s="7" t="s">
        <v>2369</v>
      </c>
    </row>
    <row r="8" customFormat="false" ht="23.25" hidden="false" customHeight="true" outlineLevel="0" collapsed="false">
      <c r="A8" s="7" t="s">
        <v>2370</v>
      </c>
      <c r="B8" s="7" t="s">
        <v>2371</v>
      </c>
      <c r="C8" s="7" t="s">
        <v>2372</v>
      </c>
      <c r="D8" s="7" t="s">
        <v>2373</v>
      </c>
      <c r="E8" s="7" t="s">
        <v>2374</v>
      </c>
    </row>
    <row r="9" customFormat="false" ht="23.25" hidden="false" customHeight="true" outlineLevel="0" collapsed="false">
      <c r="A9" s="7" t="s">
        <v>2375</v>
      </c>
      <c r="B9" s="7" t="s">
        <v>2376</v>
      </c>
      <c r="C9" s="7" t="s">
        <v>2377</v>
      </c>
      <c r="D9" s="7" t="s">
        <v>2378</v>
      </c>
      <c r="E9" s="7" t="s">
        <v>2379</v>
      </c>
    </row>
    <row r="11" customFormat="false" ht="15" hidden="false" customHeight="true" outlineLevel="0" collapsed="false">
      <c r="A11" s="10" t="s">
        <v>2380</v>
      </c>
    </row>
    <row r="12" customFormat="false" ht="15" hidden="false" customHeight="true" outlineLevel="0" collapsed="false">
      <c r="A12" s="11" t="s">
        <v>2381</v>
      </c>
      <c r="B12" s="11" t="s">
        <v>2382</v>
      </c>
      <c r="C12" s="11" t="s">
        <v>2201</v>
      </c>
      <c r="D12" s="11" t="s">
        <v>2383</v>
      </c>
    </row>
    <row r="13" customFormat="false" ht="15" hidden="false" customHeight="true" outlineLevel="0" collapsed="false">
      <c r="A13" s="7" t="s">
        <v>2384</v>
      </c>
      <c r="B13" s="7" t="s">
        <v>2385</v>
      </c>
      <c r="C13" s="7" t="s">
        <v>2386</v>
      </c>
      <c r="D13" s="7" t="s">
        <v>2387</v>
      </c>
    </row>
    <row r="14" customFormat="false" ht="34.5" hidden="false" customHeight="true" outlineLevel="0" collapsed="false">
      <c r="A14" s="7" t="s">
        <v>2384</v>
      </c>
      <c r="B14" s="7" t="s">
        <v>2388</v>
      </c>
      <c r="C14" s="7" t="s">
        <v>2389</v>
      </c>
      <c r="D14" s="7" t="s">
        <v>2390</v>
      </c>
    </row>
    <row r="15" customFormat="false" ht="23.25" hidden="false" customHeight="true" outlineLevel="0" collapsed="false">
      <c r="A15" s="7" t="s">
        <v>2384</v>
      </c>
      <c r="B15" s="7" t="s">
        <v>2391</v>
      </c>
      <c r="C15" s="7" t="s">
        <v>2392</v>
      </c>
      <c r="D15" s="7" t="s">
        <v>2393</v>
      </c>
    </row>
    <row r="16" customFormat="false" ht="23.25" hidden="false" customHeight="true" outlineLevel="0" collapsed="false">
      <c r="A16" s="7" t="s">
        <v>2384</v>
      </c>
      <c r="B16" s="7" t="s">
        <v>2394</v>
      </c>
      <c r="C16" s="7" t="s">
        <v>2395</v>
      </c>
      <c r="D16" s="7" t="s">
        <v>2396</v>
      </c>
    </row>
    <row r="17" customFormat="false" ht="23.25" hidden="false" customHeight="true" outlineLevel="0" collapsed="false">
      <c r="A17" s="7" t="s">
        <v>2384</v>
      </c>
      <c r="B17" s="7" t="s">
        <v>2397</v>
      </c>
      <c r="C17" s="7" t="s">
        <v>2398</v>
      </c>
      <c r="D17" s="7" t="s">
        <v>2399</v>
      </c>
    </row>
    <row r="18" customFormat="false" ht="23.25" hidden="false" customHeight="true" outlineLevel="0" collapsed="false">
      <c r="A18" s="7" t="s">
        <v>2384</v>
      </c>
      <c r="B18" s="7" t="s">
        <v>2400</v>
      </c>
      <c r="C18" s="7" t="s">
        <v>2401</v>
      </c>
      <c r="D18" s="7" t="s">
        <v>2402</v>
      </c>
    </row>
    <row r="19" customFormat="false" ht="34.5" hidden="false" customHeight="true" outlineLevel="0" collapsed="false">
      <c r="A19" s="7" t="s">
        <v>2403</v>
      </c>
      <c r="B19" s="7" t="s">
        <v>95</v>
      </c>
      <c r="C19" s="7" t="s">
        <v>2404</v>
      </c>
      <c r="D19" s="7" t="s">
        <v>2405</v>
      </c>
    </row>
    <row r="20" customFormat="false" ht="15" hidden="false" customHeight="true" outlineLevel="0" collapsed="false">
      <c r="A20" s="7" t="s">
        <v>2406</v>
      </c>
      <c r="B20" s="7" t="s">
        <v>63</v>
      </c>
      <c r="C20" s="7" t="s">
        <v>2407</v>
      </c>
      <c r="D20" s="7" t="s">
        <v>2408</v>
      </c>
    </row>
    <row r="21" customFormat="false" ht="34.5" hidden="false" customHeight="true" outlineLevel="0" collapsed="false">
      <c r="A21" s="7" t="s">
        <v>2406</v>
      </c>
      <c r="B21" s="7" t="s">
        <v>68</v>
      </c>
      <c r="C21" s="7" t="s">
        <v>2409</v>
      </c>
      <c r="D21" s="7" t="s">
        <v>2410</v>
      </c>
    </row>
    <row r="22" customFormat="false" ht="23.25" hidden="false" customHeight="true" outlineLevel="0" collapsed="false">
      <c r="A22" s="7" t="s">
        <v>2406</v>
      </c>
      <c r="B22" s="7" t="s">
        <v>2411</v>
      </c>
      <c r="C22" s="7" t="s">
        <v>2412</v>
      </c>
      <c r="D22" s="7" t="s">
        <v>2413</v>
      </c>
    </row>
    <row r="23" customFormat="false" ht="23.25" hidden="false" customHeight="true" outlineLevel="0" collapsed="false">
      <c r="A23" s="7" t="s">
        <v>2406</v>
      </c>
      <c r="B23" s="7" t="s">
        <v>2414</v>
      </c>
      <c r="C23" s="7" t="s">
        <v>2415</v>
      </c>
      <c r="D23" s="7" t="s">
        <v>2416</v>
      </c>
    </row>
    <row r="24" customFormat="false" ht="23.25" hidden="false" customHeight="true" outlineLevel="0" collapsed="false">
      <c r="A24" s="7" t="s">
        <v>2322</v>
      </c>
      <c r="B24" s="7" t="s">
        <v>185</v>
      </c>
      <c r="C24" s="7" t="s">
        <v>2417</v>
      </c>
      <c r="D24" s="7" t="s">
        <v>2418</v>
      </c>
    </row>
    <row r="25" customFormat="false" ht="23.25" hidden="false" customHeight="true" outlineLevel="0" collapsed="false">
      <c r="A25" s="7" t="s">
        <v>2322</v>
      </c>
      <c r="B25" s="7" t="s">
        <v>201</v>
      </c>
      <c r="C25" s="7" t="s">
        <v>2419</v>
      </c>
      <c r="D25" s="7" t="s">
        <v>2420</v>
      </c>
    </row>
    <row r="26" customFormat="false" ht="15" hidden="false" customHeight="true" outlineLevel="0" collapsed="false">
      <c r="A26" s="7" t="s">
        <v>2322</v>
      </c>
      <c r="B26" s="7" t="s">
        <v>354</v>
      </c>
      <c r="C26" s="7" t="s">
        <v>2421</v>
      </c>
      <c r="D26" s="7" t="s">
        <v>2422</v>
      </c>
    </row>
    <row r="27" customFormat="false" ht="34.5" hidden="false" customHeight="true" outlineLevel="0" collapsed="false">
      <c r="A27" s="7" t="s">
        <v>2423</v>
      </c>
      <c r="B27" s="7" t="s">
        <v>482</v>
      </c>
      <c r="C27" s="7" t="s">
        <v>2424</v>
      </c>
      <c r="D27" s="7" t="s">
        <v>2425</v>
      </c>
    </row>
    <row r="29" customFormat="false" ht="15" hidden="false" customHeight="true" outlineLevel="0" collapsed="false">
      <c r="A29" s="10" t="s">
        <v>2426</v>
      </c>
    </row>
    <row r="30" customFormat="false" ht="15" hidden="false" customHeight="true" outlineLevel="0" collapsed="false">
      <c r="A30" s="11" t="s">
        <v>2427</v>
      </c>
      <c r="B30" s="11" t="s">
        <v>2428</v>
      </c>
      <c r="C30" s="11" t="s">
        <v>2429</v>
      </c>
      <c r="D30" s="11" t="s">
        <v>41</v>
      </c>
    </row>
    <row r="31" customFormat="false" ht="45.75" hidden="false" customHeight="true" outlineLevel="0" collapsed="false">
      <c r="A31" s="7" t="s">
        <v>2430</v>
      </c>
      <c r="B31" s="7" t="s">
        <v>2431</v>
      </c>
      <c r="C31" s="7" t="s">
        <v>2432</v>
      </c>
      <c r="D31" s="7" t="s">
        <v>2433</v>
      </c>
    </row>
    <row r="32" customFormat="false" ht="23.25" hidden="false" customHeight="true" outlineLevel="0" collapsed="false">
      <c r="A32" s="7" t="s">
        <v>2434</v>
      </c>
      <c r="B32" s="7" t="s">
        <v>2435</v>
      </c>
      <c r="C32" s="7" t="s">
        <v>2436</v>
      </c>
      <c r="D32" s="7" t="s">
        <v>2433</v>
      </c>
    </row>
    <row r="33" customFormat="false" ht="34.5" hidden="false" customHeight="true" outlineLevel="0" collapsed="false">
      <c r="A33" s="7" t="s">
        <v>2437</v>
      </c>
      <c r="B33" s="7" t="s">
        <v>2438</v>
      </c>
      <c r="C33" s="7" t="s">
        <v>2439</v>
      </c>
      <c r="D33" s="7" t="s">
        <v>2440</v>
      </c>
    </row>
    <row r="34" customFormat="false" ht="23.25" hidden="false" customHeight="true" outlineLevel="0" collapsed="false">
      <c r="A34" s="7" t="s">
        <v>2441</v>
      </c>
      <c r="B34" s="7" t="s">
        <v>2442</v>
      </c>
      <c r="C34" s="7" t="s">
        <v>2443</v>
      </c>
      <c r="D34" s="7" t="s">
        <v>2444</v>
      </c>
    </row>
    <row r="35" customFormat="false" ht="23.25" hidden="false" customHeight="true" outlineLevel="0" collapsed="false">
      <c r="A35" s="7" t="s">
        <v>2445</v>
      </c>
      <c r="B35" s="7" t="s">
        <v>2446</v>
      </c>
      <c r="C35" s="7" t="s">
        <v>2447</v>
      </c>
      <c r="D35" s="7" t="s">
        <v>2448</v>
      </c>
    </row>
    <row r="36" customFormat="false" ht="34.5" hidden="false" customHeight="true" outlineLevel="0" collapsed="false">
      <c r="A36" s="7" t="s">
        <v>2449</v>
      </c>
      <c r="B36" s="7" t="s">
        <v>2450</v>
      </c>
      <c r="C36" s="7" t="s">
        <v>2451</v>
      </c>
      <c r="D36" s="7" t="s">
        <v>2452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2026-10-17T11:58:14Z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