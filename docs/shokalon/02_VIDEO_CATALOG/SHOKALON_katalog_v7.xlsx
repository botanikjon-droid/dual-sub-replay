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Katalog!$A$1:$Y$285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<sst xmlns="http://schemas.openxmlformats.org/spreadsheetml/2006/main" count="6697" uniqueCount="2363">
  <si>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</si>
  <si>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</si>
  <si>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</si>
  <si>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</si>
  <si>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284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</si>
  <si>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</si>
  <si>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</si>
  <si>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</si>
  <si>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</si>
  <si>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</si>
  <si>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</si>
  <si>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</si>
  <si>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</si>
  <si>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</si>
  <si>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</si>
  <si>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</si>
  <si>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</si>
  <si>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</si>
  <si>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</si>
  <si>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</si>
  <si>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</si>
  <si>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</si>
  <si>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</si>
  <si>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</si>
  <si>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</si>
  <si>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</si>
  <si>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</si>
  <si>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</si>
  <si>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</si>
  <si>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</si>
  <si>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</si>
  <si>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</si>
  <si>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</si>
  <si>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</si>
  <si>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</si>
  <si>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</si>
  <si>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</si>
  <si>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</si>
  <si>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</si>
  <si>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</si>
  <si>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</si>
  <si>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</si>
  <si>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</si>
  <si>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</si>
  <si>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</si>
  <si>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</si>
  <si>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</si>
  <si>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</si>
  <si>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</si>
  <si>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</si>
  <si>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</si>
  <si>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</si>
  <si>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</si>
  <si>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</si>
  <si>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</si>
  <si>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</si>
  <si>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</si>
  <si>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</si>
  <si>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</si>
  <si>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</si>
  <si>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</si>
  <si>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</si>
  <si>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</si>
  <si>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</si>
  <si>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</si>
  <si>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</si>
  <si>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</si>
  <si>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</si>
  <si>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</si>
  <si>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</si>
  <si>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</si>
  <si>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</si>
  <si>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</si>
  <si>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</si>
  <si>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</si>
  <si>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</si>
  <si>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</si>
  <si>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</si>
  <si>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</si>
  <si>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</si>
  <si>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</si>
  <si>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</si>
  <si>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</si>
  <si>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</si>
  <si>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</si>
  <si>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</si>
  <si>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</si>
  <si>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</si>
  <si>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</si>
  <si>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</si>
  <si>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</si>
  <si>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</si>
  <si>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</si>
  <si>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</si>
  <si>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</si>
  <si>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</si>
  <si>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</si>
  <si>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</si>
  <si>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</si>
  <si>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</si>
  <si>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</si>
  <si>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</si>
  <si>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</si>
  <si>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</si>
  <si>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</si>
  <si>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</si>
  <si>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</si>
  <si>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</si>
  <si>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</si>
  <si>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</si>
  <si>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</si>
  <si>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</si>
  <si>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</si>
  <si>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</si>
  <si>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</si>
  <si>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</si>
  <si>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</si>
  <si>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</si>
  <si>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</si>
  <si>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</si>
  <si>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</si>
  <si>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</si>
  <si>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</si>
  <si>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</si>
  <si>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</si>
  <si>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</si>
  <si>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</si>
  <si>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</si>
  <si>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</si>
  <si>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</si>
  <si>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</si>
  <si>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</si>
  <si>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</si>
  <si>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</si>
  <si>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</si>
  <si>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</si>
  <si>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</si>
  <si>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</si>
  <si>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</si>
  <si>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</si>
  <si>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</si>
  <si>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</si>
  <si>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</si>
  <si>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</si>
  <si>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</si>
  <si>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</si>
  <si>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</si>
  <si>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</si>
  <si>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</si>
  <si>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</si>
  <si>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</si>
  <si>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</si>
  <si>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</si>
  <si>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</si>
  <si>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</si>
  <si>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</si>
  <si>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</si>
  <si>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</si>
  <si>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</si>
  <si>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</si>
  <si>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</si>
  <si>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</si>
  <si>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</si>
  <si>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</si>
  <si>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</si>
  <si>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</si>
  <si>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</si>
  <si>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</si>
  <si>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</si>
  <si>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</si>
  <si>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</si>
  <si>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</si>
  <si>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</si>
  <si>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</si>
  <si>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</si>
  <si>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</si>
  <si>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</si>
  <si>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</si>
  <si>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</si>
  <si>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</si>
  <si>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</si>
  <si>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</si>
  <si>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</si>
  <si>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</si>
  <si>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</si>
  <si>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</si>
  <si>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</si>
  <si>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</si>
  <si>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</si>
  <si>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</si>
  <si>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</si>
  <si>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</si>
  <si>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</si>
  <si>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</si>
  <si>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</si>
  <si>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</si>
  <si>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</si>
  <si>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</si>
  <si>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</si>
  <si>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</si>
  <si>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</si>
  <si>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</si>
  <si>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</si>
  <si>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</si>
  <si>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</si>
  <si>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</si>
  <si>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</si>
  <si>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</si>
  <si>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</si>
  <si>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</si>
  <si>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</si>
  <si>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</si>
  <si>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</si>
  <si>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</si>
  <si>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</si>
  <si>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</si>
  <si>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</si>
  <si>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</si>
  <si>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</si>
  <si>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</si>
  <si>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</si>
  <si>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</si>
  <si>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</si>
  <si>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</si>
  <si>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</si>
  <si>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</si>
  <si>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</si>
  <si>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</si>
  <si>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</si>
  <si>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</si>
  <si>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</si>
  <si>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</si>
  <si>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</si>
  <si>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</si>
  <si>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</si>
  <si>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</si>
  <si>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</si>
  <si>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</si>
  <si>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</si>
  <si>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</si>
  <si>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</si>
  <si>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</si>
  <si>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</si>
  <si>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</si>
  <si>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</si>
  <si>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</si>
  <si>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</si>
  <si>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</si>
  <si>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</si>
  <si>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</si>
  <si>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</si>
  <si>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</si>
  <si>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</si>
  <si>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</si>
  <si>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</si>
  <si>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</si>
  <si>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</si>
  <si>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</si>
  <si>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</si>
  <si>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</si>
  <si>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</si>
  <si>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</si>
  <si>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</si>
  <si>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</si>
  <si>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</si>
  <si>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</si>
  <si>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</si>
  <si>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</si>
  <si>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</si>
  <si>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</si>
  <si>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</si>
  <si>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</si>
  <si>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</si>
  <si>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</si>
  <si>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</si>
  <si>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</si>
  <si>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</si>
  <si>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</si>
  <si>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</si>
  <si>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</si>
  <si>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</si>
  <si>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</si>
  <si>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</si>
  <si>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</si>
  <si>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</si>
  <si>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</si>
  <si>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</si>
  <si>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</si>
  <si>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</si>
  <si>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</si>
  <si>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</si>
  <si>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</si>
  <si>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</si>
  <si>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</si>
  <si>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</si>
  <si>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</si>
  <si>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</si>
  <si>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</si>
  <si>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</si>
  <si>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</si>
  <si>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</si>
  <si>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</si>
  <si>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</si>
  <si>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</si>
  <si>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</si>
  <si>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</si>
  <si>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</si>
  <si>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</si>
  <si>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</si>
  <si>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</si>
  <si>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</si>
  <si>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</si>
  <si>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</si>
  <si>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</si>
  <si>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</si>
  <si>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</si>
  <si>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</si>
  <si>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</si>
  <si>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</si>
  <si>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</si>
  <si>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</si>
  <si>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</si>
  <si>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</si>
  <si>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</si>
  <si>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</si>
  <si>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</si>
  <si>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</si>
  <si>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</si>
  <si>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</si>
  <si>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</si>
  <si>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</si>
  <si>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</si>
  <si>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</si>
  <si>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</si>
  <si>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</si>
  <si>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</si>
  <si>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</si>
  <si>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</si>
  <si>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</si>
  <si>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</si>
  <si>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</si>
  <si>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</si>
  <si>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</si>
  <si>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</si>
  <si>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</si>
  <si>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</si>
  <si>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</si>
  <si>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</si>
  <si>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</si>
  <si>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</si>
  <si>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</si>
  <si>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</si>
  <si>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</si>
  <si>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</si>
  <si>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</si>
  <si>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</si>
  <si>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</si>
  <si>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</si>
  <si>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</si>
  <si>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</si>
  <si>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</si>
  <si>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</si>
  <si>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</si>
  <si>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</si>
  <si>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</si>
  <si>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</si>
  <si>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</si>
  <si>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</si>
  <si>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</si>
  <si>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</si>
  <si>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</si>
  <si>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</si>
  <si>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</si>
  <si>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</si>
  <si>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</si>
  <si>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</si>
  <si>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</si>
  <si>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</si>
  <si>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</si>
  <si>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</si>
  <si>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</si>
  <si>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</si>
  <si>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</si>
  <si>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</si>
  <si>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</si>
  <si>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</si>
  <si>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</si>
  <si>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</si>
  <si>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</si>
  <si>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</si>
  <si>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</si>
  <si>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</si>
  <si>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</si>
  <si>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</si>
  <si>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</si>
  <si>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</si>
  <si>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</si>
  <si>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</si>
  <si>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</si>
  <si>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</si>
  <si>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</si>
  <si>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</si>
  <si>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</si>
  <si>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</si>
  <si>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</si>
  <si>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</si>
  <si>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</si>
  <si>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</si>
  <si>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</si>
  <si>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</si>
  <si>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</si>
  <si>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</si>
  <si>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</si>
  <si>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</si>
  <si>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</si>
  <si>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</si>
  <si>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</si>
  <si>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</si>
  <si>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</si>
  <si>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</si>
  <si>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</si>
  <si>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</si>
  <si>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</si>
  <si>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</si>
  <si>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</si>
  <si>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</si>
  <si>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</si>
  <si>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</si>
  <si>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</si>
  <si>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</si>
  <si>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</si>
  <si>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</si>
  <si>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</si>
  <si>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</si>
  <si>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</si>
  <si>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</si>
  <si>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</si>
  <si>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</si>
  <si>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</si>
  <si>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</si>
  <si>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</si>
  <si>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</si>
  <si>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</si>
  <si>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</si>
  <si>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</si>
  <si>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</si>
  <si>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</si>
  <si>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</si>
  <si>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</si>
  <si>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</si>
  <si>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</si>
  <si>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</si>
  <si>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</si>
  <si>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</si>
  <si>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</si>
  <si>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</si>
  <si>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</si>
  <si>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</si>
  <si>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</si>
  <si>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</si>
  <si>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</si>
  <si>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</si>
  <si>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</si>
  <si>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</si>
  <si>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</si>
  <si>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</si>
  <si>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</si>
  <si>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</si>
  <si>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</si>
  <si>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</si>
  <si>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</si>
  <si>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</si>
  <si>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</si>
  <si>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</si>
  <si>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</si>
  <si>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</si>
  <si>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</si>
  <si>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</si>
  <si>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</si>
  <si>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</si>
  <si>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</si>
  <si>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</si>
  <si>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</si>
  <si>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</si>
  <si>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</si>
  <si>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</si>
  <si>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</si>
  <si>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</si>
  <si>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</si>
  <si>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</si>
  <si>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</si>
  <si>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</si>
  <si>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</si>
  <si>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</si>
  <si>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</si>
  <si>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</si>
  <si>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</si>
  <si>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</si>
  <si>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</si>
  <si>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</si>
  <si>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</si>
  <si>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</si>
  <si>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</si>
  <si>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</si>
  <si>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</si>
  <si>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</si>
  <si>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</si>
  <si>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</si>
  <si>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</si>
  <si>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</si>
  <si>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</si>
  <si>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</si>
  <si>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</si>
  <si>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</si>
  <si>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</si>
  <si>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</si>
  <si>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</si>
  <si>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</si>
  <si>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</si>
  <si>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</si>
  <si>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</si>
  <si>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</si>
  <si>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</si>
  <si>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</si>
  <si>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</si>
  <si>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</si>
  <si>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</si>
  <si>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</si>
  <si>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</si>
  <si>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</si>
  <si>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</si>
  <si>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</si>
  <si>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</si>
  <si>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</si>
  <si>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</si>
  <si>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</si>
  <si>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</si>
  <si>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</si>
  <si>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</si>
  <si>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</si>
  <si>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</si>
  <si>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</si>
  <si>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</si>
  <si>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</si>
  <si>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</si>
  <si>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</si>
  <si>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</si>
  <si>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</si>
  <si>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</si>
  <si>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</si>
  <si>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</si>
  <si>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</si>
  <si>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</si>
  <si>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</si>
  <si>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</si>
  <si>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</si>
  <si>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</si>
  <si>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</si>
  <si>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</si>
  <si>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</si>
  <si>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</si>
  <si>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</si>
  <si>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</si>
  <si>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</si>
  <si>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</si>
  <si>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</si>
  <si>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</si>
  <si>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</si>
  <si>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</si>
  <si>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</si>
  <si>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</si>
  <si>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</si>
  <si>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</si>
  <si>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</si>
  <si>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</si>
  <si>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</si>
  <si>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</si>
  <si>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</si>
  <si>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</si>
  <si>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</si>
  <si>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</si>
  <si>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</si>
  <si>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</si>
  <si>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</si>
  <si>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</si>
  <si>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</si>
  <si>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</si>
  <si>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</si>
  <si>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</si>
  <si>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</si>
  <si>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</si>
  <si>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</si>
  <si>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</si>
  <si>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</si>
  <si>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</si>
  <si>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</si>
  <si>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</si>
  <si>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</si>
  <si>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</si>
  <si>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</si>
  <si>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</si>
  <si>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</si>
  <si>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</si>
  <si>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</si>
  <si>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</si>
  <si>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</si>
  <si>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</si>
  <si>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</si>
  <si>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</si>
  <si>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</si>
  <si>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</si>
  <si>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</si>
  <si>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</si>
  <si>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</si>
  <si>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</si>
  <si>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</si>
  <si>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</si>
  <si>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</si>
  <si>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</si>
  <si>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</si>
  <si>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</si>
  <si>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</si>
  <si>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</si>
  <si>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</si>
  <si>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</si>
  <si>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</si>
  <si>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</si>
  <si>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</si>
  <si>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</si>
  <si>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</si>
  <si>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</si>
  <si>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</si>
  <si>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</si>
  <si>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</si>
  <si>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</si>
  <si>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</si>
  <si>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</si>
  <si>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</si>
  <si>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</si>
  <si>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</si>
  <si>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</si>
  <si>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</si>
  <si>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</si>
  <si>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</si>
  <si>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</si>
  <si>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</si>
  <si>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</si>
  <si>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</si>
  <si>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</si>
  <si>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</si>
  <si>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</si>
  <si>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</si>
  <si>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</si>
  <si>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</si>
  <si>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</si>
  <si>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</si>
  <si>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</si>
  <si>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</si>
  <si>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</si>
  <si>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</si>
  <si>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</si>
  <si>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</si>
  <si>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</si>
  <si>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</si>
  <si>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</si>
  <si>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</si>
  <si>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</si>
  <si>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</si>
  <si>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</si>
  <si>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</si>
  <si>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</si>
  <si>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</si>
  <si>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</si>
  <si>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</si>
  <si>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</si>
  <si>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</si>
  <si>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</si>
  <si>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</si>
  <si>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</si>
  <si>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</si>
  <si>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</si>
  <si>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</si>
  <si>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</si>
  <si>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</si>
  <si>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</si>
  <si>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</si>
  <si>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</si>
  <si>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</si>
  <si>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</si>
  <si>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</si>
  <si>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</si>
  <si>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</si>
  <si>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</si>
  <si>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</si>
  <si>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</si>
  <si>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</si>
  <si>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</si>
  <si>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</si>
  <si>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</si>
  <si>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</si>
  <si>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</si>
  <si>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</si>
  <si>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</si>
  <si>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</si>
  <si>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</si>
  <si>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</si>
  <si>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</si>
  <si>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</si>
  <si>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</si>
  <si>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</si>
  <si>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</si>
  <si>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</si>
  <si>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</si>
  <si>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</si>
  <si>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</si>
  <si>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</si>
  <si>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</si>
  <si>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</si>
  <si>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</si>
  <si>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</si>
  <si>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</si>
  <si>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</si>
  <si>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</si>
  <si>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</si>
  <si>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spectral Doppler waveforms triphasic monophasic</t>
  </si>
  <si>
    <t xml:space="preserve">carotid ultrasound protocol; vertebral artery Doppler; subclavian steal</t>
  </si>
  <si>
    <t xml:space="preserve">carotid stenosis criteria SRU IAC; carotid plaque characterization</t>
  </si>
  <si>
    <t xml:space="preserve">lower extremity arterial duplex; upper extremity arterial Doppler; peripheral arterial disease</t>
  </si>
  <si>
    <t xml:space="preserve">DVT compression ultrasound; lower extremity venous duplex</t>
  </si>
  <si>
    <t xml:space="preserve">venous insufficiency reflux ultrasound; great saphenous vein; varicose veins mapping</t>
  </si>
  <si>
    <t xml:space="preserve">abdominal aorta ultrasound measurement; IVC ultrasound</t>
  </si>
  <si>
    <t xml:space="preserve">dialysis access fistula ultrasound; AV fistula maturation</t>
  </si>
  <si>
    <t xml:space="preserve">liver transplant Doppler complications; renal transplant duplex</t>
  </si>
  <si>
    <t xml:space="preserve">transcranial Doppler basics; TCD windows; TCCD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</si>
  <si>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</si>
  <si>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</si>
  <si>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</si>
  <si>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</si>
  <si>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</si>
  <si>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</si>
  <si>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</si>
  <si>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</si>
  <si>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</si>
  <si>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</si>
  <si>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</si>
  <si>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</si>
  <si>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</si>
  <si>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</si>
  <si>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</si>
  <si>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</si>
  <si>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</si>
  <si>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</si>
  <si>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</si>
  <si>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</si>
  <si>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</si>
  <si>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</si>
  <si>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</si>
  <si>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</si>
  <si>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</si>
  <si>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</si>
  <si>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</si>
  <si>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</si>
  <si>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</si>
  <si>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</si>
  <si>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</si>
  <si>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</si>
  <si>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</si>
  <si>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</si>
  <si>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</si>
  <si>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</si>
  <si>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</si>
  <si>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</si>
  <si>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</si>
  <si>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</si>
  <si>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</si>
  <si>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</si>
  <si>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</si>
  <si>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</si>
  <si>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</si>
  <si>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</si>
  <si>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</si>
  <si>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</si>
  <si>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</si>
  <si>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</si>
  <si>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https://www.youtube.com/watch?v=X739XUv0xkE</t>
  </si>
  <si>
    <t xml:space="preserve">Vascular Imaging Webinar Series: Physics, Knobology, And Hemodynamics</t>
  </si>
  <si>
    <t xml:space="preserve">PAHO TV</t>
  </si>
  <si>
    <t xml:space="preserve">Noma’lum (PAHO ko‘p tilli)</t>
  </si>
  <si>
    <t xml:space="preserve">https://www.youtube.com/watch?v=KLt-sO1G74A</t>
  </si>
  <si>
    <t xml:space="preserve">Vascular Imaging Webinar Series: DVT And Venous Insufficiency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</si>
  <si>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</si>
  <si>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</si>
  <si>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</si>
  <si>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</si>
  <si>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</si>
  <si>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</si>
  <si>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</si>
  <si>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</si>
  <si>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</si>
  <si>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</si>
  <si>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</si>
  <si>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</si>
  <si>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</si>
  <si>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</si>
  <si>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</si>
  <si>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</si>
  <si>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</si>
  <si>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</si>
  <si>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</si>
  <si>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</si>
  <si>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</si>
  <si>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</si>
  <si>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</si>
  <si>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</si>
  <si>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</si>
  <si>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</si>
  <si>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</si>
  <si>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</si>
  <si>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</si>
  <si>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</si>
  <si>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</si>
  <si>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</si>
  <si>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</si>
  <si>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</si>
  <si>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</si>
  <si>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</si>
  <si>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</si>
  <si>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</si>
  <si>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</si>
  <si>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</si>
  <si>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</si>
  <si>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</si>
  <si>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</si>
  <si>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</si>
  <si>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</si>
  <si>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</si>
  <si>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</si>
  <si>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</si>
  <si>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</si>
  <si>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</si>
  <si>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</si>
  <si>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</si>
  <si>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</si>
  <si>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</si>
  <si>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</si>
  <si>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</si>
  <si>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</si>
  <si>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</si>
  <si>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</si>
  <si>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</si>
  <si>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</si>
  <si>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</si>
  <si>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</si>
  <si>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</si>
  <si>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</si>
  <si>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</si>
  <si>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</si>
  <si>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</si>
  <si>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</si>
  <si>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</si>
  <si>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</si>
  <si>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</si>
  <si>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</si>
  <si>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</si>
  <si>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</si>
  <si>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</si>
  <si>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</si>
  <si>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</si>
  <si>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</si>
  <si>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</si>
  <si>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</si>
  <si>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</si>
  <si>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</si>
  <si>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</si>
  <si>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</si>
  <si>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</si>
  <si>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</si>
  <si>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</si>
  <si>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</si>
  <si>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</si>
  <si>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</si>
  <si>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</si>
  <si>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</si>
  <si>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</si>
  <si>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</si>
  <si>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</si>
  <si>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</si>
  <si>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</si>
  <si>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</si>
  <si>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</si>
  <si>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</si>
  <si>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</si>
  <si>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</si>
  <si>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</si>
  <si>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</si>
  <si>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</si>
  <si>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</si>
  <si>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</si>
  <si>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</si>
  <si>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</si>
  <si>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</si>
  <si>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</si>
  <si>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</si>
  <si>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</si>
  <si>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</si>
  <si>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</si>
  <si>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</si>
  <si>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</si>
  <si>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</si>
  <si>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</si>
  <si>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</si>
  <si>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</si>
  <si>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</si>
  <si>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</si>
  <si>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</si>
  <si>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</si>
  <si>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</si>
  <si>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</si>
  <si>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</si>
  <si>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</si>
  <si>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</si>
  <si>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</si>
  <si>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</si>
  <si>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</si>
  <si>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</si>
  <si>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</si>
  <si>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</si>
  <si>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</si>
  <si>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</si>
  <si>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</si>
  <si>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</si>
  <si>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</si>
  <si>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</si>
  <si>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</si>
  <si>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</si>
  <si>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</si>
  <si>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</si>
  <si>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</si>
  <si>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</si>
  <si>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</si>
  <si>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</si>
  <si>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</si>
  <si>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</si>
  <si>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</si>
  <si>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</si>
  <si>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</si>
  <si>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</si>
  <si>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</si>
  <si>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</si>
  <si>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</si>
  <si>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</si>
  <si>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</si>
  <si>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</si>
  <si>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</si>
  <si>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</si>
  <si>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</si>
  <si>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</si>
  <si>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</si>
  <si>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</si>
  <si>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</si>
  <si>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</si>
  <si>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</si>
  <si>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</si>
  <si>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</si>
  <si>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</si>
  <si>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</si>
  <si>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</si>
  <si>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</si>
  <si>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</si>
  <si>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</si>
  <si>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</si>
  <si>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</si>
  <si>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</si>
  <si>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</si>
  <si>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</si>
  <si>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</si>
  <si>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</si>
  <si>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</si>
  <si>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</si>
  <si>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</si>
  <si>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</si>
  <si>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</si>
  <si>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</si>
  <si>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</si>
  <si>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</si>
  <si>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</si>
  <si>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</si>
  <si>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</si>
  <si>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</si>
  <si>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</si>
  <si>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</si>
  <si>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</si>
  <si>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</si>
  <si>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</si>
  <si>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</si>
  <si>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</si>
  <si>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</si>
  <si>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</si>
  <si>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</si>
  <si>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</si>
  <si>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</si>
  <si>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</si>
  <si>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</si>
  <si>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</si>
  <si>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</si>
  <si>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</si>
  <si>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</si>
  <si>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</si>
  <si>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</si>
  <si>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</si>
  <si>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</si>
  <si>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</si>
  <si>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</si>
  <si>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</si>
  <si>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</si>
  <si>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</si>
  <si>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</si>
  <si>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</si>
  <si>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</si>
  <si>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</si>
  <si>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</si>
  <si>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</si>
  <si>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</si>
  <si>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</si>
  <si>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</si>
  <si>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</si>
  <si>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</si>
  <si>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</si>
  <si>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</si>
  <si>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</si>
  <si>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</si>
  <si>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</si>
  <si>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</si>
  <si>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</si>
  <si>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</si>
  <si>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</si>
  <si>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</si>
  <si>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</si>
  <si>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</si>
  <si>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</si>
  <si>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</si>
  <si>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</si>
  <si>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</si>
  <si>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</si>
  <si>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</si>
  <si>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</si>
  <si>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</si>
  <si>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</si>
  <si>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</si>
  <si>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</si>
  <si>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</si>
  <si>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</si>
  <si>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</si>
  <si>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</si>
  <si>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</si>
  <si>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</si>
  <si>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</si>
  <si>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</si>
  <si>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</si>
  <si>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</si>
  <si>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</si>
  <si>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</si>
  <si>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</si>
  <si>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</si>
  <si>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</si>
  <si>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</si>
  <si>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</si>
  <si>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</si>
  <si>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</si>
  <si>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</si>
  <si>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</si>
  <si>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</si>
  <si>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</si>
  <si>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</si>
  <si>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</si>
  <si>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</si>
  <si>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</si>
  <si>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</si>
  <si>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</si>
  <si>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</si>
  <si>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</si>
  <si>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</si>
  <si>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</si>
  <si>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</si>
  <si>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</si>
  <si>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</si>
  <si>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</si>
  <si>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</si>
  <si>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</si>
  <si>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</si>
  <si>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</si>
  <si>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</si>
  <si>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</si>
  <si>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</si>
  <si>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</si>
  <si>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</si>
  <si>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</si>
  <si>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</si>
  <si>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</si>
  <si>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</si>
  <si>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</si>
  <si>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</si>
  <si>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</si>
  <si>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</si>
  <si>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</si>
  <si>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</si>
  <si>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</si>
  <si>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</si>
  <si>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</si>
  <si>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</si>
  <si>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</si>
  <si>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</si>
  <si>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</si>
  <si>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</si>
  <si>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</si>
  <si>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</si>
  <si>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</si>
  <si>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</si>
  <si>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</si>
  <si>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</si>
  <si>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</si>
  <si>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</si>
  <si>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</si>
  <si>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</si>
  <si>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</si>
  <si>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</si>
  <si>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</si>
  <si>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</si>
  <si>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</si>
  <si>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</si>
  <si>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</si>
  <si>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</si>
  <si>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</si>
  <si>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</si>
  <si>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</si>
  <si>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</si>
  <si>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</si>
  <si>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</si>
  <si>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</si>
  <si>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</si>
  <si>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</si>
  <si>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</si>
  <si>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</si>
  <si>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</si>
  <si>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</si>
  <si>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</si>
  <si>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</si>
  <si>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</si>
  <si>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</si>
  <si>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</si>
  <si>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</si>
  <si>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</si>
  <si>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</si>
  <si>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</si>
  <si>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</si>
  <si>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</si>
  <si>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</si>
  <si>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</si>
  <si>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</si>
  <si>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</si>
  <si>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</si>
  <si>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</si>
  <si>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</si>
  <si>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</si>
  <si>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</si>
  <si>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</si>
  <si>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</si>
  <si>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</si>
  <si>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</si>
  <si>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</si>
  <si>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</si>
  <si>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</si>
  <si>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</si>
  <si>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</si>
  <si>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</si>
  <si>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</si>
  <si>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</si>
  <si>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</si>
  <si>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</si>
  <si>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</si>
  <si>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</si>
  <si>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</si>
  <si>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</si>
  <si>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</si>
  <si>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</si>
  <si>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</si>
  <si>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</si>
  <si>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</si>
  <si>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</si>
  <si>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</si>
  <si>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</si>
  <si>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</si>
  <si>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</si>
  <si>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</si>
  <si>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</si>
  <si>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</si>
  <si>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</si>
  <si>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</si>
  <si>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</si>
  <si>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</si>
  <si>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</si>
  <si>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</si>
  <si>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</si>
  <si>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</si>
  <si>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</si>
  <si>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</si>
  <si>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</si>
  <si>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</si>
  <si>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</si>
  <si>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</si>
  <si>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</si>
  <si>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</si>
  <si>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</si>
  <si>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</si>
  <si>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</si>
  <si>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</si>
  <si>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</si>
  <si>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</si>
  <si>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</si>
  <si>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</si>
  <si>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</si>
  <si>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</si>
  <si>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</si>
  <si>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</si>
  <si>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</si>
  <si>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</si>
  <si>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</si>
  <si>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</si>
  <si>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</si>
  <si>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</si>
  <si>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</si>
  <si>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</si>
  <si>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</si>
  <si>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</si>
  <si>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</si>
  <si>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</si>
  <si>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</si>
  <si>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</si>
  <si>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</si>
  <si>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</si>
  <si>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</si>
  <si>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</si>
  <si>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</si>
  <si>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</si>
  <si>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</si>
  <si>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</si>
  <si>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</si>
  <si>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</si>
  <si>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</si>
  <si>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</si>
  <si>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</si>
  <si>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</si>
  <si>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</si>
  <si>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</si>
  <si>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</si>
  <si>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</si>
  <si>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</si>
  <si>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</si>
  <si>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</si>
  <si>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</si>
  <si>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</si>
  <si>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</si>
  <si>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</si>
  <si>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</si>
  <si>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</si>
  <si>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</si>
  <si>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</si>
  <si>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</si>
  <si>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</si>
  <si>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</si>
  <si>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</si>
  <si>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</si>
  <si>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</si>
  <si>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</si>
  <si>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</si>
  <si>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</si>
  <si>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</si>
  <si>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</si>
  <si>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</si>
  <si>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</si>
  <si>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</si>
  <si>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</si>
  <si>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</si>
  <si>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</si>
  <si>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</si>
  <si>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</si>
  <si>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</si>
  <si>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</si>
  <si>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</si>
  <si>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</si>
  <si>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</si>
  <si>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</si>
  <si>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</si>
  <si>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</si>
  <si>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</si>
  <si>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</si>
  <si>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</si>
  <si>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</si>
  <si>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</si>
  <si>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</si>
  <si>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</si>
  <si>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</si>
  <si>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</si>
  <si>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</si>
  <si>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</si>
  <si>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</si>
  <si>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</si>
  <si>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</si>
  <si>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</si>
  <si>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</si>
  <si>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</si>
  <si>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</si>
  <si>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</si>
  <si>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</si>
  <si>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</si>
  <si>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</si>
  <si>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</si>
  <si>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</si>
  <si>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</si>
  <si>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</si>
  <si>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</si>
  <si>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</si>
  <si>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</si>
  <si>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</si>
  <si>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</si>
  <si>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</si>
  <si>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</si>
  <si>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</si>
  <si>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</si>
  <si>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</si>
  <si>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</si>
  <si>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</si>
  <si>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</si>
  <si>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</si>
  <si>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</si>
  <si>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</si>
  <si>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</si>
  <si>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</si>
  <si>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</si>
  <si>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</si>
  <si>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</si>
  <si>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</si>
  <si>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</si>
  <si>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</si>
  <si>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</si>
  <si>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</si>
  <si>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</si>
  <si>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</si>
  <si>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</si>
  <si>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</si>
  <si>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</si>
  <si>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</si>
  <si>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</si>
  <si>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</si>
  <si>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</si>
  <si>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</si>
  <si>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</si>
  <si>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</si>
  <si>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</si>
  <si>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</si>
  <si>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</si>
  <si>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</si>
  <si>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</si>
  <si>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</si>
  <si>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</si>
  <si>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</si>
  <si>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</si>
  <si>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</si>
  <si>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</si>
  <si>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</si>
  <si>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</si>
  <si>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</si>
  <si>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</si>
  <si>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</si>
  <si>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</si>
  <si>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</si>
  <si>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</si>
  <si>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</si>
  <si>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</si>
  <si>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</si>
  <si>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</si>
  <si>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</si>
  <si>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</si>
  <si>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</si>
  <si>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</si>
  <si>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</si>
  <si>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</si>
  <si>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</si>
  <si>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</si>
  <si>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</si>
  <si>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</si>
  <si>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</si>
  <si>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</si>
  <si>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</si>
  <si>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</si>
  <si>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</si>
  <si>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</si>
  <si>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</si>
  <si>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</si>
  <si>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</si>
  <si>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</si>
  <si>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</si>
  <si>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</si>
  <si>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</si>
  <si>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</si>
  <si>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</si>
  <si>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</si>
  <si>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</si>
  <si>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</si>
  <si>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</si>
  <si>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</si>
  <si>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</si>
  <si>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</si>
  <si>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</si>
  <si>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</si>
  <si>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</si>
  <si>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</si>
  <si>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</si>
  <si>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</si>
  <si>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</si>
  <si>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</si>
  <si>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</si>
  <si>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</si>
  <si>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</si>
  <si>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</si>
  <si>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</si>
  <si>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</si>
  <si>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</si>
  <si>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</si>
  <si>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</si>
  <si>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</si>
  <si>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</si>
  <si>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</si>
  <si>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</si>
  <si>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</si>
  <si>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</si>
  <si>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</si>
  <si>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</si>
  <si>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</si>
  <si>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</si>
  <si>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</si>
  <si>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</si>
  <si>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</si>
  <si>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</si>
  <si>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</si>
  <si>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</si>
  <si>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</si>
  <si>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</si>
  <si>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</si>
  <si>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</si>
  <si>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</si>
  <si>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</si>
  <si>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</si>
  <si>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</si>
  <si>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</si>
  <si>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</si>
  <si>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</si>
  <si>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</si>
  <si>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</si>
  <si>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</si>
  <si>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</si>
  <si>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</si>
  <si>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</si>
  <si>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</si>
  <si>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</si>
  <si>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</si>
  <si>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</si>
  <si>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</si>
  <si>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</si>
  <si>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</si>
  <si>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</si>
  <si>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</si>
  <si>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</si>
  <si>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</si>
  <si>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</si>
  <si>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</si>
  <si>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</si>
  <si>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</si>
  <si>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</si>
  <si>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</si>
  <si>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</si>
  <si>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</si>
  <si>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</si>
  <si>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</si>
  <si>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</si>
  <si>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</si>
  <si>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</si>
  <si>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</si>
  <si>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</si>
  <si>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</si>
  <si>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</si>
  <si>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</si>
  <si>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</si>
  <si>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</si>
  <si>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</si>
  <si>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</si>
  <si>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</si>
  <si>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</si>
  <si>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</si>
  <si>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</si>
  <si>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</si>
  <si>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</si>
  <si>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</si>
  <si>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</si>
  <si>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</si>
  <si>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</si>
  <si>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</si>
  <si>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</si>
  <si>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</si>
  <si>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</si>
  <si>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</si>
  <si>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</si>
  <si>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</si>
  <si>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</si>
  <si>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</si>
  <si>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</si>
  <si>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</si>
  <si>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</si>
  <si>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</si>
  <si>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</si>
  <si>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</si>
  <si>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</si>
  <si>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</si>
  <si>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</si>
  <si>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</si>
  <si>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</si>
  <si>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</si>
  <si>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</si>
  <si>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</si>
  <si>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</si>
  <si>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</si>
  <si>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</si>
  <si>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</si>
  <si>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</si>
  <si>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</si>
  <si>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</si>
  <si>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</si>
  <si>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</si>
  <si>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</si>
  <si>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</si>
  <si>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</si>
  <si>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</si>
  <si>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</si>
  <si>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</si>
  <si>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</si>
  <si>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</si>
  <si>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</si>
  <si>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</si>
  <si>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</si>
  <si>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</si>
  <si>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</si>
  <si>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</si>
  <si>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</si>
  <si>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</si>
  <si>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</si>
  <si>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</si>
  <si>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</si>
  <si>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</si>
  <si>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</si>
  <si>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</si>
  <si>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</si>
  <si>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</si>
  <si>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</si>
  <si>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</si>
  <si>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</si>
  <si>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</si>
  <si>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</si>
  <si>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</si>
  <si>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</si>
  <si>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</si>
  <si>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</si>
  <si>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</si>
  <si>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</si>
  <si>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</si>
  <si>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</si>
  <si>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</si>
  <si>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</si>
  <si>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</si>
  <si>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</si>
  <si>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</si>
  <si>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</si>
  <si>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</si>
  <si>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</si>
  <si>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</si>
  <si>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</si>
  <si>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</si>
  <si>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</si>
  <si>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</si>
  <si>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</si>
  <si>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</si>
  <si>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</si>
  <si>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</si>
  <si>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</si>
  <si>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</si>
  <si>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</si>
  <si>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</si>
  <si>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</si>
  <si>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</si>
  <si>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</si>
  <si>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</si>
  <si>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</si>
  <si>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</si>
  <si>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</si>
  <si>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</si>
  <si>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</si>
  <si>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</si>
  <si>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</si>
  <si>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</si>
  <si>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</si>
  <si>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</si>
  <si>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</si>
  <si>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</si>
  <si>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</si>
  <si>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</si>
  <si>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</si>
  <si>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</si>
  <si>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</si>
  <si>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</si>
  <si>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</si>
  <si>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</si>
  <si>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</si>
  <si>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</si>
  <si>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</si>
  <si>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</si>
  <si>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</si>
  <si>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</si>
  <si>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</si>
  <si>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</si>
  <si>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</si>
  <si>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</si>
  <si>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</si>
  <si>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</si>
  <si>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</si>
  <si>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</si>
  <si>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</si>
  <si>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</si>
  <si>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</si>
  <si>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</si>
  <si>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</si>
  <si>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</si>
  <si>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</si>
  <si>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</si>
  <si>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</si>
  <si>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</si>
  <si>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</si>
  <si>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</si>
  <si>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</si>
  <si>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</si>
  <si>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</si>
  <si>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</si>
  <si>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</si>
  <si>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</si>
  <si>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</si>
  <si>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</si>
  <si>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</si>
  <si>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</si>
  <si>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</si>
  <si>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</si>
  <si>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</si>
  <si>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</si>
  <si>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</si>
  <si>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</si>
  <si>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</si>
  <si>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</si>
  <si>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</si>
  <si>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</si>
  <si>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</si>
  <si>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</si>
  <si>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</si>
  <si>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</si>
  <si>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</si>
  <si>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</si>
  <si>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</si>
  <si>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</si>
  <si>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</si>
  <si>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</si>
  <si>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</si>
  <si>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</si>
  <si>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</si>
  <si>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</si>
  <si>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</si>
  <si>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</si>
  <si>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</si>
  <si>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</si>
  <si>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</si>
  <si>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</si>
  <si>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</si>
  <si>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</si>
  <si>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</si>
  <si>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</si>
  <si>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</si>
  <si>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</si>
  <si>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</si>
  <si>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</si>
  <si>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</si>
  <si>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</si>
  <si>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</si>
  <si>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</si>
  <si>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</si>
  <si>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</si>
  <si>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</si>
  <si>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</si>
  <si>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</si>
  <si>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</si>
  <si>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</si>
  <si>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</si>
  <si>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</si>
  <si>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</si>
  <si>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</si>
  <si>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</si>
  <si>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</si>
  <si>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</si>
  <si>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</si>
  <si>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</si>
  <si>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</si>
  <si>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</si>
  <si>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</si>
  <si>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</si>
  <si>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</si>
  <si>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</si>
  <si>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</si>
  <si>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</si>
  <si>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</si>
  <si>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</si>
  <si>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</si>
  <si>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</si>
  <si>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</si>
  <si>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</si>
  <si>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</si>
  <si>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</si>
  <si>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</si>
  <si>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</si>
  <si>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</si>
  <si>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</si>
  <si>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</si>
  <si>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</si>
  <si>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</si>
  <si>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</si>
  <si>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</si>
  <si>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</si>
  <si>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</si>
  <si>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</si>
  <si>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</si>
  <si>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</si>
  <si>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</si>
  <si>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</si>
  <si>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</si>
  <si>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</si>
  <si>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</si>
  <si>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</si>
  <si>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</si>
  <si>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</si>
  <si>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</si>
  <si>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</si>
  <si>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</si>
  <si>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</si>
  <si>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</si>
  <si>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</si>
  <si>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</si>
  <si>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</si>
  <si>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</si>
  <si>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</si>
  <si>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</si>
  <si>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</si>
  <si>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</si>
  <si>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</si>
  <si>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</si>
  <si>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</si>
  <si>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</si>
  <si>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</si>
  <si>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</si>
  <si>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</si>
  <si>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</si>
  <si>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</si>
  <si>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</si>
  <si>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</si>
  <si>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</si>
  <si>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</si>
  <si>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</si>
  <si>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</si>
  <si>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</si>
  <si>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</si>
  <si>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</si>
  <si>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</si>
  <si>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</si>
  <si>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</si>
  <si>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</si>
  <si>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</si>
  <si>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</si>
  <si>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</si>
  <si>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</si>
  <si>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</si>
  <si>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</si>
  <si>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</si>
  <si>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</si>
  <si>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</si>
  <si>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</si>
  <si>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</si>
  <si>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</si>
  <si>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</si>
  <si>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</si>
  <si>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</si>
  <si>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</si>
  <si>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</si>
  <si>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</si>
  <si>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</si>
  <si>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</si>
  <si>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</si>
  <si>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</si>
  <si>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</si>
  <si>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</si>
  <si>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</si>
  <si>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</si>
  <si>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</si>
  <si>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</si>
  <si>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</si>
  <si>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</si>
  <si>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</si>
  <si>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</si>
  <si>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</si>
  <si>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</si>
  <si>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</si>
  <si>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</si>
  <si>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</si>
  <si>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</si>
  <si>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</si>
  <si>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</si>
  <si>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</si>
  <si>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</si>
  <si>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</si>
  <si>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</si>
  <si>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</si>
  <si>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</si>
  <si>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</si>
  <si>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</si>
  <si>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</si>
  <si>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</si>
  <si>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</si>
  <si>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</si>
  <si>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</si>
  <si>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</si>
  <si>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</si>
  <si>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</si>
  <si>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</si>
  <si>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</si>
  <si>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</si>
  <si>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</si>
  <si>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</si>
  <si>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</si>
  <si>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</si>
  <si>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</si>
  <si>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</si>
  <si>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</si>
  <si>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</si>
  <si>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</si>
  <si>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</si>
  <si>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</si>
  <si>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</si>
  <si>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</si>
  <si>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</si>
  <si>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</si>
  <si>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</si>
  <si>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</si>
  <si>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</si>
  <si>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</si>
  <si>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</si>
  <si>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</si>
  <si>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</si>
  <si>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</si>
  <si>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</si>
  <si>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</si>
  <si>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</si>
  <si>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</si>
  <si>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</si>
  <si>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</si>
  <si>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</si>
  <si>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</si>
  <si>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</si>
  <si>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</si>
  <si>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</si>
  <si>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</si>
  <si>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</si>
  <si>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</si>
  <si>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</si>
  <si>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</si>
  <si>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</si>
  <si>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</si>
  <si>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</si>
  <si>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</si>
  <si>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</si>
  <si>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</si>
  <si>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</si>
  <si>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</si>
  <si>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</si>
  <si>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</si>
  <si>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</si>
  <si>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</si>
  <si>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</si>
  <si>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</si>
  <si>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</si>
  <si>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</si>
  <si>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</si>
  <si>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</si>
  <si>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</si>
  <si>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</si>
  <si>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</si>
  <si>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</si>
  <si>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</si>
  <si>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</si>
  <si>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</si>
  <si>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</si>
  <si>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</si>
  <si>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</si>
  <si>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</si>
  <si>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</si>
  <si>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</si>
  <si>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</si>
  <si>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</si>
  <si>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</si>
  <si>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</si>
  <si>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</si>
  <si>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</si>
  <si>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</si>
  <si>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</si>
  <si>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</si>
  <si>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</si>
  <si>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</si>
  <si>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</si>
  <si>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</si>
  <si>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</si>
  <si>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</si>
  <si>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</si>
  <si>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</si>
  <si>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</si>
  <si>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</si>
  <si>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</si>
  <si>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</si>
  <si>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</si>
  <si>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</si>
  <si>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</si>
  <si>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</si>
  <si>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</si>
  <si>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</si>
  <si>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</si>
  <si>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</si>
  <si>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</si>
  <si>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</si>
  <si>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</si>
  <si>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</si>
  <si>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</si>
  <si>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</si>
  <si>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</si>
  <si>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</si>
  <si>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</si>
  <si>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</si>
  <si>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</si>
  <si>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</si>
  <si>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</si>
  <si>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</si>
  <si>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</si>
  <si>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</si>
  <si>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</si>
  <si>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</si>
  <si>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</si>
  <si>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</si>
  <si>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</si>
  <si>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</si>
  <si>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</si>
  <si>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</si>
  <si>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</si>
  <si>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</si>
  <si>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</si>
  <si>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</si>
  <si>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</si>
  <si>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</si>
  <si>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</si>
  <si>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</si>
  <si>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</si>
  <si>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</si>
  <si>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</si>
  <si>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</si>
  <si>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</si>
  <si>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</si>
  <si>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</si>
  <si>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</si>
  <si>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</si>
  <si>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</si>
  <si>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</si>
  <si>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</si>
  <si>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</si>
  <si>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</si>
  <si>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</si>
  <si>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</si>
  <si>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</si>
  <si>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</si>
  <si>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</si>
  <si>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</si>
  <si>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</si>
  <si>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</si>
  <si>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</si>
  <si>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</si>
  <si>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</si>
  <si>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</si>
  <si>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</si>
  <si>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</si>
  <si>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</si>
  <si>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</si>
  <si>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</si>
  <si>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</si>
  <si>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</si>
  <si>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</si>
  <si>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</si>
  <si>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</si>
  <si>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</si>
  <si>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</si>
  <si>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</si>
  <si>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</si>
  <si>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</si>
  <si>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</si>
  <si>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</si>
  <si>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</si>
  <si>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</si>
  <si>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</si>
  <si>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</si>
  <si>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</si>
  <si>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</si>
  <si>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</si>
  <si>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</si>
  <si>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</si>
  <si>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</si>
  <si>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</si>
  <si>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</si>
  <si>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</si>
  <si>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</si>
  <si>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</si>
  <si>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</si>
  <si>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</si>
  <si>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</si>
  <si>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</si>
  <si>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</si>
  <si>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</si>
  <si>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</si>
  <si>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</si>
  <si>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</si>
  <si>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</si>
  <si>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</si>
  <si>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</si>
  <si>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</si>
  <si>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</si>
  <si>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</si>
  <si>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V269</t>
  </si>
  <si>
    <t xml:space="preserve">Vascular ultrasound made simple</t>
  </si>
  <si>
    <t xml:space="preserve">https://www.youtube.com/watch?v=hbVxhOV6NFw</t>
  </si>
  <si>
    <t xml:space="preserve">V270</t>
  </si>
  <si>
    <t xml:space="preserve">Hot Tips - Finding the Vertebral Artery with Ultrasound</t>
  </si>
  <si>
    <t xml:space="preserve">https://www.youtube.com/watch?v=_CAkI846j7E</t>
  </si>
  <si>
    <t xml:space="preserve">V271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</si>
  <si>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</si>
  <si>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</si>
  <si>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</si>
  <si>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</si>
  <si>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V272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</si>
  <si>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</si>
  <si>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</si>
  <si>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</si>
  <si>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</si>
  <si>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V273</t>
  </si>
  <si>
    <t xml:space="preserve">Severe stenosis of the internal carotid artery: ultrasound diagnostic criteria</t>
  </si>
  <si>
    <t xml:space="preserve">https://www.youtube.com/watch?v=76hyW1-XkGk</t>
  </si>
  <si>
    <t xml:space="preserve">ABC Vascular Ultrasound</t>
  </si>
  <si>
    <t xml:space="preserve">Ta’lim kanali (ABC Vascular Ultrasound)</t>
  </si>
  <si>
    <t xml:space="preserve">V274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</si>
  <si>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</si>
  <si>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</si>
  <si>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</si>
  <si>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</si>
  <si>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V275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</si>
  <si>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</si>
  <si>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</si>
  <si>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</si>
  <si>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</si>
  <si>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V276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</si>
  <si>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</si>
  <si>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</si>
  <si>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V277</t>
  </si>
  <si>
    <t xml:space="preserve">Saphenous Vein Doppler Ultrasound Normal Vs Abnormal | Varicose Veins | Lower Limb Vascular USG</t>
  </si>
  <si>
    <t xml:space="preserve">https://www.youtube.com/watch?v=-4tJgiWazjA</t>
  </si>
  <si>
    <t xml:space="preserve">V278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</si>
  <si>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</si>
  <si>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</si>
  <si>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</si>
  <si>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V279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</si>
  <si>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</si>
  <si>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</si>
  <si>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</si>
  <si>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V280</t>
  </si>
  <si>
    <t xml:space="preserve">03.15.02; 11.29.05</t>
  </si>
  <si>
    <t xml:space="preserve">Point of Care Ultrasound of the Inferior Vena Cava (IVC) - AMBOSS Video</t>
  </si>
  <si>
    <t xml:space="preserve">https://www.youtube.com/watch?v=Flc8xS2foOU</t>
  </si>
  <si>
    <t xml:space="preserve">AMBOSS: Medical Knowledge Distilled</t>
  </si>
  <si>
    <t xml:space="preserve">Ta’lim platformasi (AMBOSS)</t>
  </si>
  <si>
    <t xml:space="preserve">V281</t>
  </si>
  <si>
    <t xml:space="preserve">How To: Abdominal Ultrasound - Aorta Measurements</t>
  </si>
  <si>
    <t xml:space="preserve">https://www.youtube.com/watch?v=SHhKyEaW1NM</t>
  </si>
  <si>
    <t xml:space="preserve">Sonosite</t>
  </si>
  <si>
    <t xml:space="preserve">Ishlab chiqaruvchi (Sonosite)</t>
  </si>
  <si>
    <t xml:space="preserve">V282</t>
  </si>
  <si>
    <t xml:space="preserve">Vascular and Biliary Complications after Liver Transplantation</t>
  </si>
  <si>
    <t xml:space="preserve">https://www.youtube.com/watch?v=4etSnUtYJ7k</t>
  </si>
  <si>
    <t xml:space="preserve">Icahn School of Medicine</t>
  </si>
  <si>
    <t xml:space="preserve">Universitet (Icahn School of Medicine)</t>
  </si>
  <si>
    <t xml:space="preserve">V283</t>
  </si>
  <si>
    <t xml:space="preserve">Orthotopic Liver Transplant Hepatic Artery and Portal Vein Complications</t>
  </si>
  <si>
    <t xml:space="preserve">https://www.youtube.com/watch?v=jF22GbTfFS4</t>
  </si>
  <si>
    <t xml:space="preserve">V284</t>
  </si>
  <si>
    <t xml:space="preserve">Renal/Kidney Transplant Duplex Protocol</t>
  </si>
  <si>
    <t xml:space="preserve">https://www.youtube.com/watch?v=KGFphcefwXA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</si>
  <si>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</si>
  <si>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</si>
  <si>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</si>
  <si>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</si>
  <si>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</si>
  <si>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</si>
  <si>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</si>
  <si>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</si>
  <si>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</si>
  <si>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</si>
  <si>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</si>
  <si>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</si>
  <si>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</si>
  <si>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</si>
  <si>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</si>
  <si>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</si>
  <si>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</si>
  <si>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</si>
  <si>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</si>
  <si>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</si>
  <si>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</si>
  <si>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</si>
  <si>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</si>
  <si>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</si>
  <si>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</si>
  <si>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</si>
  <si>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</si>
  <si>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</si>
  <si>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</si>
  <si>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</si>
  <si>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</si>
  <si>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</si>
  <si>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</si>
  <si>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</si>
  <si>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</si>
  <si>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</si>
  <si>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</si>
  <si>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</si>
  <si>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</si>
  <si>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</si>
  <si>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</si>
  <si>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</si>
  <si>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</si>
  <si>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</si>
  <si>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</si>
  <si>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</si>
  <si>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</si>
  <si>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</si>
  <si>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</si>
  <si>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</si>
  <si>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</si>
  <si>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</si>
  <si>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</si>
  <si>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</si>
  <si>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</si>
  <si>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</si>
  <si>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</si>
  <si>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</si>
  <si>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</si>
  <si>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</si>
  <si>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</si>
  <si>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</si>
  <si>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</si>
  <si>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</si>
  <si>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</si>
  <si>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</si>
  <si>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</si>
  <si>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</si>
  <si>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</si>
  <si>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</si>
  <si>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</si>
  <si>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</si>
  <si>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</si>
  <si>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</si>
  <si>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</si>
  <si>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</si>
  <si>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</si>
  <si>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</si>
  <si>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</si>
  <si>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</si>
  <si>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</si>
  <si>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</si>
  <si>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</si>
  <si>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</si>
  <si>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</si>
  <si>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</si>
  <si>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</si>
  <si>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</si>
  <si>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</si>
  <si>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</si>
  <si>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</si>
  <si>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</si>
  <si>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</si>
  <si>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</si>
  <si>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</si>
  <si>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</si>
  <si>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</si>
  <si>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</si>
  <si>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</si>
  <si>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</si>
  <si>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</si>
  <si>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</si>
  <si>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</si>
  <si>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</si>
  <si>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</si>
  <si>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https://www.youtube.com/watch?v=RBirmydmV5k</t>
  </si>
  <si>
    <t xml:space="preserve">Doppler Ultrasound (Arteries vs Veins)</t>
  </si>
  <si>
    <t xml:space="preserve">https://www.youtube.com/watch?v=I4lJJs_eUGg</t>
  </si>
  <si>
    <t xml:space="preserve">Sonographic evaluation of the liver transplant - Lecture</t>
  </si>
  <si>
    <t xml:space="preserve">https://www.youtube.com/watch?v=1Enxa1FUdiw</t>
  </si>
  <si>
    <t xml:space="preserve">Ultrasound of the Abdominal Aorta (Clarius)</t>
  </si>
  <si>
    <t xml:space="preserve">25.7 da 3 ta dars yetarli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</si>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</sst>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<Relationship Id="rId10" Type="http://schemas.openxmlformats.org/officeDocument/2006/relationships/hyperlink" Target="https://www.youtube.com/watch?v=X739XUv0xkE" TargetMode="External"/><Relationship Id="rId11" Type="http://schemas.openxmlformats.org/officeDocument/2006/relationships/hyperlink" Target="https://www.youtube.com/watch?v=KLt-sO1G74A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aejYqKM6mI" TargetMode="External"/><Relationship Id="rId269" Type="http://schemas.openxmlformats.org/officeDocument/2006/relationships/hyperlink" Target="https://www.youtube.com/watch?v=hbVxhOV6NFw" TargetMode="External"/><Relationship Id="rId270" Type="http://schemas.openxmlformats.org/officeDocument/2006/relationships/hyperlink" Target="https://www.youtube.com/watch?v=_CAkI846j7E" TargetMode="External"/><Relationship Id="rId271" Type="http://schemas.openxmlformats.org/officeDocument/2006/relationships/hyperlink" Target="https://www.youtube.com/watch?v=TeGAC9MoZow" TargetMode="External"/><Relationship Id="rId272" Type="http://schemas.openxmlformats.org/officeDocument/2006/relationships/hyperlink" Target="https://www.youtube.com/watch?v=pXjCmheNuug" TargetMode="External"/><Relationship Id="rId273" Type="http://schemas.openxmlformats.org/officeDocument/2006/relationships/hyperlink" Target="https://www.youtube.com/watch?v=76hyW1-XkGk" TargetMode="External"/><Relationship Id="rId274" Type="http://schemas.openxmlformats.org/officeDocument/2006/relationships/hyperlink" Target="https://www.youtube.com/watch?v=fC7gjgVx0LI" TargetMode="External"/><Relationship Id="rId275" Type="http://schemas.openxmlformats.org/officeDocument/2006/relationships/hyperlink" Target="https://www.youtube.com/watch?v=dRVXK3DjBzk" TargetMode="External"/><Relationship Id="rId276" Type="http://schemas.openxmlformats.org/officeDocument/2006/relationships/hyperlink" Target="https://www.youtube.com/watch?v=QFDDU7lpsuA" TargetMode="External"/><Relationship Id="rId277" Type="http://schemas.openxmlformats.org/officeDocument/2006/relationships/hyperlink" Target="https://www.youtube.com/watch?v=-4tJgiWazjA" TargetMode="External"/><Relationship Id="rId278" Type="http://schemas.openxmlformats.org/officeDocument/2006/relationships/hyperlink" Target="https://www.youtube.com/watch?v=JwIWZuq5o14" TargetMode="External"/><Relationship Id="rId279" Type="http://schemas.openxmlformats.org/officeDocument/2006/relationships/hyperlink" Target="https://www.youtube.com/watch?v=fyegmq-hMhI" TargetMode="External"/><Relationship Id="rId280" Type="http://schemas.openxmlformats.org/officeDocument/2006/relationships/hyperlink" Target="https://www.youtube.com/watch?v=Flc8xS2foOU" TargetMode="External"/><Relationship Id="rId281" Type="http://schemas.openxmlformats.org/officeDocument/2006/relationships/hyperlink" Target="https://www.youtube.com/watch?v=SHhKyEaW1NM" TargetMode="External"/><Relationship Id="rId282" Type="http://schemas.openxmlformats.org/officeDocument/2006/relationships/hyperlink" Target="https://www.youtube.com/watch?v=4etSnUtYJ7k" TargetMode="External"/><Relationship Id="rId283" Type="http://schemas.openxmlformats.org/officeDocument/2006/relationships/hyperlink" Target="https://www.youtube.com/watch?v=jF22GbTfFS4" TargetMode="External"/><Relationship Id="rId284" Type="http://schemas.openxmlformats.org/officeDocument/2006/relationships/hyperlink" Target="https://www.youtube.com/watch?v=KGFphcefwXA" TargetMode="External"/><Relationship Id="rId285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RBirmydmV5k" TargetMode="External"/><Relationship Id="rId41" Type="http://schemas.openxmlformats.org/officeDocument/2006/relationships/hyperlink" Target="https://www.youtube.com/watch?v=I4lJJs_eUGg" TargetMode="External"/><Relationship Id="rId42" Type="http://schemas.openxmlformats.org/officeDocument/2006/relationships/hyperlink" Target="https://www.youtube.com/watch?v=1Enxa1FUdi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2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2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4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4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2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2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3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1</v>
      </c>
      <c r="F220" s="6"/>
      <c r="G220" s="6"/>
      <c r="H220" s="6" t="str">
        <f aca="false">IF(G220&lt;&gt;"","Takroriy",IF(E220=0,"Yetishmaydi",IF(F220="ha","Qisman to‘ldirilgan","Mavjud, lekin tekshirilmagan")))</f>
        <v>Mavjud, lekin tekshirilmagan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2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4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4</v>
      </c>
      <c r="D110" s="6" t="s">
        <v>651</v>
      </c>
      <c r="E110" s="6" t="s">
        <v>726</v>
      </c>
      <c r="F110" s="6" t="s">
        <v>2</v>
      </c>
    </row>
    <row r="111" customFormat="false" ht="23.85" hidden="false" customHeight="false" outlineLevel="0" collapsed="false">
      <c r="A111" s="6" t="s">
        <v>436</v>
      </c>
      <c r="B111" s="6" t="s">
        <v>437</v>
      </c>
      <c r="C111" s="6" t="n">
        <v>2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2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3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  <row r="11" customFormat="false" ht="23.85" hidden="false" customHeight="false" outlineLevel="0" collapsed="false">
      <c r="A11" s="6" t="s">
        <v>428</v>
      </c>
      <c r="B11" s="11" t="s">
        <v>784</v>
      </c>
      <c r="C11" s="6" t="s">
        <v>785</v>
      </c>
      <c r="D11" s="6" t="s">
        <v>786</v>
      </c>
      <c r="E11" s="6" t="s">
        <v>787</v>
      </c>
      <c r="F11" s="6" t="s">
        <v>754</v>
      </c>
    </row>
    <row r="12" customFormat="false" ht="23.85" hidden="false" customHeight="false" outlineLevel="0" collapsed="false">
      <c r="A12" s="6" t="s">
        <v>440</v>
      </c>
      <c r="B12" s="11" t="s">
        <v>788</v>
      </c>
      <c r="C12" s="6" t="s">
        <v>789</v>
      </c>
      <c r="D12" s="6" t="s">
        <v>786</v>
      </c>
      <c r="E12" s="6" t="s">
        <v>787</v>
      </c>
      <c r="F12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  <hyperlink ref="B11" r:id="rId10" display="https://www.youtube.com/watch?v=X739XUv0xkE"/>
    <hyperlink ref="B12" r:id="rId11" display="https://www.youtube.com/watch?v=KLt-sO1G74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790</v>
      </c>
      <c r="C1" s="5" t="s">
        <v>791</v>
      </c>
      <c r="D1" s="5" t="s">
        <v>792</v>
      </c>
      <c r="E1" s="5" t="s">
        <v>793</v>
      </c>
      <c r="F1" s="5" t="s">
        <v>746</v>
      </c>
      <c r="G1" s="5" t="s">
        <v>794</v>
      </c>
      <c r="H1" s="5" t="s">
        <v>795</v>
      </c>
      <c r="I1" s="5" t="s">
        <v>796</v>
      </c>
      <c r="J1" s="5" t="s">
        <v>797</v>
      </c>
      <c r="K1" s="5" t="s">
        <v>798</v>
      </c>
      <c r="L1" s="5" t="s">
        <v>799</v>
      </c>
      <c r="M1" s="5" t="s">
        <v>800</v>
      </c>
      <c r="N1" s="5" t="s">
        <v>801</v>
      </c>
      <c r="O1" s="5" t="s">
        <v>802</v>
      </c>
      <c r="P1" s="5" t="s">
        <v>803</v>
      </c>
      <c r="Q1" s="5" t="s">
        <v>804</v>
      </c>
      <c r="R1" s="5" t="s">
        <v>805</v>
      </c>
      <c r="S1" s="5" t="s">
        <v>806</v>
      </c>
      <c r="T1" s="5" t="s">
        <v>807</v>
      </c>
      <c r="U1" s="5" t="s">
        <v>808</v>
      </c>
      <c r="V1" s="5" t="s">
        <v>809</v>
      </c>
      <c r="W1" s="5" t="s">
        <v>810</v>
      </c>
      <c r="X1" s="5" t="s">
        <v>811</v>
      </c>
      <c r="Y1" s="5" t="s">
        <v>735</v>
      </c>
    </row>
    <row r="2" customFormat="false" ht="23.85" hidden="false" customHeight="false" outlineLevel="0" collapsed="false">
      <c r="A2" s="6" t="s">
        <v>812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813</v>
      </c>
      <c r="F2" s="11" t="s">
        <v>814</v>
      </c>
      <c r="G2" s="6" t="s">
        <v>815</v>
      </c>
      <c r="H2" s="6" t="s">
        <v>816</v>
      </c>
      <c r="I2" s="6" t="s">
        <v>817</v>
      </c>
      <c r="J2" s="6" t="s">
        <v>818</v>
      </c>
      <c r="K2" s="6" t="s">
        <v>819</v>
      </c>
      <c r="L2" s="6" t="s">
        <v>820</v>
      </c>
      <c r="M2" s="6" t="s">
        <v>821</v>
      </c>
      <c r="N2" s="12" t="s">
        <v>822</v>
      </c>
      <c r="O2" s="6" t="s">
        <v>823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824</v>
      </c>
    </row>
    <row r="3" customFormat="false" ht="23.85" hidden="false" customHeight="false" outlineLevel="0" collapsed="false">
      <c r="A3" s="6" t="s">
        <v>825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826</v>
      </c>
      <c r="F3" s="11" t="s">
        <v>827</v>
      </c>
      <c r="G3" s="6" t="s">
        <v>828</v>
      </c>
      <c r="H3" s="6" t="s">
        <v>829</v>
      </c>
      <c r="I3" s="6" t="s">
        <v>830</v>
      </c>
      <c r="J3" s="6" t="s">
        <v>831</v>
      </c>
      <c r="K3" s="6" t="s">
        <v>819</v>
      </c>
      <c r="L3" s="6" t="s">
        <v>820</v>
      </c>
      <c r="M3" s="6" t="s">
        <v>832</v>
      </c>
      <c r="N3" s="12" t="s">
        <v>822</v>
      </c>
      <c r="O3" s="6" t="s">
        <v>823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824</v>
      </c>
    </row>
    <row r="4" customFormat="false" ht="23.85" hidden="false" customHeight="false" outlineLevel="0" collapsed="false">
      <c r="A4" s="6" t="s">
        <v>833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834</v>
      </c>
      <c r="F4" s="11" t="s">
        <v>835</v>
      </c>
      <c r="G4" s="6" t="s">
        <v>828</v>
      </c>
      <c r="H4" s="6" t="s">
        <v>829</v>
      </c>
      <c r="I4" s="6" t="s">
        <v>836</v>
      </c>
      <c r="J4" s="6" t="s">
        <v>837</v>
      </c>
      <c r="K4" s="6" t="s">
        <v>819</v>
      </c>
      <c r="L4" s="6" t="s">
        <v>820</v>
      </c>
      <c r="M4" s="6" t="s">
        <v>832</v>
      </c>
      <c r="N4" s="12" t="s">
        <v>822</v>
      </c>
      <c r="O4" s="6" t="s">
        <v>823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838</v>
      </c>
    </row>
    <row r="5" customFormat="false" ht="23.85" hidden="false" customHeight="false" outlineLevel="0" collapsed="false">
      <c r="A5" s="6" t="s">
        <v>839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840</v>
      </c>
      <c r="F5" s="11" t="s">
        <v>841</v>
      </c>
      <c r="G5" s="6" t="s">
        <v>842</v>
      </c>
      <c r="H5" s="6" t="s">
        <v>843</v>
      </c>
      <c r="I5" s="6" t="s">
        <v>844</v>
      </c>
      <c r="J5" s="6" t="s">
        <v>818</v>
      </c>
      <c r="K5" s="6" t="s">
        <v>819</v>
      </c>
      <c r="L5" s="6" t="s">
        <v>845</v>
      </c>
      <c r="M5" s="6" t="s">
        <v>832</v>
      </c>
      <c r="N5" s="12" t="s">
        <v>822</v>
      </c>
      <c r="O5" s="6" t="s">
        <v>823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846</v>
      </c>
    </row>
    <row r="6" customFormat="false" ht="35.05" hidden="false" customHeight="false" outlineLevel="0" collapsed="false">
      <c r="A6" s="6" t="s">
        <v>847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848</v>
      </c>
      <c r="F6" s="11" t="s">
        <v>849</v>
      </c>
      <c r="G6" s="6" t="s">
        <v>850</v>
      </c>
      <c r="H6" s="6" t="s">
        <v>851</v>
      </c>
      <c r="I6" s="6" t="s">
        <v>818</v>
      </c>
      <c r="J6" s="6" t="s">
        <v>818</v>
      </c>
      <c r="K6" s="6" t="s">
        <v>819</v>
      </c>
      <c r="L6" s="6" t="s">
        <v>852</v>
      </c>
      <c r="M6" s="6" t="s">
        <v>853</v>
      </c>
      <c r="N6" s="12" t="s">
        <v>822</v>
      </c>
      <c r="O6" s="6" t="s">
        <v>823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854</v>
      </c>
    </row>
    <row r="7" customFormat="false" ht="23.85" hidden="false" customHeight="false" outlineLevel="0" collapsed="false">
      <c r="A7" s="6" t="s">
        <v>855</v>
      </c>
      <c r="B7" s="6" t="s">
        <v>148</v>
      </c>
      <c r="C7" s="6" t="s">
        <v>856</v>
      </c>
      <c r="D7" s="6" t="str">
        <f aca="false">IFERROR(INDEX(Mundarija!$D:$D,MATCH(B7,Mundarija!$A:$A,0)),"kod topilmadi")</f>
        <v>8.2. Bo‘ylama, ko‘ndalang va qiya tekisliklar.</v>
      </c>
      <c r="E7" s="6" t="s">
        <v>857</v>
      </c>
      <c r="F7" s="11" t="s">
        <v>858</v>
      </c>
      <c r="G7" s="6" t="s">
        <v>815</v>
      </c>
      <c r="H7" s="6" t="s">
        <v>816</v>
      </c>
      <c r="I7" s="6" t="s">
        <v>859</v>
      </c>
      <c r="J7" s="6" t="s">
        <v>818</v>
      </c>
      <c r="K7" s="6" t="s">
        <v>819</v>
      </c>
      <c r="L7" s="6" t="s">
        <v>820</v>
      </c>
      <c r="M7" s="6" t="s">
        <v>853</v>
      </c>
      <c r="N7" s="12" t="s">
        <v>822</v>
      </c>
      <c r="O7" s="6" t="s">
        <v>823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860</v>
      </c>
    </row>
    <row r="8" customFormat="false" ht="35.05" hidden="false" customHeight="false" outlineLevel="0" collapsed="false">
      <c r="A8" s="6" t="s">
        <v>861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862</v>
      </c>
      <c r="F8" s="11" t="s">
        <v>863</v>
      </c>
      <c r="G8" s="6" t="s">
        <v>815</v>
      </c>
      <c r="H8" s="6" t="s">
        <v>816</v>
      </c>
      <c r="I8" s="6" t="s">
        <v>864</v>
      </c>
      <c r="J8" s="6" t="s">
        <v>818</v>
      </c>
      <c r="K8" s="6" t="s">
        <v>819</v>
      </c>
      <c r="L8" s="6" t="s">
        <v>820</v>
      </c>
      <c r="M8" s="6" t="s">
        <v>853</v>
      </c>
      <c r="N8" s="12" t="s">
        <v>822</v>
      </c>
      <c r="O8" s="6" t="s">
        <v>823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865</v>
      </c>
    </row>
    <row r="9" customFormat="false" ht="23.85" hidden="false" customHeight="false" outlineLevel="0" collapsed="false">
      <c r="A9" s="6" t="s">
        <v>866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867</v>
      </c>
      <c r="F9" s="11" t="s">
        <v>868</v>
      </c>
      <c r="G9" s="6" t="s">
        <v>828</v>
      </c>
      <c r="H9" s="6" t="s">
        <v>829</v>
      </c>
      <c r="I9" s="6" t="s">
        <v>869</v>
      </c>
      <c r="J9" s="6" t="s">
        <v>870</v>
      </c>
      <c r="K9" s="6" t="s">
        <v>819</v>
      </c>
      <c r="L9" s="6" t="s">
        <v>820</v>
      </c>
      <c r="M9" s="6" t="s">
        <v>832</v>
      </c>
      <c r="N9" s="12" t="s">
        <v>822</v>
      </c>
      <c r="O9" s="6" t="s">
        <v>823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871</v>
      </c>
    </row>
    <row r="10" customFormat="false" ht="23.85" hidden="false" customHeight="false" outlineLevel="0" collapsed="false">
      <c r="A10" s="6" t="s">
        <v>872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873</v>
      </c>
      <c r="F10" s="11" t="s">
        <v>874</v>
      </c>
      <c r="G10" s="6" t="s">
        <v>828</v>
      </c>
      <c r="H10" s="6" t="s">
        <v>829</v>
      </c>
      <c r="I10" s="6" t="s">
        <v>875</v>
      </c>
      <c r="J10" s="6" t="s">
        <v>876</v>
      </c>
      <c r="K10" s="6" t="s">
        <v>819</v>
      </c>
      <c r="L10" s="6" t="s">
        <v>845</v>
      </c>
      <c r="M10" s="6" t="s">
        <v>832</v>
      </c>
      <c r="N10" s="12" t="s">
        <v>822</v>
      </c>
      <c r="O10" s="6" t="s">
        <v>823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877</v>
      </c>
    </row>
    <row r="11" customFormat="false" ht="23.85" hidden="false" customHeight="false" outlineLevel="0" collapsed="false">
      <c r="A11" s="6" t="s">
        <v>878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879</v>
      </c>
      <c r="F11" s="11" t="s">
        <v>880</v>
      </c>
      <c r="G11" s="6" t="s">
        <v>828</v>
      </c>
      <c r="H11" s="6" t="s">
        <v>829</v>
      </c>
      <c r="I11" s="6" t="s">
        <v>881</v>
      </c>
      <c r="J11" s="6" t="s">
        <v>882</v>
      </c>
      <c r="K11" s="6" t="s">
        <v>819</v>
      </c>
      <c r="L11" s="6" t="s">
        <v>820</v>
      </c>
      <c r="M11" s="6" t="s">
        <v>832</v>
      </c>
      <c r="N11" s="12" t="s">
        <v>822</v>
      </c>
      <c r="O11" s="6" t="s">
        <v>823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883</v>
      </c>
    </row>
    <row r="12" customFormat="false" ht="23.85" hidden="false" customHeight="false" outlineLevel="0" collapsed="false">
      <c r="A12" s="6" t="s">
        <v>884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885</v>
      </c>
      <c r="F12" s="11" t="s">
        <v>886</v>
      </c>
      <c r="G12" s="6" t="s">
        <v>828</v>
      </c>
      <c r="H12" s="6" t="s">
        <v>829</v>
      </c>
      <c r="I12" s="6" t="s">
        <v>887</v>
      </c>
      <c r="J12" s="6" t="s">
        <v>888</v>
      </c>
      <c r="K12" s="6" t="s">
        <v>819</v>
      </c>
      <c r="L12" s="6" t="s">
        <v>820</v>
      </c>
      <c r="M12" s="6" t="s">
        <v>832</v>
      </c>
      <c r="N12" s="12" t="s">
        <v>822</v>
      </c>
      <c r="O12" s="6" t="s">
        <v>823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889</v>
      </c>
    </row>
    <row r="13" customFormat="false" ht="23.85" hidden="false" customHeight="false" outlineLevel="0" collapsed="false">
      <c r="A13" s="6" t="s">
        <v>890</v>
      </c>
      <c r="B13" s="6" t="s">
        <v>237</v>
      </c>
      <c r="C13" s="6" t="s">
        <v>891</v>
      </c>
      <c r="D13" s="6" t="str">
        <f aca="false">IFERROR(INDEX(Mundarija!$D:$D,MATCH(B13,Mundarija!$A:$A,0)),"kod topilmadi")</f>
        <v>14.3. Nefrolitiaz va gidronefroz.</v>
      </c>
      <c r="E13" s="6" t="s">
        <v>892</v>
      </c>
      <c r="F13" s="11" t="s">
        <v>893</v>
      </c>
      <c r="G13" s="6" t="s">
        <v>828</v>
      </c>
      <c r="H13" s="6" t="s">
        <v>829</v>
      </c>
      <c r="I13" s="6" t="s">
        <v>894</v>
      </c>
      <c r="J13" s="6" t="s">
        <v>818</v>
      </c>
      <c r="K13" s="6" t="s">
        <v>819</v>
      </c>
      <c r="L13" s="6" t="s">
        <v>845</v>
      </c>
      <c r="M13" s="6" t="s">
        <v>832</v>
      </c>
      <c r="N13" s="12" t="s">
        <v>822</v>
      </c>
      <c r="O13" s="6" t="s">
        <v>823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895</v>
      </c>
    </row>
    <row r="14" customFormat="false" ht="35.05" hidden="false" customHeight="false" outlineLevel="0" collapsed="false">
      <c r="A14" s="6" t="s">
        <v>896</v>
      </c>
      <c r="B14" s="6" t="s">
        <v>158</v>
      </c>
      <c r="C14" s="6" t="s">
        <v>897</v>
      </c>
      <c r="D14" s="6" t="str">
        <f aca="false">IFERROR(INDEX(Mundarija!$D:$D,MATCH(B14,Mundarija!$A:$A,0)),"kod topilmadi")</f>
        <v>9.1. Normal anatomiyani patologiyadan farqlash.</v>
      </c>
      <c r="E14" s="6" t="s">
        <v>898</v>
      </c>
      <c r="F14" s="11" t="s">
        <v>899</v>
      </c>
      <c r="G14" s="6" t="s">
        <v>900</v>
      </c>
      <c r="H14" s="6" t="s">
        <v>901</v>
      </c>
      <c r="I14" s="6" t="s">
        <v>902</v>
      </c>
      <c r="J14" s="6" t="s">
        <v>818</v>
      </c>
      <c r="K14" s="6" t="s">
        <v>819</v>
      </c>
      <c r="L14" s="6" t="s">
        <v>845</v>
      </c>
      <c r="M14" s="6" t="s">
        <v>903</v>
      </c>
      <c r="N14" s="12" t="s">
        <v>822</v>
      </c>
      <c r="O14" s="6" t="s">
        <v>823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904</v>
      </c>
    </row>
    <row r="15" customFormat="false" ht="35.05" hidden="false" customHeight="false" outlineLevel="0" collapsed="false">
      <c r="A15" s="6" t="s">
        <v>905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906</v>
      </c>
      <c r="F15" s="11" t="s">
        <v>907</v>
      </c>
      <c r="G15" s="6" t="s">
        <v>815</v>
      </c>
      <c r="H15" s="6" t="s">
        <v>908</v>
      </c>
      <c r="I15" s="6" t="s">
        <v>909</v>
      </c>
      <c r="J15" s="6" t="s">
        <v>910</v>
      </c>
      <c r="K15" s="6" t="s">
        <v>819</v>
      </c>
      <c r="L15" s="6" t="s">
        <v>820</v>
      </c>
      <c r="M15" s="6" t="s">
        <v>853</v>
      </c>
      <c r="N15" s="12" t="s">
        <v>822</v>
      </c>
      <c r="O15" s="6" t="s">
        <v>823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911</v>
      </c>
    </row>
    <row r="16" customFormat="false" ht="35.05" hidden="false" customHeight="false" outlineLevel="0" collapsed="false">
      <c r="A16" s="6" t="s">
        <v>912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913</v>
      </c>
      <c r="F16" s="11" t="s">
        <v>914</v>
      </c>
      <c r="G16" s="6" t="s">
        <v>815</v>
      </c>
      <c r="H16" s="6" t="s">
        <v>908</v>
      </c>
      <c r="I16" s="6" t="s">
        <v>915</v>
      </c>
      <c r="J16" s="6" t="s">
        <v>910</v>
      </c>
      <c r="K16" s="6" t="s">
        <v>819</v>
      </c>
      <c r="L16" s="6" t="s">
        <v>820</v>
      </c>
      <c r="M16" s="6" t="s">
        <v>853</v>
      </c>
      <c r="N16" s="12" t="s">
        <v>822</v>
      </c>
      <c r="O16" s="6" t="s">
        <v>823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916</v>
      </c>
    </row>
    <row r="17" customFormat="false" ht="23.85" hidden="false" customHeight="false" outlineLevel="0" collapsed="false">
      <c r="A17" s="6" t="s">
        <v>917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918</v>
      </c>
      <c r="F17" s="11" t="s">
        <v>919</v>
      </c>
      <c r="G17" s="6" t="s">
        <v>920</v>
      </c>
      <c r="H17" s="6" t="s">
        <v>921</v>
      </c>
      <c r="I17" s="6" t="s">
        <v>922</v>
      </c>
      <c r="J17" s="6" t="s">
        <v>923</v>
      </c>
      <c r="K17" s="6" t="s">
        <v>819</v>
      </c>
      <c r="L17" s="6" t="s">
        <v>820</v>
      </c>
      <c r="M17" s="6" t="s">
        <v>853</v>
      </c>
      <c r="N17" s="12" t="s">
        <v>822</v>
      </c>
      <c r="O17" s="6" t="s">
        <v>823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924</v>
      </c>
    </row>
    <row r="18" customFormat="false" ht="35.05" hidden="false" customHeight="false" outlineLevel="0" collapsed="false">
      <c r="A18" s="6" t="s">
        <v>925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926</v>
      </c>
      <c r="F18" s="11" t="s">
        <v>927</v>
      </c>
      <c r="G18" s="6" t="s">
        <v>815</v>
      </c>
      <c r="H18" s="6" t="s">
        <v>908</v>
      </c>
      <c r="I18" s="6" t="s">
        <v>928</v>
      </c>
      <c r="J18" s="6" t="s">
        <v>929</v>
      </c>
      <c r="K18" s="6" t="s">
        <v>819</v>
      </c>
      <c r="L18" s="6" t="s">
        <v>930</v>
      </c>
      <c r="M18" s="6" t="s">
        <v>853</v>
      </c>
      <c r="N18" s="12" t="s">
        <v>822</v>
      </c>
      <c r="O18" s="6" t="s">
        <v>823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931</v>
      </c>
    </row>
    <row r="19" customFormat="false" ht="23.85" hidden="false" customHeight="false" outlineLevel="0" collapsed="false">
      <c r="A19" s="6" t="s">
        <v>932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933</v>
      </c>
      <c r="F19" s="11" t="s">
        <v>934</v>
      </c>
      <c r="G19" s="6" t="s">
        <v>935</v>
      </c>
      <c r="H19" s="6" t="s">
        <v>936</v>
      </c>
      <c r="I19" s="6" t="s">
        <v>818</v>
      </c>
      <c r="J19" s="6" t="s">
        <v>937</v>
      </c>
      <c r="K19" s="6" t="s">
        <v>819</v>
      </c>
      <c r="L19" s="6" t="s">
        <v>820</v>
      </c>
      <c r="M19" s="6" t="s">
        <v>853</v>
      </c>
      <c r="N19" s="12" t="s">
        <v>822</v>
      </c>
      <c r="O19" s="6" t="s">
        <v>823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938</v>
      </c>
    </row>
    <row r="20" customFormat="false" ht="35.05" hidden="false" customHeight="false" outlineLevel="0" collapsed="false">
      <c r="A20" s="6" t="s">
        <v>939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940</v>
      </c>
      <c r="F20" s="11" t="s">
        <v>941</v>
      </c>
      <c r="G20" s="6" t="s">
        <v>920</v>
      </c>
      <c r="H20" s="6" t="s">
        <v>921</v>
      </c>
      <c r="I20" s="6" t="s">
        <v>818</v>
      </c>
      <c r="J20" s="6" t="s">
        <v>923</v>
      </c>
      <c r="K20" s="6" t="s">
        <v>819</v>
      </c>
      <c r="L20" s="6" t="s">
        <v>820</v>
      </c>
      <c r="M20" s="6" t="s">
        <v>853</v>
      </c>
      <c r="N20" s="12" t="s">
        <v>822</v>
      </c>
      <c r="O20" s="6" t="s">
        <v>823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942</v>
      </c>
    </row>
    <row r="21" customFormat="false" ht="35.05" hidden="false" customHeight="false" outlineLevel="0" collapsed="false">
      <c r="A21" s="6" t="s">
        <v>943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944</v>
      </c>
      <c r="F21" s="11" t="s">
        <v>945</v>
      </c>
      <c r="G21" s="6" t="s">
        <v>815</v>
      </c>
      <c r="H21" s="6" t="s">
        <v>908</v>
      </c>
      <c r="I21" s="6" t="s">
        <v>946</v>
      </c>
      <c r="J21" s="6" t="s">
        <v>947</v>
      </c>
      <c r="K21" s="6" t="s">
        <v>819</v>
      </c>
      <c r="L21" s="6" t="s">
        <v>845</v>
      </c>
      <c r="M21" s="6" t="s">
        <v>853</v>
      </c>
      <c r="N21" s="12" t="s">
        <v>822</v>
      </c>
      <c r="O21" s="6" t="s">
        <v>823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948</v>
      </c>
    </row>
    <row r="22" customFormat="false" ht="23.85" hidden="false" customHeight="false" outlineLevel="0" collapsed="false">
      <c r="A22" s="6" t="s">
        <v>949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950</v>
      </c>
      <c r="F22" s="11" t="s">
        <v>951</v>
      </c>
      <c r="G22" s="6" t="s">
        <v>815</v>
      </c>
      <c r="H22" s="6" t="s">
        <v>908</v>
      </c>
      <c r="I22" s="6" t="s">
        <v>952</v>
      </c>
      <c r="J22" s="6" t="s">
        <v>953</v>
      </c>
      <c r="K22" s="6" t="s">
        <v>819</v>
      </c>
      <c r="L22" s="6" t="s">
        <v>820</v>
      </c>
      <c r="M22" s="6" t="s">
        <v>853</v>
      </c>
      <c r="N22" s="12" t="s">
        <v>822</v>
      </c>
      <c r="O22" s="6" t="s">
        <v>823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954</v>
      </c>
    </row>
    <row r="23" customFormat="false" ht="35.05" hidden="false" customHeight="false" outlineLevel="0" collapsed="false">
      <c r="A23" s="6" t="s">
        <v>955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956</v>
      </c>
      <c r="F23" s="11" t="s">
        <v>957</v>
      </c>
      <c r="G23" s="6" t="s">
        <v>815</v>
      </c>
      <c r="H23" s="6" t="s">
        <v>908</v>
      </c>
      <c r="I23" s="6" t="s">
        <v>958</v>
      </c>
      <c r="J23" s="6" t="s">
        <v>959</v>
      </c>
      <c r="K23" s="6" t="s">
        <v>819</v>
      </c>
      <c r="L23" s="6" t="s">
        <v>930</v>
      </c>
      <c r="M23" s="6" t="s">
        <v>853</v>
      </c>
      <c r="N23" s="12" t="s">
        <v>822</v>
      </c>
      <c r="O23" s="6" t="s">
        <v>823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960</v>
      </c>
    </row>
    <row r="24" customFormat="false" ht="35.05" hidden="false" customHeight="false" outlineLevel="0" collapsed="false">
      <c r="A24" s="6" t="s">
        <v>961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962</v>
      </c>
      <c r="F24" s="11" t="s">
        <v>963</v>
      </c>
      <c r="G24" s="6" t="s">
        <v>815</v>
      </c>
      <c r="H24" s="6" t="s">
        <v>908</v>
      </c>
      <c r="I24" s="6" t="s">
        <v>964</v>
      </c>
      <c r="J24" s="6" t="s">
        <v>965</v>
      </c>
      <c r="K24" s="6" t="s">
        <v>819</v>
      </c>
      <c r="L24" s="6" t="s">
        <v>845</v>
      </c>
      <c r="M24" s="6" t="s">
        <v>853</v>
      </c>
      <c r="N24" s="12" t="s">
        <v>822</v>
      </c>
      <c r="O24" s="6" t="s">
        <v>823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966</v>
      </c>
    </row>
    <row r="25" customFormat="false" ht="23.85" hidden="false" customHeight="false" outlineLevel="0" collapsed="false">
      <c r="A25" s="6" t="s">
        <v>967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968</v>
      </c>
      <c r="F25" s="11" t="s">
        <v>969</v>
      </c>
      <c r="G25" s="6" t="s">
        <v>970</v>
      </c>
      <c r="H25" s="6" t="s">
        <v>971</v>
      </c>
      <c r="I25" s="6" t="s">
        <v>818</v>
      </c>
      <c r="J25" s="6" t="s">
        <v>972</v>
      </c>
      <c r="K25" s="6" t="s">
        <v>819</v>
      </c>
      <c r="L25" s="6" t="s">
        <v>820</v>
      </c>
      <c r="M25" s="6" t="s">
        <v>853</v>
      </c>
      <c r="N25" s="12" t="s">
        <v>822</v>
      </c>
      <c r="O25" s="6" t="s">
        <v>823</v>
      </c>
      <c r="P25" s="6" t="s">
        <v>2</v>
      </c>
      <c r="Q25" s="6" t="s">
        <v>973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974</v>
      </c>
    </row>
    <row r="26" customFormat="false" ht="35.05" hidden="false" customHeight="false" outlineLevel="0" collapsed="false">
      <c r="A26" s="6" t="s">
        <v>975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976</v>
      </c>
      <c r="F26" s="11" t="s">
        <v>977</v>
      </c>
      <c r="G26" s="6" t="s">
        <v>815</v>
      </c>
      <c r="H26" s="6" t="s">
        <v>908</v>
      </c>
      <c r="I26" s="6" t="s">
        <v>978</v>
      </c>
      <c r="J26" s="6" t="s">
        <v>979</v>
      </c>
      <c r="K26" s="6" t="s">
        <v>819</v>
      </c>
      <c r="L26" s="6" t="s">
        <v>845</v>
      </c>
      <c r="M26" s="6" t="s">
        <v>853</v>
      </c>
      <c r="N26" s="12" t="s">
        <v>822</v>
      </c>
      <c r="O26" s="6" t="s">
        <v>823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980</v>
      </c>
    </row>
    <row r="27" customFormat="false" ht="35.05" hidden="false" customHeight="false" outlineLevel="0" collapsed="false">
      <c r="A27" s="6" t="s">
        <v>981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982</v>
      </c>
      <c r="F27" s="11" t="s">
        <v>983</v>
      </c>
      <c r="G27" s="6" t="s">
        <v>815</v>
      </c>
      <c r="H27" s="6" t="s">
        <v>908</v>
      </c>
      <c r="I27" s="6" t="s">
        <v>984</v>
      </c>
      <c r="J27" s="6" t="s">
        <v>985</v>
      </c>
      <c r="K27" s="6" t="s">
        <v>819</v>
      </c>
      <c r="L27" s="6" t="s">
        <v>845</v>
      </c>
      <c r="M27" s="6" t="s">
        <v>853</v>
      </c>
      <c r="N27" s="12" t="s">
        <v>822</v>
      </c>
      <c r="O27" s="6" t="s">
        <v>823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986</v>
      </c>
    </row>
    <row r="28" customFormat="false" ht="35.05" hidden="false" customHeight="false" outlineLevel="0" collapsed="false">
      <c r="A28" s="6" t="s">
        <v>987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988</v>
      </c>
      <c r="F28" s="11" t="s">
        <v>989</v>
      </c>
      <c r="G28" s="6" t="s">
        <v>815</v>
      </c>
      <c r="H28" s="6" t="s">
        <v>908</v>
      </c>
      <c r="I28" s="6" t="s">
        <v>818</v>
      </c>
      <c r="J28" s="6" t="s">
        <v>990</v>
      </c>
      <c r="K28" s="6" t="s">
        <v>819</v>
      </c>
      <c r="L28" s="6" t="s">
        <v>845</v>
      </c>
      <c r="M28" s="6" t="s">
        <v>853</v>
      </c>
      <c r="N28" s="12" t="s">
        <v>822</v>
      </c>
      <c r="O28" s="6" t="s">
        <v>823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991</v>
      </c>
    </row>
    <row r="29" customFormat="false" ht="46.25" hidden="false" customHeight="false" outlineLevel="0" collapsed="false">
      <c r="A29" s="6" t="s">
        <v>992</v>
      </c>
      <c r="B29" s="6" t="s">
        <v>66</v>
      </c>
      <c r="C29" s="6" t="s">
        <v>993</v>
      </c>
      <c r="D29" s="6" t="str">
        <f aca="false">IFERROR(INDEX(Mundarija!$D:$D,MATCH(B29,Mundarija!$A:$A,0)),"kod topilmadi")</f>
        <v>2.5. B-rejim, M-rejim va tasvirni qayta ishlash.</v>
      </c>
      <c r="E29" s="6" t="s">
        <v>994</v>
      </c>
      <c r="F29" s="11" t="s">
        <v>995</v>
      </c>
      <c r="G29" s="6" t="s">
        <v>815</v>
      </c>
      <c r="H29" s="6" t="s">
        <v>908</v>
      </c>
      <c r="I29" s="6" t="s">
        <v>996</v>
      </c>
      <c r="J29" s="6" t="s">
        <v>997</v>
      </c>
      <c r="K29" s="6" t="s">
        <v>819</v>
      </c>
      <c r="L29" s="6" t="s">
        <v>845</v>
      </c>
      <c r="M29" s="6" t="s">
        <v>853</v>
      </c>
      <c r="N29" s="12" t="s">
        <v>822</v>
      </c>
      <c r="O29" s="6" t="s">
        <v>823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998</v>
      </c>
    </row>
    <row r="30" customFormat="false" ht="35.05" hidden="false" customHeight="false" outlineLevel="0" collapsed="false">
      <c r="A30" s="6" t="s">
        <v>999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1000</v>
      </c>
      <c r="F30" s="11" t="s">
        <v>1001</v>
      </c>
      <c r="G30" s="6" t="s">
        <v>815</v>
      </c>
      <c r="H30" s="6" t="s">
        <v>908</v>
      </c>
      <c r="I30" s="6" t="s">
        <v>1002</v>
      </c>
      <c r="J30" s="6" t="s">
        <v>1003</v>
      </c>
      <c r="K30" s="6" t="s">
        <v>819</v>
      </c>
      <c r="L30" s="6" t="s">
        <v>845</v>
      </c>
      <c r="M30" s="6" t="s">
        <v>853</v>
      </c>
      <c r="N30" s="12" t="s">
        <v>822</v>
      </c>
      <c r="O30" s="6" t="s">
        <v>823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1004</v>
      </c>
    </row>
    <row r="31" customFormat="false" ht="35.05" hidden="false" customHeight="false" outlineLevel="0" collapsed="false">
      <c r="A31" s="6" t="s">
        <v>1005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1006</v>
      </c>
      <c r="F31" s="11" t="s">
        <v>1007</v>
      </c>
      <c r="G31" s="6" t="s">
        <v>815</v>
      </c>
      <c r="H31" s="6" t="s">
        <v>908</v>
      </c>
      <c r="I31" s="6" t="s">
        <v>1008</v>
      </c>
      <c r="J31" s="6" t="s">
        <v>1003</v>
      </c>
      <c r="K31" s="6" t="s">
        <v>819</v>
      </c>
      <c r="L31" s="6" t="s">
        <v>845</v>
      </c>
      <c r="M31" s="6" t="s">
        <v>853</v>
      </c>
      <c r="N31" s="12" t="s">
        <v>822</v>
      </c>
      <c r="O31" s="6" t="s">
        <v>823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1009</v>
      </c>
    </row>
    <row r="32" customFormat="false" ht="35.05" hidden="false" customHeight="false" outlineLevel="0" collapsed="false">
      <c r="A32" s="6" t="s">
        <v>1010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1011</v>
      </c>
      <c r="F32" s="11" t="s">
        <v>1012</v>
      </c>
      <c r="G32" s="6" t="s">
        <v>1013</v>
      </c>
      <c r="H32" s="6" t="s">
        <v>1014</v>
      </c>
      <c r="I32" s="6" t="s">
        <v>1015</v>
      </c>
      <c r="J32" s="6" t="s">
        <v>1016</v>
      </c>
      <c r="K32" s="6" t="s">
        <v>819</v>
      </c>
      <c r="L32" s="6" t="s">
        <v>820</v>
      </c>
      <c r="M32" s="6" t="s">
        <v>832</v>
      </c>
      <c r="N32" s="12" t="s">
        <v>822</v>
      </c>
      <c r="O32" s="6" t="s">
        <v>823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1017</v>
      </c>
    </row>
    <row r="33" customFormat="false" ht="23.85" hidden="false" customHeight="false" outlineLevel="0" collapsed="false">
      <c r="A33" s="6" t="s">
        <v>1018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1019</v>
      </c>
      <c r="F33" s="11" t="s">
        <v>1020</v>
      </c>
      <c r="G33" s="6" t="s">
        <v>920</v>
      </c>
      <c r="H33" s="6" t="s">
        <v>921</v>
      </c>
      <c r="I33" s="6" t="s">
        <v>818</v>
      </c>
      <c r="J33" s="6" t="s">
        <v>1021</v>
      </c>
      <c r="K33" s="6" t="s">
        <v>819</v>
      </c>
      <c r="L33" s="6" t="s">
        <v>820</v>
      </c>
      <c r="M33" s="6" t="s">
        <v>832</v>
      </c>
      <c r="N33" s="12" t="s">
        <v>822</v>
      </c>
      <c r="O33" s="6" t="s">
        <v>823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1022</v>
      </c>
    </row>
    <row r="34" customFormat="false" ht="23.85" hidden="false" customHeight="false" outlineLevel="0" collapsed="false">
      <c r="A34" s="6" t="s">
        <v>1023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1024</v>
      </c>
      <c r="F34" s="11" t="s">
        <v>1025</v>
      </c>
      <c r="G34" s="6" t="s">
        <v>1026</v>
      </c>
      <c r="H34" s="6" t="s">
        <v>1027</v>
      </c>
      <c r="I34" s="6" t="s">
        <v>1028</v>
      </c>
      <c r="J34" s="6" t="s">
        <v>1029</v>
      </c>
      <c r="K34" s="6" t="s">
        <v>819</v>
      </c>
      <c r="L34" s="6" t="s">
        <v>820</v>
      </c>
      <c r="M34" s="6" t="s">
        <v>832</v>
      </c>
      <c r="N34" s="12" t="s">
        <v>822</v>
      </c>
      <c r="O34" s="6" t="s">
        <v>823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1022</v>
      </c>
    </row>
    <row r="35" customFormat="false" ht="23.85" hidden="false" customHeight="false" outlineLevel="0" collapsed="false">
      <c r="A35" s="6" t="s">
        <v>1030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1031</v>
      </c>
      <c r="F35" s="11" t="s">
        <v>1032</v>
      </c>
      <c r="G35" s="6" t="s">
        <v>920</v>
      </c>
      <c r="H35" s="6" t="s">
        <v>921</v>
      </c>
      <c r="I35" s="6" t="s">
        <v>1033</v>
      </c>
      <c r="J35" s="6" t="s">
        <v>1034</v>
      </c>
      <c r="K35" s="6" t="s">
        <v>819</v>
      </c>
      <c r="L35" s="6" t="s">
        <v>820</v>
      </c>
      <c r="M35" s="6" t="s">
        <v>832</v>
      </c>
      <c r="N35" s="12" t="s">
        <v>822</v>
      </c>
      <c r="O35" s="6" t="s">
        <v>823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1035</v>
      </c>
    </row>
    <row r="36" customFormat="false" ht="23.85" hidden="false" customHeight="false" outlineLevel="0" collapsed="false">
      <c r="A36" s="6" t="s">
        <v>1036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1037</v>
      </c>
      <c r="F36" s="11" t="s">
        <v>1038</v>
      </c>
      <c r="G36" s="6" t="s">
        <v>815</v>
      </c>
      <c r="H36" s="6" t="s">
        <v>908</v>
      </c>
      <c r="I36" s="6" t="s">
        <v>1039</v>
      </c>
      <c r="J36" s="6" t="s">
        <v>1040</v>
      </c>
      <c r="K36" s="6" t="s">
        <v>819</v>
      </c>
      <c r="L36" s="6" t="s">
        <v>845</v>
      </c>
      <c r="M36" s="6" t="s">
        <v>853</v>
      </c>
      <c r="N36" s="12" t="s">
        <v>822</v>
      </c>
      <c r="O36" s="6" t="s">
        <v>823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1041</v>
      </c>
    </row>
    <row r="37" customFormat="false" ht="23.85" hidden="false" customHeight="false" outlineLevel="0" collapsed="false">
      <c r="A37" s="6" t="s">
        <v>1042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1043</v>
      </c>
      <c r="F37" s="11" t="s">
        <v>1044</v>
      </c>
      <c r="G37" s="6" t="s">
        <v>920</v>
      </c>
      <c r="H37" s="6" t="s">
        <v>921</v>
      </c>
      <c r="I37" s="6" t="s">
        <v>818</v>
      </c>
      <c r="J37" s="6" t="s">
        <v>1021</v>
      </c>
      <c r="K37" s="6" t="s">
        <v>819</v>
      </c>
      <c r="L37" s="6" t="s">
        <v>820</v>
      </c>
      <c r="M37" s="6" t="s">
        <v>853</v>
      </c>
      <c r="N37" s="12" t="s">
        <v>822</v>
      </c>
      <c r="O37" s="6" t="s">
        <v>823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1045</v>
      </c>
    </row>
    <row r="38" customFormat="false" ht="35.05" hidden="false" customHeight="false" outlineLevel="0" collapsed="false">
      <c r="A38" s="6" t="s">
        <v>1046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1047</v>
      </c>
      <c r="F38" s="11" t="s">
        <v>1048</v>
      </c>
      <c r="G38" s="6" t="s">
        <v>815</v>
      </c>
      <c r="H38" s="6" t="s">
        <v>908</v>
      </c>
      <c r="I38" s="6" t="s">
        <v>1049</v>
      </c>
      <c r="J38" s="6" t="s">
        <v>1050</v>
      </c>
      <c r="K38" s="6" t="s">
        <v>819</v>
      </c>
      <c r="L38" s="6" t="s">
        <v>845</v>
      </c>
      <c r="M38" s="6" t="s">
        <v>853</v>
      </c>
      <c r="N38" s="12" t="s">
        <v>822</v>
      </c>
      <c r="O38" s="6" t="s">
        <v>823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1051</v>
      </c>
    </row>
    <row r="39" customFormat="false" ht="23.85" hidden="false" customHeight="false" outlineLevel="0" collapsed="false">
      <c r="A39" s="6" t="s">
        <v>1052</v>
      </c>
      <c r="B39" s="6" t="s">
        <v>84</v>
      </c>
      <c r="C39" s="6" t="s">
        <v>1053</v>
      </c>
      <c r="D39" s="6" t="str">
        <f aca="false">IFERROR(INDEX(Mundarija!$D:$D,MATCH(B39,Mundarija!$A:$A,0)),"kod topilmadi")</f>
        <v>3.6. Texnik xatolar va tasvir sifatini nazorat qilish.</v>
      </c>
      <c r="E39" s="6" t="s">
        <v>1054</v>
      </c>
      <c r="F39" s="11" t="s">
        <v>1055</v>
      </c>
      <c r="G39" s="6" t="s">
        <v>815</v>
      </c>
      <c r="H39" s="6" t="s">
        <v>908</v>
      </c>
      <c r="I39" s="6" t="s">
        <v>1056</v>
      </c>
      <c r="J39" s="6" t="s">
        <v>1057</v>
      </c>
      <c r="K39" s="6" t="s">
        <v>819</v>
      </c>
      <c r="L39" s="6" t="s">
        <v>845</v>
      </c>
      <c r="M39" s="6" t="s">
        <v>853</v>
      </c>
      <c r="N39" s="12" t="s">
        <v>822</v>
      </c>
      <c r="O39" s="6" t="s">
        <v>823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1058</v>
      </c>
    </row>
    <row r="40" customFormat="false" ht="23.85" hidden="false" customHeight="false" outlineLevel="0" collapsed="false">
      <c r="A40" s="6" t="s">
        <v>1059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1060</v>
      </c>
      <c r="F40" s="11" t="s">
        <v>1061</v>
      </c>
      <c r="G40" s="6" t="s">
        <v>1062</v>
      </c>
      <c r="H40" s="6" t="s">
        <v>1063</v>
      </c>
      <c r="I40" s="6" t="s">
        <v>818</v>
      </c>
      <c r="J40" s="6" t="s">
        <v>1064</v>
      </c>
      <c r="K40" s="6" t="s">
        <v>819</v>
      </c>
      <c r="L40" s="6" t="s">
        <v>820</v>
      </c>
      <c r="M40" s="6" t="s">
        <v>832</v>
      </c>
      <c r="N40" s="12" t="s">
        <v>822</v>
      </c>
      <c r="O40" s="6" t="s">
        <v>823</v>
      </c>
      <c r="P40" s="6" t="s">
        <v>2</v>
      </c>
      <c r="Q40" s="6" t="s">
        <v>973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974</v>
      </c>
    </row>
    <row r="41" customFormat="false" ht="23.85" hidden="false" customHeight="false" outlineLevel="0" collapsed="false">
      <c r="A41" s="6" t="s">
        <v>1065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1066</v>
      </c>
      <c r="F41" s="11" t="s">
        <v>1067</v>
      </c>
      <c r="G41" s="6" t="s">
        <v>1062</v>
      </c>
      <c r="H41" s="6" t="s">
        <v>1063</v>
      </c>
      <c r="I41" s="6" t="s">
        <v>818</v>
      </c>
      <c r="J41" s="6" t="s">
        <v>1068</v>
      </c>
      <c r="K41" s="6" t="s">
        <v>819</v>
      </c>
      <c r="L41" s="6" t="s">
        <v>820</v>
      </c>
      <c r="M41" s="6" t="s">
        <v>832</v>
      </c>
      <c r="N41" s="12" t="s">
        <v>822</v>
      </c>
      <c r="O41" s="6" t="s">
        <v>823</v>
      </c>
      <c r="P41" s="6" t="s">
        <v>2</v>
      </c>
      <c r="Q41" s="6" t="s">
        <v>973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974</v>
      </c>
    </row>
    <row r="42" customFormat="false" ht="23.85" hidden="false" customHeight="false" outlineLevel="0" collapsed="false">
      <c r="A42" s="6" t="s">
        <v>1069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1070</v>
      </c>
      <c r="F42" s="11" t="s">
        <v>1071</v>
      </c>
      <c r="G42" s="6" t="s">
        <v>1072</v>
      </c>
      <c r="H42" s="6" t="s">
        <v>1073</v>
      </c>
      <c r="I42" s="6" t="s">
        <v>818</v>
      </c>
      <c r="J42" s="6" t="s">
        <v>1074</v>
      </c>
      <c r="K42" s="6" t="s">
        <v>819</v>
      </c>
      <c r="L42" s="6" t="s">
        <v>845</v>
      </c>
      <c r="M42" s="6" t="s">
        <v>853</v>
      </c>
      <c r="N42" s="12" t="s">
        <v>822</v>
      </c>
      <c r="O42" s="6" t="s">
        <v>823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1075</v>
      </c>
    </row>
    <row r="43" customFormat="false" ht="23.85" hidden="false" customHeight="false" outlineLevel="0" collapsed="false">
      <c r="A43" s="6" t="s">
        <v>1076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1077</v>
      </c>
      <c r="F43" s="11" t="s">
        <v>1078</v>
      </c>
      <c r="G43" s="6" t="s">
        <v>1079</v>
      </c>
      <c r="H43" s="6" t="s">
        <v>851</v>
      </c>
      <c r="I43" s="6" t="s">
        <v>818</v>
      </c>
      <c r="J43" s="6" t="s">
        <v>1080</v>
      </c>
      <c r="K43" s="6" t="s">
        <v>819</v>
      </c>
      <c r="L43" s="6" t="s">
        <v>845</v>
      </c>
      <c r="M43" s="6" t="s">
        <v>832</v>
      </c>
      <c r="N43" s="12" t="s">
        <v>822</v>
      </c>
      <c r="O43" s="6" t="s">
        <v>823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1081</v>
      </c>
    </row>
    <row r="44" customFormat="false" ht="35.05" hidden="false" customHeight="false" outlineLevel="0" collapsed="false">
      <c r="A44" s="6" t="s">
        <v>1082</v>
      </c>
      <c r="B44" s="6" t="s">
        <v>107</v>
      </c>
      <c r="C44" s="6" t="s">
        <v>1083</v>
      </c>
      <c r="D44" s="6" t="str">
        <f aca="false">IFERROR(INDEX(Mundarija!$D:$D,MATCH(B44,Mundarija!$A:$A,0)),"kod topilmadi")</f>
        <v>5.4. PRF, scale, wall filter, gain va sample volume.</v>
      </c>
      <c r="E44" s="6" t="s">
        <v>1084</v>
      </c>
      <c r="F44" s="11" t="s">
        <v>1085</v>
      </c>
      <c r="G44" s="6" t="s">
        <v>815</v>
      </c>
      <c r="H44" s="6" t="s">
        <v>908</v>
      </c>
      <c r="I44" s="6" t="s">
        <v>1086</v>
      </c>
      <c r="J44" s="6" t="s">
        <v>1087</v>
      </c>
      <c r="K44" s="6" t="s">
        <v>819</v>
      </c>
      <c r="L44" s="6" t="s">
        <v>845</v>
      </c>
      <c r="M44" s="6" t="s">
        <v>832</v>
      </c>
      <c r="N44" s="12" t="s">
        <v>822</v>
      </c>
      <c r="O44" s="6" t="s">
        <v>823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1088</v>
      </c>
    </row>
    <row r="45" customFormat="false" ht="35.05" hidden="false" customHeight="false" outlineLevel="0" collapsed="false">
      <c r="A45" s="6" t="s">
        <v>1089</v>
      </c>
      <c r="B45" s="6" t="s">
        <v>100</v>
      </c>
      <c r="C45" s="6" t="s">
        <v>1090</v>
      </c>
      <c r="D45" s="6" t="str">
        <f aca="false">IFERROR(INDEX(Mundarija!$D:$D,MATCH(B45,Mundarija!$A:$A,0)),"kod topilmadi")</f>
        <v>5.1. Doppler effekti va Doppler tenglamasi.</v>
      </c>
      <c r="E45" s="6" t="s">
        <v>1091</v>
      </c>
      <c r="F45" s="11" t="s">
        <v>1092</v>
      </c>
      <c r="G45" s="6" t="s">
        <v>815</v>
      </c>
      <c r="H45" s="6" t="s">
        <v>908</v>
      </c>
      <c r="I45" s="6" t="s">
        <v>1093</v>
      </c>
      <c r="J45" s="6" t="s">
        <v>1094</v>
      </c>
      <c r="K45" s="6" t="s">
        <v>819</v>
      </c>
      <c r="L45" s="6" t="s">
        <v>845</v>
      </c>
      <c r="M45" s="6" t="s">
        <v>853</v>
      </c>
      <c r="N45" s="12" t="s">
        <v>822</v>
      </c>
      <c r="O45" s="6" t="s">
        <v>823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1095</v>
      </c>
    </row>
    <row r="46" customFormat="false" ht="35.05" hidden="false" customHeight="false" outlineLevel="0" collapsed="false">
      <c r="A46" s="6" t="s">
        <v>1096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1097</v>
      </c>
      <c r="F46" s="11" t="s">
        <v>1098</v>
      </c>
      <c r="G46" s="6" t="s">
        <v>1099</v>
      </c>
      <c r="H46" s="6" t="s">
        <v>1100</v>
      </c>
      <c r="I46" s="6" t="s">
        <v>818</v>
      </c>
      <c r="J46" s="6" t="s">
        <v>1101</v>
      </c>
      <c r="K46" s="6" t="s">
        <v>819</v>
      </c>
      <c r="L46" s="6" t="s">
        <v>820</v>
      </c>
      <c r="M46" s="6" t="s">
        <v>832</v>
      </c>
      <c r="N46" s="12" t="s">
        <v>822</v>
      </c>
      <c r="O46" s="6" t="s">
        <v>823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1102</v>
      </c>
    </row>
    <row r="47" customFormat="false" ht="23.85" hidden="false" customHeight="false" outlineLevel="0" collapsed="false">
      <c r="A47" s="6" t="s">
        <v>1103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1104</v>
      </c>
      <c r="F47" s="11" t="s">
        <v>1105</v>
      </c>
      <c r="G47" s="6" t="s">
        <v>1106</v>
      </c>
      <c r="H47" s="6" t="s">
        <v>829</v>
      </c>
      <c r="I47" s="6" t="s">
        <v>1107</v>
      </c>
      <c r="J47" s="6" t="s">
        <v>1108</v>
      </c>
      <c r="K47" s="6" t="s">
        <v>819</v>
      </c>
      <c r="L47" s="6" t="s">
        <v>820</v>
      </c>
      <c r="M47" s="6" t="s">
        <v>853</v>
      </c>
      <c r="N47" s="12" t="s">
        <v>822</v>
      </c>
      <c r="O47" s="6" t="s">
        <v>823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1109</v>
      </c>
    </row>
    <row r="48" customFormat="false" ht="23.85" hidden="false" customHeight="false" outlineLevel="0" collapsed="false">
      <c r="A48" s="6" t="s">
        <v>1110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1111</v>
      </c>
      <c r="F48" s="11" t="s">
        <v>1112</v>
      </c>
      <c r="G48" s="6" t="s">
        <v>815</v>
      </c>
      <c r="H48" s="6" t="s">
        <v>908</v>
      </c>
      <c r="I48" s="6" t="s">
        <v>1113</v>
      </c>
      <c r="J48" s="6" t="s">
        <v>1114</v>
      </c>
      <c r="K48" s="6" t="s">
        <v>819</v>
      </c>
      <c r="L48" s="6" t="s">
        <v>845</v>
      </c>
      <c r="M48" s="6" t="s">
        <v>853</v>
      </c>
      <c r="N48" s="12" t="s">
        <v>822</v>
      </c>
      <c r="O48" s="6" t="s">
        <v>823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1115</v>
      </c>
    </row>
    <row r="49" customFormat="false" ht="35.05" hidden="false" customHeight="false" outlineLevel="0" collapsed="false">
      <c r="A49" s="6" t="s">
        <v>1116</v>
      </c>
      <c r="B49" s="6" t="s">
        <v>116</v>
      </c>
      <c r="C49" s="6" t="s">
        <v>1117</v>
      </c>
      <c r="D49" s="6" t="str">
        <f aca="false">IFERROR(INDEX(Mundarija!$D:$D,MATCH(B49,Mundarija!$A:$A,0)),"kod topilmadi")</f>
        <v>6.1. Ultratovushning termal va mexanik bioeffektlari.</v>
      </c>
      <c r="E49" s="6" t="s">
        <v>1118</v>
      </c>
      <c r="F49" s="11" t="s">
        <v>1119</v>
      </c>
      <c r="G49" s="6" t="s">
        <v>1120</v>
      </c>
      <c r="H49" s="6" t="s">
        <v>1121</v>
      </c>
      <c r="I49" s="6" t="s">
        <v>818</v>
      </c>
      <c r="J49" s="6" t="s">
        <v>1122</v>
      </c>
      <c r="K49" s="6" t="s">
        <v>819</v>
      </c>
      <c r="L49" s="6" t="s">
        <v>845</v>
      </c>
      <c r="M49" s="6" t="s">
        <v>853</v>
      </c>
      <c r="N49" s="12" t="s">
        <v>822</v>
      </c>
      <c r="O49" s="6" t="s">
        <v>823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1123</v>
      </c>
    </row>
    <row r="50" customFormat="false" ht="35.05" hidden="false" customHeight="false" outlineLevel="0" collapsed="false">
      <c r="A50" s="6" t="s">
        <v>1124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1125</v>
      </c>
      <c r="F50" s="11" t="s">
        <v>1126</v>
      </c>
      <c r="G50" s="6" t="s">
        <v>1079</v>
      </c>
      <c r="H50" s="6" t="s">
        <v>851</v>
      </c>
      <c r="I50" s="6" t="s">
        <v>818</v>
      </c>
      <c r="J50" s="6" t="s">
        <v>1127</v>
      </c>
      <c r="K50" s="6" t="s">
        <v>819</v>
      </c>
      <c r="L50" s="6" t="s">
        <v>820</v>
      </c>
      <c r="M50" s="6" t="s">
        <v>832</v>
      </c>
      <c r="N50" s="12" t="s">
        <v>822</v>
      </c>
      <c r="O50" s="6" t="s">
        <v>823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1128</v>
      </c>
    </row>
    <row r="51" customFormat="false" ht="35.05" hidden="false" customHeight="false" outlineLevel="0" collapsed="false">
      <c r="A51" s="6" t="s">
        <v>1129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1130</v>
      </c>
      <c r="F51" s="11" t="s">
        <v>1131</v>
      </c>
      <c r="G51" s="6" t="s">
        <v>815</v>
      </c>
      <c r="H51" s="6" t="s">
        <v>908</v>
      </c>
      <c r="I51" s="6" t="s">
        <v>1132</v>
      </c>
      <c r="J51" s="6" t="s">
        <v>1003</v>
      </c>
      <c r="K51" s="6" t="s">
        <v>819</v>
      </c>
      <c r="L51" s="6" t="s">
        <v>845</v>
      </c>
      <c r="M51" s="6" t="s">
        <v>853</v>
      </c>
      <c r="N51" s="12" t="s">
        <v>822</v>
      </c>
      <c r="O51" s="6" t="s">
        <v>823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1133</v>
      </c>
    </row>
    <row r="52" customFormat="false" ht="23.85" hidden="false" customHeight="false" outlineLevel="0" collapsed="false">
      <c r="A52" s="6" t="s">
        <v>1134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1135</v>
      </c>
      <c r="F52" s="11" t="s">
        <v>1136</v>
      </c>
      <c r="G52" s="6" t="s">
        <v>1079</v>
      </c>
      <c r="H52" s="6" t="s">
        <v>851</v>
      </c>
      <c r="I52" s="6" t="s">
        <v>818</v>
      </c>
      <c r="J52" s="6" t="s">
        <v>818</v>
      </c>
      <c r="K52" s="6" t="s">
        <v>819</v>
      </c>
      <c r="L52" s="6" t="s">
        <v>820</v>
      </c>
      <c r="M52" s="6" t="s">
        <v>832</v>
      </c>
      <c r="N52" s="12" t="s">
        <v>822</v>
      </c>
      <c r="O52" s="6" t="s">
        <v>823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1137</v>
      </c>
    </row>
    <row r="53" customFormat="false" ht="23.85" hidden="false" customHeight="false" outlineLevel="0" collapsed="false">
      <c r="A53" s="6" t="s">
        <v>1138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1139</v>
      </c>
      <c r="F53" s="11" t="s">
        <v>1140</v>
      </c>
      <c r="G53" s="6" t="s">
        <v>1079</v>
      </c>
      <c r="H53" s="6" t="s">
        <v>851</v>
      </c>
      <c r="I53" s="6" t="s">
        <v>818</v>
      </c>
      <c r="J53" s="6" t="s">
        <v>818</v>
      </c>
      <c r="K53" s="6" t="s">
        <v>819</v>
      </c>
      <c r="L53" s="6" t="s">
        <v>820</v>
      </c>
      <c r="M53" s="6" t="s">
        <v>832</v>
      </c>
      <c r="N53" s="12" t="s">
        <v>822</v>
      </c>
      <c r="O53" s="6" t="s">
        <v>823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1137</v>
      </c>
    </row>
    <row r="54" customFormat="false" ht="23.85" hidden="false" customHeight="false" outlineLevel="0" collapsed="false">
      <c r="A54" s="6" t="s">
        <v>1141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1142</v>
      </c>
      <c r="F54" s="11" t="s">
        <v>1143</v>
      </c>
      <c r="G54" s="6" t="s">
        <v>1144</v>
      </c>
      <c r="H54" s="6" t="s">
        <v>1145</v>
      </c>
      <c r="I54" s="6" t="s">
        <v>818</v>
      </c>
      <c r="J54" s="6" t="s">
        <v>818</v>
      </c>
      <c r="K54" s="6" t="s">
        <v>819</v>
      </c>
      <c r="L54" s="6" t="s">
        <v>820</v>
      </c>
      <c r="M54" s="6" t="s">
        <v>832</v>
      </c>
      <c r="N54" s="12" t="s">
        <v>822</v>
      </c>
      <c r="O54" s="6" t="s">
        <v>823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1146</v>
      </c>
    </row>
    <row r="55" customFormat="false" ht="23.85" hidden="false" customHeight="false" outlineLevel="0" collapsed="false">
      <c r="A55" s="6" t="s">
        <v>1147</v>
      </c>
      <c r="B55" s="6" t="s">
        <v>98</v>
      </c>
      <c r="C55" s="6" t="s">
        <v>1148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1149</v>
      </c>
      <c r="F55" s="11" t="s">
        <v>1150</v>
      </c>
      <c r="G55" s="6" t="s">
        <v>1151</v>
      </c>
      <c r="H55" s="6" t="s">
        <v>851</v>
      </c>
      <c r="I55" s="6" t="s">
        <v>818</v>
      </c>
      <c r="J55" s="6" t="s">
        <v>818</v>
      </c>
      <c r="K55" s="6" t="s">
        <v>819</v>
      </c>
      <c r="L55" s="6" t="s">
        <v>820</v>
      </c>
      <c r="M55" s="6" t="s">
        <v>853</v>
      </c>
      <c r="N55" s="12" t="s">
        <v>822</v>
      </c>
      <c r="O55" s="6" t="s">
        <v>823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1075</v>
      </c>
    </row>
    <row r="56" customFormat="false" ht="35.05" hidden="false" customHeight="false" outlineLevel="0" collapsed="false">
      <c r="A56" s="6" t="s">
        <v>1152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1153</v>
      </c>
      <c r="F56" s="11" t="s">
        <v>1154</v>
      </c>
      <c r="G56" s="6" t="s">
        <v>1155</v>
      </c>
      <c r="H56" s="6" t="s">
        <v>921</v>
      </c>
      <c r="I56" s="6" t="s">
        <v>818</v>
      </c>
      <c r="J56" s="6" t="s">
        <v>818</v>
      </c>
      <c r="K56" s="6" t="s">
        <v>819</v>
      </c>
      <c r="L56" s="6" t="s">
        <v>845</v>
      </c>
      <c r="M56" s="6" t="s">
        <v>853</v>
      </c>
      <c r="N56" s="12" t="s">
        <v>822</v>
      </c>
      <c r="O56" s="6" t="s">
        <v>823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1075</v>
      </c>
    </row>
    <row r="57" customFormat="false" ht="23.85" hidden="false" customHeight="false" outlineLevel="0" collapsed="false">
      <c r="A57" s="6" t="s">
        <v>1156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1157</v>
      </c>
      <c r="F57" s="11" t="s">
        <v>1158</v>
      </c>
      <c r="G57" s="6" t="s">
        <v>1159</v>
      </c>
      <c r="H57" s="6" t="s">
        <v>851</v>
      </c>
      <c r="I57" s="6" t="s">
        <v>818</v>
      </c>
      <c r="J57" s="6" t="s">
        <v>818</v>
      </c>
      <c r="K57" s="6" t="s">
        <v>819</v>
      </c>
      <c r="L57" s="6" t="s">
        <v>820</v>
      </c>
      <c r="M57" s="6" t="s">
        <v>853</v>
      </c>
      <c r="N57" s="12" t="s">
        <v>822</v>
      </c>
      <c r="O57" s="6" t="s">
        <v>823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1160</v>
      </c>
    </row>
    <row r="58" customFormat="false" ht="23.85" hidden="false" customHeight="false" outlineLevel="0" collapsed="false">
      <c r="A58" s="6" t="s">
        <v>1161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1162</v>
      </c>
      <c r="F58" s="11" t="s">
        <v>1163</v>
      </c>
      <c r="G58" s="6" t="s">
        <v>1164</v>
      </c>
      <c r="H58" s="6" t="s">
        <v>851</v>
      </c>
      <c r="I58" s="6" t="s">
        <v>818</v>
      </c>
      <c r="J58" s="6" t="s">
        <v>818</v>
      </c>
      <c r="K58" s="6" t="s">
        <v>819</v>
      </c>
      <c r="L58" s="6" t="s">
        <v>1165</v>
      </c>
      <c r="M58" s="6" t="s">
        <v>1165</v>
      </c>
      <c r="N58" s="12" t="s">
        <v>822</v>
      </c>
      <c r="O58" s="6" t="s">
        <v>823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1166</v>
      </c>
    </row>
    <row r="59" customFormat="false" ht="35.05" hidden="false" customHeight="false" outlineLevel="0" collapsed="false">
      <c r="A59" s="6" t="s">
        <v>1167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1168</v>
      </c>
      <c r="F59" s="11" t="s">
        <v>1169</v>
      </c>
      <c r="G59" s="6" t="s">
        <v>1170</v>
      </c>
      <c r="H59" s="6" t="s">
        <v>851</v>
      </c>
      <c r="I59" s="6" t="s">
        <v>818</v>
      </c>
      <c r="J59" s="6" t="s">
        <v>818</v>
      </c>
      <c r="K59" s="6" t="s">
        <v>819</v>
      </c>
      <c r="L59" s="6" t="s">
        <v>1165</v>
      </c>
      <c r="M59" s="6" t="s">
        <v>1165</v>
      </c>
      <c r="N59" s="12" t="s">
        <v>822</v>
      </c>
      <c r="O59" s="6" t="s">
        <v>823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1171</v>
      </c>
    </row>
    <row r="60" customFormat="false" ht="23.85" hidden="false" customHeight="false" outlineLevel="0" collapsed="false">
      <c r="A60" s="6" t="s">
        <v>1172</v>
      </c>
      <c r="B60" s="6" t="s">
        <v>183</v>
      </c>
      <c r="C60" s="6" t="s">
        <v>1173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1174</v>
      </c>
      <c r="F60" s="11" t="s">
        <v>1175</v>
      </c>
      <c r="G60" s="6" t="s">
        <v>1176</v>
      </c>
      <c r="H60" s="6" t="s">
        <v>851</v>
      </c>
      <c r="I60" s="6" t="s">
        <v>818</v>
      </c>
      <c r="J60" s="6" t="s">
        <v>818</v>
      </c>
      <c r="K60" s="6" t="s">
        <v>819</v>
      </c>
      <c r="L60" s="6" t="s">
        <v>1165</v>
      </c>
      <c r="M60" s="6" t="s">
        <v>1165</v>
      </c>
      <c r="N60" s="12" t="s">
        <v>822</v>
      </c>
      <c r="O60" s="6" t="s">
        <v>823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1177</v>
      </c>
    </row>
    <row r="61" customFormat="false" ht="23.85" hidden="false" customHeight="false" outlineLevel="0" collapsed="false">
      <c r="A61" s="6" t="s">
        <v>1178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1179</v>
      </c>
      <c r="F61" s="11" t="s">
        <v>1180</v>
      </c>
      <c r="G61" s="6" t="s">
        <v>1170</v>
      </c>
      <c r="H61" s="6" t="s">
        <v>851</v>
      </c>
      <c r="I61" s="6" t="s">
        <v>818</v>
      </c>
      <c r="J61" s="6" t="s">
        <v>818</v>
      </c>
      <c r="K61" s="6" t="s">
        <v>819</v>
      </c>
      <c r="L61" s="6" t="s">
        <v>1165</v>
      </c>
      <c r="M61" s="6" t="s">
        <v>1165</v>
      </c>
      <c r="N61" s="12" t="s">
        <v>822</v>
      </c>
      <c r="O61" s="6" t="s">
        <v>823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1181</v>
      </c>
    </row>
    <row r="62" customFormat="false" ht="23.85" hidden="false" customHeight="false" outlineLevel="0" collapsed="false">
      <c r="A62" s="6" t="s">
        <v>1182</v>
      </c>
      <c r="B62" s="6" t="s">
        <v>197</v>
      </c>
      <c r="C62" s="6" t="s">
        <v>1183</v>
      </c>
      <c r="D62" s="6" t="str">
        <f aca="false">IFERROR(INDEX(Mundarija!$D:$D,MATCH(B62,Mundarija!$A:$A,0)),"kod topilmadi")</f>
        <v>11.2. Xolelitiaz va xoledoxolitiaz.</v>
      </c>
      <c r="E62" s="6" t="s">
        <v>1184</v>
      </c>
      <c r="F62" s="11" t="s">
        <v>1185</v>
      </c>
      <c r="G62" s="6" t="s">
        <v>1186</v>
      </c>
      <c r="H62" s="6" t="s">
        <v>851</v>
      </c>
      <c r="I62" s="6" t="s">
        <v>818</v>
      </c>
      <c r="J62" s="6" t="s">
        <v>818</v>
      </c>
      <c r="K62" s="6" t="s">
        <v>819</v>
      </c>
      <c r="L62" s="6" t="s">
        <v>1165</v>
      </c>
      <c r="M62" s="6" t="s">
        <v>1165</v>
      </c>
      <c r="N62" s="12" t="s">
        <v>822</v>
      </c>
      <c r="O62" s="6" t="s">
        <v>823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1187</v>
      </c>
    </row>
    <row r="63" customFormat="false" ht="35.05" hidden="false" customHeight="false" outlineLevel="0" collapsed="false">
      <c r="A63" s="6" t="s">
        <v>1188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1189</v>
      </c>
      <c r="F63" s="11" t="s">
        <v>1190</v>
      </c>
      <c r="G63" s="6" t="s">
        <v>1164</v>
      </c>
      <c r="H63" s="6" t="s">
        <v>851</v>
      </c>
      <c r="I63" s="6" t="s">
        <v>818</v>
      </c>
      <c r="J63" s="6" t="s">
        <v>818</v>
      </c>
      <c r="K63" s="6" t="s">
        <v>819</v>
      </c>
      <c r="L63" s="6" t="s">
        <v>1165</v>
      </c>
      <c r="M63" s="6" t="s">
        <v>1165</v>
      </c>
      <c r="N63" s="12" t="s">
        <v>822</v>
      </c>
      <c r="O63" s="6" t="s">
        <v>823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1191</v>
      </c>
    </row>
    <row r="64" customFormat="false" ht="23.85" hidden="false" customHeight="false" outlineLevel="0" collapsed="false">
      <c r="A64" s="6" t="s">
        <v>1192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1193</v>
      </c>
      <c r="F64" s="11" t="s">
        <v>1194</v>
      </c>
      <c r="G64" s="6" t="s">
        <v>1164</v>
      </c>
      <c r="H64" s="6" t="s">
        <v>851</v>
      </c>
      <c r="I64" s="6" t="s">
        <v>818</v>
      </c>
      <c r="J64" s="6" t="s">
        <v>818</v>
      </c>
      <c r="K64" s="6" t="s">
        <v>819</v>
      </c>
      <c r="L64" s="6" t="s">
        <v>1165</v>
      </c>
      <c r="M64" s="6" t="s">
        <v>1165</v>
      </c>
      <c r="N64" s="12" t="s">
        <v>822</v>
      </c>
      <c r="O64" s="6" t="s">
        <v>823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1195</v>
      </c>
    </row>
    <row r="65" customFormat="false" ht="23.85" hidden="false" customHeight="false" outlineLevel="0" collapsed="false">
      <c r="A65" s="6" t="s">
        <v>1196</v>
      </c>
      <c r="B65" s="6" t="s">
        <v>223</v>
      </c>
      <c r="C65" s="6" t="s">
        <v>1197</v>
      </c>
      <c r="D65" s="6" t="str">
        <f aca="false">IFERROR(INDEX(Mundarija!$D:$D,MATCH(B65,Mundarija!$A:$A,0)),"kod topilmadi")</f>
        <v>13.1. Normal anatomiya va o‘lchamlari.</v>
      </c>
      <c r="E65" s="6" t="s">
        <v>1198</v>
      </c>
      <c r="F65" s="11" t="s">
        <v>1199</v>
      </c>
      <c r="G65" s="6" t="s">
        <v>1200</v>
      </c>
      <c r="H65" s="6" t="s">
        <v>851</v>
      </c>
      <c r="I65" s="6" t="s">
        <v>818</v>
      </c>
      <c r="J65" s="6" t="s">
        <v>818</v>
      </c>
      <c r="K65" s="6" t="s">
        <v>819</v>
      </c>
      <c r="L65" s="6" t="s">
        <v>1165</v>
      </c>
      <c r="M65" s="6" t="s">
        <v>1165</v>
      </c>
      <c r="N65" s="12" t="s">
        <v>822</v>
      </c>
      <c r="O65" s="6" t="s">
        <v>823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1201</v>
      </c>
    </row>
    <row r="66" customFormat="false" ht="23.85" hidden="false" customHeight="false" outlineLevel="0" collapsed="false">
      <c r="A66" s="6" t="s">
        <v>1202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1203</v>
      </c>
      <c r="F66" s="11" t="s">
        <v>1204</v>
      </c>
      <c r="G66" s="6" t="s">
        <v>1205</v>
      </c>
      <c r="H66" s="6" t="s">
        <v>851</v>
      </c>
      <c r="I66" s="6" t="s">
        <v>818</v>
      </c>
      <c r="J66" s="6" t="s">
        <v>818</v>
      </c>
      <c r="K66" s="6" t="s">
        <v>819</v>
      </c>
      <c r="L66" s="6" t="s">
        <v>1165</v>
      </c>
      <c r="M66" s="6" t="s">
        <v>1165</v>
      </c>
      <c r="N66" s="12" t="s">
        <v>822</v>
      </c>
      <c r="O66" s="6" t="s">
        <v>823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1206</v>
      </c>
    </row>
    <row r="67" customFormat="false" ht="23.85" hidden="false" customHeight="false" outlineLevel="0" collapsed="false">
      <c r="A67" s="6" t="s">
        <v>1207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1208</v>
      </c>
      <c r="F67" s="11" t="s">
        <v>1209</v>
      </c>
      <c r="G67" s="6" t="s">
        <v>1210</v>
      </c>
      <c r="H67" s="6" t="s">
        <v>851</v>
      </c>
      <c r="I67" s="6" t="s">
        <v>818</v>
      </c>
      <c r="J67" s="6" t="s">
        <v>818</v>
      </c>
      <c r="K67" s="6" t="s">
        <v>819</v>
      </c>
      <c r="L67" s="6" t="s">
        <v>1165</v>
      </c>
      <c r="M67" s="6" t="s">
        <v>1165</v>
      </c>
      <c r="N67" s="12" t="s">
        <v>822</v>
      </c>
      <c r="O67" s="6" t="s">
        <v>823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1211</v>
      </c>
    </row>
    <row r="68" customFormat="false" ht="23.85" hidden="false" customHeight="false" outlineLevel="0" collapsed="false">
      <c r="A68" s="6" t="s">
        <v>1212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1213</v>
      </c>
      <c r="F68" s="11" t="s">
        <v>1214</v>
      </c>
      <c r="G68" s="6" t="s">
        <v>1170</v>
      </c>
      <c r="H68" s="6" t="s">
        <v>851</v>
      </c>
      <c r="I68" s="6" t="s">
        <v>818</v>
      </c>
      <c r="J68" s="6" t="s">
        <v>818</v>
      </c>
      <c r="K68" s="6" t="s">
        <v>819</v>
      </c>
      <c r="L68" s="6" t="s">
        <v>1165</v>
      </c>
      <c r="M68" s="6" t="s">
        <v>1165</v>
      </c>
      <c r="N68" s="12" t="s">
        <v>822</v>
      </c>
      <c r="O68" s="6" t="s">
        <v>823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1215</v>
      </c>
    </row>
    <row r="69" customFormat="false" ht="23.85" hidden="false" customHeight="false" outlineLevel="0" collapsed="false">
      <c r="A69" s="6" t="s">
        <v>1216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1217</v>
      </c>
      <c r="F69" s="11" t="s">
        <v>1218</v>
      </c>
      <c r="G69" s="6" t="s">
        <v>1219</v>
      </c>
      <c r="H69" s="6" t="s">
        <v>851</v>
      </c>
      <c r="I69" s="6" t="s">
        <v>818</v>
      </c>
      <c r="J69" s="6" t="s">
        <v>818</v>
      </c>
      <c r="K69" s="6" t="s">
        <v>819</v>
      </c>
      <c r="L69" s="6" t="s">
        <v>1165</v>
      </c>
      <c r="M69" s="6" t="s">
        <v>1165</v>
      </c>
      <c r="N69" s="12" t="s">
        <v>822</v>
      </c>
      <c r="O69" s="6" t="s">
        <v>823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1220</v>
      </c>
    </row>
    <row r="70" customFormat="false" ht="23.85" hidden="false" customHeight="false" outlineLevel="0" collapsed="false">
      <c r="A70" s="6" t="s">
        <v>1221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1222</v>
      </c>
      <c r="F70" s="11" t="s">
        <v>1223</v>
      </c>
      <c r="G70" s="6" t="s">
        <v>1186</v>
      </c>
      <c r="H70" s="6" t="s">
        <v>851</v>
      </c>
      <c r="I70" s="6" t="s">
        <v>818</v>
      </c>
      <c r="J70" s="6" t="s">
        <v>818</v>
      </c>
      <c r="K70" s="6" t="s">
        <v>819</v>
      </c>
      <c r="L70" s="6" t="s">
        <v>1165</v>
      </c>
      <c r="M70" s="6" t="s">
        <v>1165</v>
      </c>
      <c r="N70" s="12" t="s">
        <v>822</v>
      </c>
      <c r="O70" s="6" t="s">
        <v>823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1224</v>
      </c>
    </row>
    <row r="71" customFormat="false" ht="23.85" hidden="false" customHeight="false" outlineLevel="0" collapsed="false">
      <c r="A71" s="6" t="s">
        <v>1225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1226</v>
      </c>
      <c r="F71" s="11" t="s">
        <v>1227</v>
      </c>
      <c r="G71" s="6" t="s">
        <v>1228</v>
      </c>
      <c r="H71" s="6" t="s">
        <v>851</v>
      </c>
      <c r="I71" s="6" t="s">
        <v>818</v>
      </c>
      <c r="J71" s="6" t="s">
        <v>818</v>
      </c>
      <c r="K71" s="6" t="s">
        <v>819</v>
      </c>
      <c r="L71" s="6" t="s">
        <v>1165</v>
      </c>
      <c r="M71" s="6" t="s">
        <v>1165</v>
      </c>
      <c r="N71" s="12" t="s">
        <v>822</v>
      </c>
      <c r="O71" s="6" t="s">
        <v>823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1229</v>
      </c>
    </row>
    <row r="72" customFormat="false" ht="23.85" hidden="false" customHeight="false" outlineLevel="0" collapsed="false">
      <c r="A72" s="6" t="s">
        <v>1230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1231</v>
      </c>
      <c r="F72" s="11" t="s">
        <v>1232</v>
      </c>
      <c r="G72" s="6" t="s">
        <v>1210</v>
      </c>
      <c r="H72" s="6" t="s">
        <v>851</v>
      </c>
      <c r="I72" s="6" t="s">
        <v>818</v>
      </c>
      <c r="J72" s="6" t="s">
        <v>818</v>
      </c>
      <c r="K72" s="6" t="s">
        <v>819</v>
      </c>
      <c r="L72" s="6" t="s">
        <v>1165</v>
      </c>
      <c r="M72" s="6" t="s">
        <v>1165</v>
      </c>
      <c r="N72" s="12" t="s">
        <v>822</v>
      </c>
      <c r="O72" s="6" t="s">
        <v>823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1233</v>
      </c>
    </row>
    <row r="73" customFormat="false" ht="23.85" hidden="false" customHeight="false" outlineLevel="0" collapsed="false">
      <c r="A73" s="6" t="s">
        <v>1234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1235</v>
      </c>
      <c r="F73" s="11" t="s">
        <v>1236</v>
      </c>
      <c r="G73" s="6" t="s">
        <v>1170</v>
      </c>
      <c r="H73" s="6" t="s">
        <v>851</v>
      </c>
      <c r="I73" s="6" t="s">
        <v>818</v>
      </c>
      <c r="J73" s="6" t="s">
        <v>818</v>
      </c>
      <c r="K73" s="6" t="s">
        <v>819</v>
      </c>
      <c r="L73" s="6" t="s">
        <v>1165</v>
      </c>
      <c r="M73" s="6" t="s">
        <v>1165</v>
      </c>
      <c r="N73" s="12" t="s">
        <v>822</v>
      </c>
      <c r="O73" s="6" t="s">
        <v>823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1237</v>
      </c>
    </row>
    <row r="74" customFormat="false" ht="23.85" hidden="false" customHeight="false" outlineLevel="0" collapsed="false">
      <c r="A74" s="6" t="s">
        <v>1238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1239</v>
      </c>
      <c r="F74" s="11" t="s">
        <v>1240</v>
      </c>
      <c r="G74" s="6" t="s">
        <v>1241</v>
      </c>
      <c r="H74" s="6" t="s">
        <v>851</v>
      </c>
      <c r="I74" s="6" t="s">
        <v>818</v>
      </c>
      <c r="J74" s="6" t="s">
        <v>818</v>
      </c>
      <c r="K74" s="6" t="s">
        <v>819</v>
      </c>
      <c r="L74" s="6" t="s">
        <v>1165</v>
      </c>
      <c r="M74" s="6" t="s">
        <v>1165</v>
      </c>
      <c r="N74" s="12" t="s">
        <v>822</v>
      </c>
      <c r="O74" s="6" t="s">
        <v>823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1242</v>
      </c>
    </row>
    <row r="75" customFormat="false" ht="23.85" hidden="false" customHeight="false" outlineLevel="0" collapsed="false">
      <c r="A75" s="6" t="s">
        <v>1243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1244</v>
      </c>
      <c r="F75" s="11" t="s">
        <v>1245</v>
      </c>
      <c r="G75" s="6" t="s">
        <v>1176</v>
      </c>
      <c r="H75" s="6" t="s">
        <v>851</v>
      </c>
      <c r="I75" s="6" t="s">
        <v>818</v>
      </c>
      <c r="J75" s="6" t="s">
        <v>818</v>
      </c>
      <c r="K75" s="6" t="s">
        <v>819</v>
      </c>
      <c r="L75" s="6" t="s">
        <v>1165</v>
      </c>
      <c r="M75" s="6" t="s">
        <v>1165</v>
      </c>
      <c r="N75" s="12" t="s">
        <v>822</v>
      </c>
      <c r="O75" s="6" t="s">
        <v>823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1246</v>
      </c>
    </row>
    <row r="76" customFormat="false" ht="23.85" hidden="false" customHeight="false" outlineLevel="0" collapsed="false">
      <c r="A76" s="6" t="s">
        <v>1247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1248</v>
      </c>
      <c r="F76" s="11" t="s">
        <v>1249</v>
      </c>
      <c r="G76" s="6" t="s">
        <v>1250</v>
      </c>
      <c r="H76" s="6" t="s">
        <v>851</v>
      </c>
      <c r="I76" s="6" t="s">
        <v>818</v>
      </c>
      <c r="J76" s="6" t="s">
        <v>818</v>
      </c>
      <c r="K76" s="6" t="s">
        <v>819</v>
      </c>
      <c r="L76" s="6" t="s">
        <v>1165</v>
      </c>
      <c r="M76" s="6" t="s">
        <v>1165</v>
      </c>
      <c r="N76" s="12" t="s">
        <v>822</v>
      </c>
      <c r="O76" s="6" t="s">
        <v>823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1251</v>
      </c>
    </row>
    <row r="77" customFormat="false" ht="23.85" hidden="false" customHeight="false" outlineLevel="0" collapsed="false">
      <c r="A77" s="6" t="s">
        <v>1252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1253</v>
      </c>
      <c r="F77" s="11" t="s">
        <v>1254</v>
      </c>
      <c r="G77" s="6" t="s">
        <v>1186</v>
      </c>
      <c r="H77" s="6" t="s">
        <v>851</v>
      </c>
      <c r="I77" s="6" t="s">
        <v>818</v>
      </c>
      <c r="J77" s="6" t="s">
        <v>818</v>
      </c>
      <c r="K77" s="6" t="s">
        <v>819</v>
      </c>
      <c r="L77" s="6" t="s">
        <v>1165</v>
      </c>
      <c r="M77" s="6" t="s">
        <v>1165</v>
      </c>
      <c r="N77" s="12" t="s">
        <v>822</v>
      </c>
      <c r="O77" s="6" t="s">
        <v>823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1255</v>
      </c>
    </row>
    <row r="78" customFormat="false" ht="23.85" hidden="false" customHeight="false" outlineLevel="0" collapsed="false">
      <c r="A78" s="6" t="s">
        <v>1256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1257</v>
      </c>
      <c r="F78" s="11" t="s">
        <v>1258</v>
      </c>
      <c r="G78" s="6" t="s">
        <v>1259</v>
      </c>
      <c r="H78" s="6" t="s">
        <v>851</v>
      </c>
      <c r="I78" s="6" t="s">
        <v>818</v>
      </c>
      <c r="J78" s="6" t="s">
        <v>818</v>
      </c>
      <c r="K78" s="6" t="s">
        <v>819</v>
      </c>
      <c r="L78" s="6" t="s">
        <v>1165</v>
      </c>
      <c r="M78" s="6" t="s">
        <v>1165</v>
      </c>
      <c r="N78" s="12" t="s">
        <v>822</v>
      </c>
      <c r="O78" s="6" t="s">
        <v>823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1260</v>
      </c>
    </row>
    <row r="79" customFormat="false" ht="23.85" hidden="false" customHeight="false" outlineLevel="0" collapsed="false">
      <c r="A79" s="6" t="s">
        <v>1261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1262</v>
      </c>
      <c r="F79" s="11" t="s">
        <v>1263</v>
      </c>
      <c r="G79" s="6" t="s">
        <v>1164</v>
      </c>
      <c r="H79" s="6" t="s">
        <v>851</v>
      </c>
      <c r="I79" s="6" t="s">
        <v>818</v>
      </c>
      <c r="J79" s="6" t="s">
        <v>818</v>
      </c>
      <c r="K79" s="6" t="s">
        <v>819</v>
      </c>
      <c r="L79" s="6" t="s">
        <v>1165</v>
      </c>
      <c r="M79" s="6" t="s">
        <v>1165</v>
      </c>
      <c r="N79" s="12" t="s">
        <v>822</v>
      </c>
      <c r="O79" s="6" t="s">
        <v>823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1264</v>
      </c>
    </row>
    <row r="80" customFormat="false" ht="23.85" hidden="false" customHeight="false" outlineLevel="0" collapsed="false">
      <c r="A80" s="6" t="s">
        <v>1265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1266</v>
      </c>
      <c r="F80" s="11" t="s">
        <v>1267</v>
      </c>
      <c r="G80" s="6" t="s">
        <v>1259</v>
      </c>
      <c r="H80" s="6" t="s">
        <v>851</v>
      </c>
      <c r="I80" s="6" t="s">
        <v>818</v>
      </c>
      <c r="J80" s="6" t="s">
        <v>818</v>
      </c>
      <c r="K80" s="6" t="s">
        <v>819</v>
      </c>
      <c r="L80" s="6" t="s">
        <v>1165</v>
      </c>
      <c r="M80" s="6" t="s">
        <v>1165</v>
      </c>
      <c r="N80" s="12" t="s">
        <v>822</v>
      </c>
      <c r="O80" s="6" t="s">
        <v>823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1268</v>
      </c>
    </row>
    <row r="81" customFormat="false" ht="23.85" hidden="false" customHeight="false" outlineLevel="0" collapsed="false">
      <c r="A81" s="6" t="s">
        <v>1269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1270</v>
      </c>
      <c r="F81" s="11" t="s">
        <v>1271</v>
      </c>
      <c r="G81" s="6" t="s">
        <v>1272</v>
      </c>
      <c r="H81" s="6" t="s">
        <v>851</v>
      </c>
      <c r="I81" s="6" t="s">
        <v>818</v>
      </c>
      <c r="J81" s="6" t="s">
        <v>818</v>
      </c>
      <c r="K81" s="6" t="s">
        <v>819</v>
      </c>
      <c r="L81" s="6" t="s">
        <v>1165</v>
      </c>
      <c r="M81" s="6" t="s">
        <v>1165</v>
      </c>
      <c r="N81" s="12" t="s">
        <v>822</v>
      </c>
      <c r="O81" s="6" t="s">
        <v>823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1273</v>
      </c>
    </row>
    <row r="82" customFormat="false" ht="23.85" hidden="false" customHeight="false" outlineLevel="0" collapsed="false">
      <c r="A82" s="6" t="s">
        <v>1274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1275</v>
      </c>
      <c r="F82" s="11" t="s">
        <v>1276</v>
      </c>
      <c r="G82" s="6" t="s">
        <v>1277</v>
      </c>
      <c r="H82" s="6" t="s">
        <v>851</v>
      </c>
      <c r="I82" s="6" t="s">
        <v>818</v>
      </c>
      <c r="J82" s="6" t="s">
        <v>818</v>
      </c>
      <c r="K82" s="6" t="s">
        <v>819</v>
      </c>
      <c r="L82" s="6" t="s">
        <v>1165</v>
      </c>
      <c r="M82" s="6" t="s">
        <v>1165</v>
      </c>
      <c r="N82" s="12" t="s">
        <v>822</v>
      </c>
      <c r="O82" s="6" t="s">
        <v>823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1278</v>
      </c>
    </row>
    <row r="83" customFormat="false" ht="23.85" hidden="false" customHeight="false" outlineLevel="0" collapsed="false">
      <c r="A83" s="6" t="s">
        <v>1279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1280</v>
      </c>
      <c r="F83" s="11" t="s">
        <v>1281</v>
      </c>
      <c r="G83" s="6" t="s">
        <v>1186</v>
      </c>
      <c r="H83" s="6" t="s">
        <v>851</v>
      </c>
      <c r="I83" s="6" t="s">
        <v>818</v>
      </c>
      <c r="J83" s="6" t="s">
        <v>818</v>
      </c>
      <c r="K83" s="6" t="s">
        <v>819</v>
      </c>
      <c r="L83" s="6" t="s">
        <v>1165</v>
      </c>
      <c r="M83" s="6" t="s">
        <v>1165</v>
      </c>
      <c r="N83" s="12" t="s">
        <v>822</v>
      </c>
      <c r="O83" s="6" t="s">
        <v>823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1282</v>
      </c>
    </row>
    <row r="84" customFormat="false" ht="23.85" hidden="false" customHeight="false" outlineLevel="0" collapsed="false">
      <c r="A84" s="6" t="s">
        <v>1283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1284</v>
      </c>
      <c r="F84" s="11" t="s">
        <v>1285</v>
      </c>
      <c r="G84" s="6" t="s">
        <v>1205</v>
      </c>
      <c r="H84" s="6" t="s">
        <v>851</v>
      </c>
      <c r="I84" s="6" t="s">
        <v>818</v>
      </c>
      <c r="J84" s="6" t="s">
        <v>818</v>
      </c>
      <c r="K84" s="6" t="s">
        <v>819</v>
      </c>
      <c r="L84" s="6" t="s">
        <v>1165</v>
      </c>
      <c r="M84" s="6" t="s">
        <v>1165</v>
      </c>
      <c r="N84" s="12" t="s">
        <v>822</v>
      </c>
      <c r="O84" s="6" t="s">
        <v>823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1286</v>
      </c>
    </row>
    <row r="85" customFormat="false" ht="23.85" hidden="false" customHeight="false" outlineLevel="0" collapsed="false">
      <c r="A85" s="6" t="s">
        <v>1287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1288</v>
      </c>
      <c r="F85" s="11" t="s">
        <v>1289</v>
      </c>
      <c r="G85" s="6" t="s">
        <v>1290</v>
      </c>
      <c r="H85" s="6" t="s">
        <v>851</v>
      </c>
      <c r="I85" s="6" t="s">
        <v>818</v>
      </c>
      <c r="J85" s="6" t="s">
        <v>818</v>
      </c>
      <c r="K85" s="6" t="s">
        <v>819</v>
      </c>
      <c r="L85" s="6" t="s">
        <v>1165</v>
      </c>
      <c r="M85" s="6" t="s">
        <v>1165</v>
      </c>
      <c r="N85" s="12" t="s">
        <v>822</v>
      </c>
      <c r="O85" s="6" t="s">
        <v>823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1291</v>
      </c>
    </row>
    <row r="86" customFormat="false" ht="23.85" hidden="false" customHeight="false" outlineLevel="0" collapsed="false">
      <c r="A86" s="6" t="s">
        <v>1292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1293</v>
      </c>
      <c r="F86" s="11" t="s">
        <v>1294</v>
      </c>
      <c r="G86" s="6" t="s">
        <v>1295</v>
      </c>
      <c r="H86" s="6" t="s">
        <v>851</v>
      </c>
      <c r="I86" s="6" t="s">
        <v>818</v>
      </c>
      <c r="J86" s="6" t="s">
        <v>818</v>
      </c>
      <c r="K86" s="6" t="s">
        <v>819</v>
      </c>
      <c r="L86" s="6" t="s">
        <v>1165</v>
      </c>
      <c r="M86" s="6" t="s">
        <v>1165</v>
      </c>
      <c r="N86" s="12" t="s">
        <v>822</v>
      </c>
      <c r="O86" s="6" t="s">
        <v>823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1296</v>
      </c>
    </row>
    <row r="87" customFormat="false" ht="35.05" hidden="false" customHeight="false" outlineLevel="0" collapsed="false">
      <c r="A87" s="6" t="s">
        <v>1297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1298</v>
      </c>
      <c r="F87" s="11" t="s">
        <v>1299</v>
      </c>
      <c r="G87" s="6" t="s">
        <v>1300</v>
      </c>
      <c r="H87" s="6" t="s">
        <v>851</v>
      </c>
      <c r="I87" s="6" t="s">
        <v>818</v>
      </c>
      <c r="J87" s="6" t="s">
        <v>818</v>
      </c>
      <c r="K87" s="6" t="s">
        <v>819</v>
      </c>
      <c r="L87" s="6" t="s">
        <v>1165</v>
      </c>
      <c r="M87" s="6" t="s">
        <v>1165</v>
      </c>
      <c r="N87" s="12" t="s">
        <v>822</v>
      </c>
      <c r="O87" s="6" t="s">
        <v>823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1301</v>
      </c>
    </row>
    <row r="88" customFormat="false" ht="23.85" hidden="false" customHeight="false" outlineLevel="0" collapsed="false">
      <c r="A88" s="6" t="s">
        <v>1302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1303</v>
      </c>
      <c r="F88" s="11" t="s">
        <v>1304</v>
      </c>
      <c r="G88" s="6" t="s">
        <v>1305</v>
      </c>
      <c r="H88" s="6" t="s">
        <v>851</v>
      </c>
      <c r="I88" s="6" t="s">
        <v>818</v>
      </c>
      <c r="J88" s="6" t="s">
        <v>818</v>
      </c>
      <c r="K88" s="6" t="s">
        <v>819</v>
      </c>
      <c r="L88" s="6" t="s">
        <v>1165</v>
      </c>
      <c r="M88" s="6" t="s">
        <v>1165</v>
      </c>
      <c r="N88" s="12" t="s">
        <v>822</v>
      </c>
      <c r="O88" s="6" t="s">
        <v>823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1306</v>
      </c>
    </row>
    <row r="89" customFormat="false" ht="23.85" hidden="false" customHeight="false" outlineLevel="0" collapsed="false">
      <c r="A89" s="6" t="s">
        <v>1307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1308</v>
      </c>
      <c r="F89" s="11" t="s">
        <v>1309</v>
      </c>
      <c r="G89" s="6" t="s">
        <v>1310</v>
      </c>
      <c r="H89" s="6" t="s">
        <v>851</v>
      </c>
      <c r="I89" s="6" t="s">
        <v>818</v>
      </c>
      <c r="J89" s="6" t="s">
        <v>818</v>
      </c>
      <c r="K89" s="6" t="s">
        <v>819</v>
      </c>
      <c r="L89" s="6" t="s">
        <v>1165</v>
      </c>
      <c r="M89" s="6" t="s">
        <v>1165</v>
      </c>
      <c r="N89" s="12" t="s">
        <v>822</v>
      </c>
      <c r="O89" s="6" t="s">
        <v>823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1311</v>
      </c>
    </row>
    <row r="90" customFormat="false" ht="35.05" hidden="false" customHeight="false" outlineLevel="0" collapsed="false">
      <c r="A90" s="6" t="s">
        <v>1312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1313</v>
      </c>
      <c r="F90" s="11" t="s">
        <v>1314</v>
      </c>
      <c r="G90" s="6" t="s">
        <v>1315</v>
      </c>
      <c r="H90" s="6" t="s">
        <v>851</v>
      </c>
      <c r="I90" s="6" t="s">
        <v>818</v>
      </c>
      <c r="J90" s="6" t="s">
        <v>818</v>
      </c>
      <c r="K90" s="6" t="s">
        <v>819</v>
      </c>
      <c r="L90" s="6" t="s">
        <v>1165</v>
      </c>
      <c r="M90" s="6" t="s">
        <v>1165</v>
      </c>
      <c r="N90" s="12" t="s">
        <v>822</v>
      </c>
      <c r="O90" s="6" t="s">
        <v>823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1316</v>
      </c>
    </row>
    <row r="91" customFormat="false" ht="35.05" hidden="false" customHeight="false" outlineLevel="0" collapsed="false">
      <c r="A91" s="6" t="s">
        <v>1317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1318</v>
      </c>
      <c r="F91" s="11" t="s">
        <v>1319</v>
      </c>
      <c r="G91" s="6" t="s">
        <v>1320</v>
      </c>
      <c r="H91" s="6" t="s">
        <v>851</v>
      </c>
      <c r="I91" s="6" t="s">
        <v>818</v>
      </c>
      <c r="J91" s="6" t="s">
        <v>818</v>
      </c>
      <c r="K91" s="6" t="s">
        <v>819</v>
      </c>
      <c r="L91" s="6" t="s">
        <v>1165</v>
      </c>
      <c r="M91" s="6" t="s">
        <v>1165</v>
      </c>
      <c r="N91" s="12" t="s">
        <v>822</v>
      </c>
      <c r="O91" s="6" t="s">
        <v>823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1321</v>
      </c>
    </row>
    <row r="92" customFormat="false" ht="23.85" hidden="false" customHeight="false" outlineLevel="0" collapsed="false">
      <c r="A92" s="6" t="s">
        <v>1322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1323</v>
      </c>
      <c r="F92" s="11" t="s">
        <v>1324</v>
      </c>
      <c r="G92" s="6" t="s">
        <v>1325</v>
      </c>
      <c r="H92" s="6" t="s">
        <v>851</v>
      </c>
      <c r="I92" s="6" t="s">
        <v>818</v>
      </c>
      <c r="J92" s="6" t="s">
        <v>818</v>
      </c>
      <c r="K92" s="6" t="s">
        <v>819</v>
      </c>
      <c r="L92" s="6" t="s">
        <v>1165</v>
      </c>
      <c r="M92" s="6" t="s">
        <v>1165</v>
      </c>
      <c r="N92" s="12" t="s">
        <v>822</v>
      </c>
      <c r="O92" s="6" t="s">
        <v>823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1326</v>
      </c>
    </row>
    <row r="93" customFormat="false" ht="23.85" hidden="false" customHeight="false" outlineLevel="0" collapsed="false">
      <c r="A93" s="6" t="s">
        <v>1327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1328</v>
      </c>
      <c r="F93" s="11" t="s">
        <v>1329</v>
      </c>
      <c r="G93" s="6" t="s">
        <v>1330</v>
      </c>
      <c r="H93" s="6" t="s">
        <v>851</v>
      </c>
      <c r="I93" s="6" t="s">
        <v>818</v>
      </c>
      <c r="J93" s="6" t="s">
        <v>818</v>
      </c>
      <c r="K93" s="6" t="s">
        <v>819</v>
      </c>
      <c r="L93" s="6" t="s">
        <v>1165</v>
      </c>
      <c r="M93" s="6" t="s">
        <v>1165</v>
      </c>
      <c r="N93" s="12" t="s">
        <v>822</v>
      </c>
      <c r="O93" s="6" t="s">
        <v>823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1331</v>
      </c>
    </row>
    <row r="94" customFormat="false" ht="23.85" hidden="false" customHeight="false" outlineLevel="0" collapsed="false">
      <c r="A94" s="6" t="s">
        <v>1332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1333</v>
      </c>
      <c r="F94" s="11" t="s">
        <v>1334</v>
      </c>
      <c r="G94" s="6" t="s">
        <v>1335</v>
      </c>
      <c r="H94" s="6" t="s">
        <v>851</v>
      </c>
      <c r="I94" s="6" t="s">
        <v>818</v>
      </c>
      <c r="J94" s="6" t="s">
        <v>818</v>
      </c>
      <c r="K94" s="6" t="s">
        <v>819</v>
      </c>
      <c r="L94" s="6" t="s">
        <v>1165</v>
      </c>
      <c r="M94" s="6" t="s">
        <v>1165</v>
      </c>
      <c r="N94" s="12" t="s">
        <v>822</v>
      </c>
      <c r="O94" s="6" t="s">
        <v>823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1336</v>
      </c>
    </row>
    <row r="95" customFormat="false" ht="23.85" hidden="false" customHeight="false" outlineLevel="0" collapsed="false">
      <c r="A95" s="6" t="s">
        <v>1337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1338</v>
      </c>
      <c r="F95" s="11" t="s">
        <v>1339</v>
      </c>
      <c r="G95" s="6" t="s">
        <v>1340</v>
      </c>
      <c r="H95" s="6" t="s">
        <v>851</v>
      </c>
      <c r="I95" s="6" t="s">
        <v>818</v>
      </c>
      <c r="J95" s="6" t="s">
        <v>818</v>
      </c>
      <c r="K95" s="6" t="s">
        <v>819</v>
      </c>
      <c r="L95" s="6" t="s">
        <v>1165</v>
      </c>
      <c r="M95" s="6" t="s">
        <v>1165</v>
      </c>
      <c r="N95" s="12" t="s">
        <v>822</v>
      </c>
      <c r="O95" s="6" t="s">
        <v>823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1341</v>
      </c>
    </row>
    <row r="96" customFormat="false" ht="23.85" hidden="false" customHeight="false" outlineLevel="0" collapsed="false">
      <c r="A96" s="6" t="s">
        <v>1342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1343</v>
      </c>
      <c r="F96" s="11" t="s">
        <v>1344</v>
      </c>
      <c r="G96" s="6" t="s">
        <v>1345</v>
      </c>
      <c r="H96" s="6" t="s">
        <v>851</v>
      </c>
      <c r="I96" s="6" t="s">
        <v>818</v>
      </c>
      <c r="J96" s="6" t="s">
        <v>818</v>
      </c>
      <c r="K96" s="6" t="s">
        <v>819</v>
      </c>
      <c r="L96" s="6" t="s">
        <v>1165</v>
      </c>
      <c r="M96" s="6" t="s">
        <v>1165</v>
      </c>
      <c r="N96" s="12" t="s">
        <v>822</v>
      </c>
      <c r="O96" s="6" t="s">
        <v>823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1346</v>
      </c>
    </row>
    <row r="97" customFormat="false" ht="23.85" hidden="false" customHeight="false" outlineLevel="0" collapsed="false">
      <c r="A97" s="6" t="s">
        <v>1347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1348</v>
      </c>
      <c r="F97" s="11" t="s">
        <v>1349</v>
      </c>
      <c r="G97" s="6" t="s">
        <v>1350</v>
      </c>
      <c r="H97" s="6" t="s">
        <v>851</v>
      </c>
      <c r="I97" s="6" t="s">
        <v>818</v>
      </c>
      <c r="J97" s="6" t="s">
        <v>818</v>
      </c>
      <c r="K97" s="6" t="s">
        <v>819</v>
      </c>
      <c r="L97" s="6" t="s">
        <v>1165</v>
      </c>
      <c r="M97" s="6" t="s">
        <v>1165</v>
      </c>
      <c r="N97" s="12" t="s">
        <v>822</v>
      </c>
      <c r="O97" s="6" t="s">
        <v>823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1351</v>
      </c>
    </row>
    <row r="98" customFormat="false" ht="23.85" hidden="false" customHeight="false" outlineLevel="0" collapsed="false">
      <c r="A98" s="6" t="s">
        <v>1352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1353</v>
      </c>
      <c r="F98" s="11" t="s">
        <v>1354</v>
      </c>
      <c r="G98" s="6" t="s">
        <v>1340</v>
      </c>
      <c r="H98" s="6" t="s">
        <v>851</v>
      </c>
      <c r="I98" s="6" t="s">
        <v>818</v>
      </c>
      <c r="J98" s="6" t="s">
        <v>818</v>
      </c>
      <c r="K98" s="6" t="s">
        <v>819</v>
      </c>
      <c r="L98" s="6" t="s">
        <v>1165</v>
      </c>
      <c r="M98" s="6" t="s">
        <v>1165</v>
      </c>
      <c r="N98" s="12" t="s">
        <v>822</v>
      </c>
      <c r="O98" s="6" t="s">
        <v>823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1355</v>
      </c>
    </row>
    <row r="99" customFormat="false" ht="35.05" hidden="false" customHeight="false" outlineLevel="0" collapsed="false">
      <c r="A99" s="6" t="s">
        <v>1356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1357</v>
      </c>
      <c r="F99" s="11" t="s">
        <v>1358</v>
      </c>
      <c r="G99" s="6" t="s">
        <v>1359</v>
      </c>
      <c r="H99" s="6" t="s">
        <v>851</v>
      </c>
      <c r="I99" s="6" t="s">
        <v>818</v>
      </c>
      <c r="J99" s="6" t="s">
        <v>818</v>
      </c>
      <c r="K99" s="6" t="s">
        <v>819</v>
      </c>
      <c r="L99" s="6" t="s">
        <v>1165</v>
      </c>
      <c r="M99" s="6" t="s">
        <v>1165</v>
      </c>
      <c r="N99" s="12" t="s">
        <v>822</v>
      </c>
      <c r="O99" s="6" t="s">
        <v>823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1360</v>
      </c>
    </row>
    <row r="100" customFormat="false" ht="23.85" hidden="false" customHeight="false" outlineLevel="0" collapsed="false">
      <c r="A100" s="6" t="s">
        <v>1361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1362</v>
      </c>
      <c r="F100" s="11" t="s">
        <v>1363</v>
      </c>
      <c r="G100" s="6" t="s">
        <v>1364</v>
      </c>
      <c r="H100" s="6" t="s">
        <v>851</v>
      </c>
      <c r="I100" s="6" t="s">
        <v>818</v>
      </c>
      <c r="J100" s="6" t="s">
        <v>818</v>
      </c>
      <c r="K100" s="6" t="s">
        <v>819</v>
      </c>
      <c r="L100" s="6" t="s">
        <v>1165</v>
      </c>
      <c r="M100" s="6" t="s">
        <v>1165</v>
      </c>
      <c r="N100" s="12" t="s">
        <v>822</v>
      </c>
      <c r="O100" s="6" t="s">
        <v>823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1365</v>
      </c>
    </row>
    <row r="101" customFormat="false" ht="23.85" hidden="false" customHeight="false" outlineLevel="0" collapsed="false">
      <c r="A101" s="6" t="s">
        <v>1366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1367</v>
      </c>
      <c r="F101" s="11" t="s">
        <v>1368</v>
      </c>
      <c r="G101" s="6" t="s">
        <v>1200</v>
      </c>
      <c r="H101" s="6" t="s">
        <v>851</v>
      </c>
      <c r="I101" s="6" t="s">
        <v>818</v>
      </c>
      <c r="J101" s="6" t="s">
        <v>818</v>
      </c>
      <c r="K101" s="6" t="s">
        <v>819</v>
      </c>
      <c r="L101" s="6" t="s">
        <v>1165</v>
      </c>
      <c r="M101" s="6" t="s">
        <v>1165</v>
      </c>
      <c r="N101" s="12" t="s">
        <v>822</v>
      </c>
      <c r="O101" s="6" t="s">
        <v>823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1369</v>
      </c>
    </row>
    <row r="102" customFormat="false" ht="23.85" hidden="false" customHeight="false" outlineLevel="0" collapsed="false">
      <c r="A102" s="6" t="s">
        <v>1370</v>
      </c>
      <c r="B102" s="6" t="s">
        <v>384</v>
      </c>
      <c r="C102" s="6" t="s">
        <v>1371</v>
      </c>
      <c r="D102" s="6" t="str">
        <f aca="false">IFERROR(INDEX(Mundarija!$D:$D,MATCH(B102,Mundarija!$A:$A,0)),"kod topilmadi")</f>
        <v>22.1. Normal anatomiya va o‘lchash.</v>
      </c>
      <c r="E102" s="6" t="s">
        <v>1372</v>
      </c>
      <c r="F102" s="11" t="s">
        <v>1373</v>
      </c>
      <c r="G102" s="6" t="s">
        <v>1374</v>
      </c>
      <c r="H102" s="6" t="s">
        <v>851</v>
      </c>
      <c r="I102" s="6" t="s">
        <v>818</v>
      </c>
      <c r="J102" s="6" t="s">
        <v>818</v>
      </c>
      <c r="K102" s="6" t="s">
        <v>819</v>
      </c>
      <c r="L102" s="6" t="s">
        <v>1165</v>
      </c>
      <c r="M102" s="6" t="s">
        <v>1165</v>
      </c>
      <c r="N102" s="12" t="s">
        <v>822</v>
      </c>
      <c r="O102" s="6" t="s">
        <v>823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1375</v>
      </c>
    </row>
    <row r="103" customFormat="false" ht="23.85" hidden="false" customHeight="false" outlineLevel="0" collapsed="false">
      <c r="A103" s="6" t="s">
        <v>1376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1377</v>
      </c>
      <c r="F103" s="11" t="s">
        <v>1378</v>
      </c>
      <c r="G103" s="6" t="s">
        <v>1200</v>
      </c>
      <c r="H103" s="6" t="s">
        <v>851</v>
      </c>
      <c r="I103" s="6" t="s">
        <v>818</v>
      </c>
      <c r="J103" s="6" t="s">
        <v>818</v>
      </c>
      <c r="K103" s="6" t="s">
        <v>819</v>
      </c>
      <c r="L103" s="6" t="s">
        <v>1165</v>
      </c>
      <c r="M103" s="6" t="s">
        <v>1165</v>
      </c>
      <c r="N103" s="12" t="s">
        <v>822</v>
      </c>
      <c r="O103" s="6" t="s">
        <v>823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1379</v>
      </c>
    </row>
    <row r="104" customFormat="false" ht="23.85" hidden="false" customHeight="false" outlineLevel="0" collapsed="false">
      <c r="A104" s="6" t="s">
        <v>1380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1381</v>
      </c>
      <c r="F104" s="11" t="s">
        <v>1382</v>
      </c>
      <c r="G104" s="6" t="s">
        <v>1383</v>
      </c>
      <c r="H104" s="6" t="s">
        <v>851</v>
      </c>
      <c r="I104" s="6" t="s">
        <v>818</v>
      </c>
      <c r="J104" s="6" t="s">
        <v>818</v>
      </c>
      <c r="K104" s="6" t="s">
        <v>819</v>
      </c>
      <c r="L104" s="6" t="s">
        <v>1165</v>
      </c>
      <c r="M104" s="6" t="s">
        <v>1165</v>
      </c>
      <c r="N104" s="12" t="s">
        <v>822</v>
      </c>
      <c r="O104" s="6" t="s">
        <v>823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1384</v>
      </c>
    </row>
    <row r="105" customFormat="false" ht="23.85" hidden="false" customHeight="false" outlineLevel="0" collapsed="false">
      <c r="A105" s="6" t="s">
        <v>1385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1386</v>
      </c>
      <c r="F105" s="11" t="s">
        <v>1387</v>
      </c>
      <c r="G105" s="6" t="s">
        <v>1210</v>
      </c>
      <c r="H105" s="6" t="s">
        <v>851</v>
      </c>
      <c r="I105" s="6" t="s">
        <v>818</v>
      </c>
      <c r="J105" s="6" t="s">
        <v>818</v>
      </c>
      <c r="K105" s="6" t="s">
        <v>819</v>
      </c>
      <c r="L105" s="6" t="s">
        <v>1165</v>
      </c>
      <c r="M105" s="6" t="s">
        <v>1165</v>
      </c>
      <c r="N105" s="12" t="s">
        <v>822</v>
      </c>
      <c r="O105" s="6" t="s">
        <v>823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1388</v>
      </c>
    </row>
    <row r="106" customFormat="false" ht="23.85" hidden="false" customHeight="false" outlineLevel="0" collapsed="false">
      <c r="A106" s="6" t="s">
        <v>1389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1390</v>
      </c>
      <c r="F106" s="11" t="s">
        <v>1391</v>
      </c>
      <c r="G106" s="6" t="s">
        <v>1079</v>
      </c>
      <c r="H106" s="6" t="s">
        <v>851</v>
      </c>
      <c r="I106" s="6" t="s">
        <v>818</v>
      </c>
      <c r="J106" s="6" t="s">
        <v>818</v>
      </c>
      <c r="K106" s="6" t="s">
        <v>819</v>
      </c>
      <c r="L106" s="6" t="s">
        <v>1165</v>
      </c>
      <c r="M106" s="6" t="s">
        <v>1165</v>
      </c>
      <c r="N106" s="12" t="s">
        <v>822</v>
      </c>
      <c r="O106" s="6" t="s">
        <v>823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1392</v>
      </c>
    </row>
    <row r="107" customFormat="false" ht="23.85" hidden="false" customHeight="false" outlineLevel="0" collapsed="false">
      <c r="A107" s="6" t="s">
        <v>1393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1394</v>
      </c>
      <c r="F107" s="11" t="s">
        <v>1395</v>
      </c>
      <c r="G107" s="6" t="s">
        <v>1176</v>
      </c>
      <c r="H107" s="6" t="s">
        <v>851</v>
      </c>
      <c r="I107" s="6" t="s">
        <v>818</v>
      </c>
      <c r="J107" s="6" t="s">
        <v>818</v>
      </c>
      <c r="K107" s="6" t="s">
        <v>819</v>
      </c>
      <c r="L107" s="6" t="s">
        <v>1165</v>
      </c>
      <c r="M107" s="6" t="s">
        <v>1165</v>
      </c>
      <c r="N107" s="12" t="s">
        <v>822</v>
      </c>
      <c r="O107" s="6" t="s">
        <v>823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1396</v>
      </c>
    </row>
    <row r="108" customFormat="false" ht="23.85" hidden="false" customHeight="false" outlineLevel="0" collapsed="false">
      <c r="A108" s="6" t="s">
        <v>1397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1398</v>
      </c>
      <c r="F108" s="11" t="s">
        <v>1399</v>
      </c>
      <c r="G108" s="6" t="s">
        <v>1219</v>
      </c>
      <c r="H108" s="6" t="s">
        <v>851</v>
      </c>
      <c r="I108" s="6" t="s">
        <v>818</v>
      </c>
      <c r="J108" s="6" t="s">
        <v>818</v>
      </c>
      <c r="K108" s="6" t="s">
        <v>819</v>
      </c>
      <c r="L108" s="6" t="s">
        <v>1165</v>
      </c>
      <c r="M108" s="6" t="s">
        <v>1165</v>
      </c>
      <c r="N108" s="12" t="s">
        <v>822</v>
      </c>
      <c r="O108" s="6" t="s">
        <v>823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1400</v>
      </c>
    </row>
    <row r="109" customFormat="false" ht="23.85" hidden="false" customHeight="false" outlineLevel="0" collapsed="false">
      <c r="A109" s="6" t="s">
        <v>1401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1402</v>
      </c>
      <c r="F109" s="11" t="s">
        <v>1403</v>
      </c>
      <c r="G109" s="6" t="s">
        <v>1404</v>
      </c>
      <c r="H109" s="6" t="s">
        <v>851</v>
      </c>
      <c r="I109" s="6" t="s">
        <v>818</v>
      </c>
      <c r="J109" s="6" t="s">
        <v>818</v>
      </c>
      <c r="K109" s="6" t="s">
        <v>819</v>
      </c>
      <c r="L109" s="6" t="s">
        <v>1165</v>
      </c>
      <c r="M109" s="6" t="s">
        <v>1165</v>
      </c>
      <c r="N109" s="12" t="s">
        <v>822</v>
      </c>
      <c r="O109" s="6" t="s">
        <v>823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1405</v>
      </c>
    </row>
    <row r="110" customFormat="false" ht="23.85" hidden="false" customHeight="false" outlineLevel="0" collapsed="false">
      <c r="A110" s="6" t="s">
        <v>1406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1407</v>
      </c>
      <c r="F110" s="11" t="s">
        <v>1408</v>
      </c>
      <c r="G110" s="6" t="s">
        <v>1277</v>
      </c>
      <c r="H110" s="6" t="s">
        <v>851</v>
      </c>
      <c r="I110" s="6" t="s">
        <v>818</v>
      </c>
      <c r="J110" s="6" t="s">
        <v>818</v>
      </c>
      <c r="K110" s="6" t="s">
        <v>819</v>
      </c>
      <c r="L110" s="6" t="s">
        <v>1165</v>
      </c>
      <c r="M110" s="6" t="s">
        <v>1165</v>
      </c>
      <c r="N110" s="12" t="s">
        <v>822</v>
      </c>
      <c r="O110" s="6" t="s">
        <v>823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1409</v>
      </c>
    </row>
    <row r="111" customFormat="false" ht="23.85" hidden="false" customHeight="false" outlineLevel="0" collapsed="false">
      <c r="A111" s="6" t="s">
        <v>1410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1411</v>
      </c>
      <c r="F111" s="11" t="s">
        <v>1412</v>
      </c>
      <c r="G111" s="6" t="s">
        <v>1176</v>
      </c>
      <c r="H111" s="6" t="s">
        <v>851</v>
      </c>
      <c r="I111" s="6" t="s">
        <v>818</v>
      </c>
      <c r="J111" s="6" t="s">
        <v>818</v>
      </c>
      <c r="K111" s="6" t="s">
        <v>819</v>
      </c>
      <c r="L111" s="6" t="s">
        <v>1165</v>
      </c>
      <c r="M111" s="6" t="s">
        <v>1165</v>
      </c>
      <c r="N111" s="12" t="s">
        <v>822</v>
      </c>
      <c r="O111" s="6" t="s">
        <v>823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1413</v>
      </c>
    </row>
    <row r="112" customFormat="false" ht="23.85" hidden="false" customHeight="false" outlineLevel="0" collapsed="false">
      <c r="A112" s="6" t="s">
        <v>1414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1415</v>
      </c>
      <c r="F112" s="11" t="s">
        <v>1416</v>
      </c>
      <c r="G112" s="6" t="s">
        <v>1417</v>
      </c>
      <c r="H112" s="6" t="s">
        <v>851</v>
      </c>
      <c r="I112" s="6" t="s">
        <v>818</v>
      </c>
      <c r="J112" s="6" t="s">
        <v>818</v>
      </c>
      <c r="K112" s="6" t="s">
        <v>819</v>
      </c>
      <c r="L112" s="6" t="s">
        <v>1165</v>
      </c>
      <c r="M112" s="6" t="s">
        <v>1165</v>
      </c>
      <c r="N112" s="12" t="s">
        <v>822</v>
      </c>
      <c r="O112" s="6" t="s">
        <v>823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1418</v>
      </c>
    </row>
    <row r="113" customFormat="false" ht="23.85" hidden="false" customHeight="false" outlineLevel="0" collapsed="false">
      <c r="A113" s="6" t="s">
        <v>1419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1420</v>
      </c>
      <c r="F113" s="11" t="s">
        <v>1421</v>
      </c>
      <c r="G113" s="6" t="s">
        <v>1422</v>
      </c>
      <c r="H113" s="6" t="s">
        <v>851</v>
      </c>
      <c r="I113" s="6" t="s">
        <v>818</v>
      </c>
      <c r="J113" s="6" t="s">
        <v>818</v>
      </c>
      <c r="K113" s="6" t="s">
        <v>819</v>
      </c>
      <c r="L113" s="6" t="s">
        <v>1165</v>
      </c>
      <c r="M113" s="6" t="s">
        <v>1165</v>
      </c>
      <c r="N113" s="12" t="s">
        <v>822</v>
      </c>
      <c r="O113" s="6" t="s">
        <v>823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1423</v>
      </c>
    </row>
    <row r="114" customFormat="false" ht="23.85" hidden="false" customHeight="false" outlineLevel="0" collapsed="false">
      <c r="A114" s="6" t="s">
        <v>1424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1425</v>
      </c>
      <c r="F114" s="11" t="s">
        <v>1426</v>
      </c>
      <c r="G114" s="6" t="s">
        <v>1383</v>
      </c>
      <c r="H114" s="6" t="s">
        <v>851</v>
      </c>
      <c r="I114" s="6" t="s">
        <v>818</v>
      </c>
      <c r="J114" s="6" t="s">
        <v>818</v>
      </c>
      <c r="K114" s="6" t="s">
        <v>819</v>
      </c>
      <c r="L114" s="6" t="s">
        <v>1165</v>
      </c>
      <c r="M114" s="6" t="s">
        <v>1165</v>
      </c>
      <c r="N114" s="12" t="s">
        <v>822</v>
      </c>
      <c r="O114" s="6" t="s">
        <v>823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1427</v>
      </c>
    </row>
    <row r="115" customFormat="false" ht="35.05" hidden="false" customHeight="false" outlineLevel="0" collapsed="false">
      <c r="A115" s="6" t="s">
        <v>1428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1429</v>
      </c>
      <c r="F115" s="11" t="s">
        <v>1430</v>
      </c>
      <c r="G115" s="6" t="s">
        <v>1431</v>
      </c>
      <c r="H115" s="6" t="s">
        <v>851</v>
      </c>
      <c r="I115" s="6" t="s">
        <v>818</v>
      </c>
      <c r="J115" s="6" t="s">
        <v>818</v>
      </c>
      <c r="K115" s="6" t="s">
        <v>819</v>
      </c>
      <c r="L115" s="6" t="s">
        <v>1165</v>
      </c>
      <c r="M115" s="6" t="s">
        <v>1165</v>
      </c>
      <c r="N115" s="12" t="s">
        <v>822</v>
      </c>
      <c r="O115" s="6" t="s">
        <v>823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1432</v>
      </c>
    </row>
    <row r="116" customFormat="false" ht="23.85" hidden="false" customHeight="false" outlineLevel="0" collapsed="false">
      <c r="A116" s="6" t="s">
        <v>1433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1434</v>
      </c>
      <c r="F116" s="11" t="s">
        <v>1435</v>
      </c>
      <c r="G116" s="6" t="s">
        <v>1200</v>
      </c>
      <c r="H116" s="6" t="s">
        <v>851</v>
      </c>
      <c r="I116" s="6" t="s">
        <v>818</v>
      </c>
      <c r="J116" s="6" t="s">
        <v>818</v>
      </c>
      <c r="K116" s="6" t="s">
        <v>819</v>
      </c>
      <c r="L116" s="6" t="s">
        <v>1165</v>
      </c>
      <c r="M116" s="6" t="s">
        <v>1165</v>
      </c>
      <c r="N116" s="12" t="s">
        <v>822</v>
      </c>
      <c r="O116" s="6" t="s">
        <v>823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1436</v>
      </c>
    </row>
    <row r="117" customFormat="false" ht="23.85" hidden="false" customHeight="false" outlineLevel="0" collapsed="false">
      <c r="A117" s="6" t="s">
        <v>1437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1438</v>
      </c>
      <c r="F117" s="11" t="s">
        <v>1439</v>
      </c>
      <c r="G117" s="6" t="s">
        <v>1440</v>
      </c>
      <c r="H117" s="6" t="s">
        <v>851</v>
      </c>
      <c r="I117" s="6" t="s">
        <v>818</v>
      </c>
      <c r="J117" s="6" t="s">
        <v>818</v>
      </c>
      <c r="K117" s="6" t="s">
        <v>819</v>
      </c>
      <c r="L117" s="6" t="s">
        <v>1165</v>
      </c>
      <c r="M117" s="6" t="s">
        <v>1165</v>
      </c>
      <c r="N117" s="12" t="s">
        <v>822</v>
      </c>
      <c r="O117" s="6" t="s">
        <v>823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1441</v>
      </c>
    </row>
    <row r="118" customFormat="false" ht="23.85" hidden="false" customHeight="false" outlineLevel="0" collapsed="false">
      <c r="A118" s="6" t="s">
        <v>1442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1443</v>
      </c>
      <c r="F118" s="11" t="s">
        <v>1444</v>
      </c>
      <c r="G118" s="6" t="s">
        <v>1445</v>
      </c>
      <c r="H118" s="6" t="s">
        <v>851</v>
      </c>
      <c r="I118" s="6" t="s">
        <v>818</v>
      </c>
      <c r="J118" s="6" t="s">
        <v>818</v>
      </c>
      <c r="K118" s="6" t="s">
        <v>819</v>
      </c>
      <c r="L118" s="6" t="s">
        <v>1165</v>
      </c>
      <c r="M118" s="6" t="s">
        <v>1165</v>
      </c>
      <c r="N118" s="12" t="s">
        <v>822</v>
      </c>
      <c r="O118" s="6" t="s">
        <v>823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1446</v>
      </c>
    </row>
    <row r="119" customFormat="false" ht="23.85" hidden="false" customHeight="false" outlineLevel="0" collapsed="false">
      <c r="A119" s="6" t="s">
        <v>1447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1448</v>
      </c>
      <c r="F119" s="11" t="s">
        <v>1449</v>
      </c>
      <c r="G119" s="6" t="s">
        <v>1176</v>
      </c>
      <c r="H119" s="6" t="s">
        <v>851</v>
      </c>
      <c r="I119" s="6" t="s">
        <v>818</v>
      </c>
      <c r="J119" s="6" t="s">
        <v>818</v>
      </c>
      <c r="K119" s="6" t="s">
        <v>819</v>
      </c>
      <c r="L119" s="6" t="s">
        <v>1165</v>
      </c>
      <c r="M119" s="6" t="s">
        <v>1165</v>
      </c>
      <c r="N119" s="12" t="s">
        <v>822</v>
      </c>
      <c r="O119" s="6" t="s">
        <v>823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1450</v>
      </c>
    </row>
    <row r="120" customFormat="false" ht="23.85" hidden="false" customHeight="false" outlineLevel="0" collapsed="false">
      <c r="A120" s="6" t="s">
        <v>1451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1452</v>
      </c>
      <c r="F120" s="11" t="s">
        <v>1453</v>
      </c>
      <c r="G120" s="6" t="s">
        <v>1350</v>
      </c>
      <c r="H120" s="6" t="s">
        <v>851</v>
      </c>
      <c r="I120" s="6" t="s">
        <v>818</v>
      </c>
      <c r="J120" s="6" t="s">
        <v>818</v>
      </c>
      <c r="K120" s="6" t="s">
        <v>819</v>
      </c>
      <c r="L120" s="6" t="s">
        <v>1165</v>
      </c>
      <c r="M120" s="6" t="s">
        <v>1165</v>
      </c>
      <c r="N120" s="12" t="s">
        <v>822</v>
      </c>
      <c r="O120" s="6" t="s">
        <v>823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1454</v>
      </c>
    </row>
    <row r="121" customFormat="false" ht="35.05" hidden="false" customHeight="false" outlineLevel="0" collapsed="false">
      <c r="A121" s="6" t="s">
        <v>1455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1456</v>
      </c>
      <c r="F121" s="11" t="s">
        <v>1457</v>
      </c>
      <c r="G121" s="6" t="s">
        <v>1458</v>
      </c>
      <c r="H121" s="6" t="s">
        <v>851</v>
      </c>
      <c r="I121" s="6" t="s">
        <v>818</v>
      </c>
      <c r="J121" s="6" t="s">
        <v>818</v>
      </c>
      <c r="K121" s="6" t="s">
        <v>819</v>
      </c>
      <c r="L121" s="6" t="s">
        <v>1165</v>
      </c>
      <c r="M121" s="6" t="s">
        <v>1165</v>
      </c>
      <c r="N121" s="12" t="s">
        <v>822</v>
      </c>
      <c r="O121" s="6" t="s">
        <v>823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1459</v>
      </c>
    </row>
    <row r="122" customFormat="false" ht="23.85" hidden="false" customHeight="false" outlineLevel="0" collapsed="false">
      <c r="A122" s="6" t="s">
        <v>1460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1461</v>
      </c>
      <c r="F122" s="11" t="s">
        <v>1462</v>
      </c>
      <c r="G122" s="6" t="s">
        <v>1463</v>
      </c>
      <c r="H122" s="6" t="s">
        <v>851</v>
      </c>
      <c r="I122" s="6" t="s">
        <v>818</v>
      </c>
      <c r="J122" s="6" t="s">
        <v>818</v>
      </c>
      <c r="K122" s="6" t="s">
        <v>819</v>
      </c>
      <c r="L122" s="6" t="s">
        <v>1165</v>
      </c>
      <c r="M122" s="6" t="s">
        <v>1165</v>
      </c>
      <c r="N122" s="12" t="s">
        <v>822</v>
      </c>
      <c r="O122" s="6" t="s">
        <v>823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1464</v>
      </c>
    </row>
    <row r="123" customFormat="false" ht="35.05" hidden="false" customHeight="false" outlineLevel="0" collapsed="false">
      <c r="A123" s="6" t="s">
        <v>1465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1466</v>
      </c>
      <c r="F123" s="11" t="s">
        <v>1467</v>
      </c>
      <c r="G123" s="6" t="s">
        <v>1468</v>
      </c>
      <c r="H123" s="6" t="s">
        <v>851</v>
      </c>
      <c r="I123" s="6" t="s">
        <v>818</v>
      </c>
      <c r="J123" s="6" t="s">
        <v>818</v>
      </c>
      <c r="K123" s="6" t="s">
        <v>819</v>
      </c>
      <c r="L123" s="6" t="s">
        <v>1165</v>
      </c>
      <c r="M123" s="6" t="s">
        <v>1165</v>
      </c>
      <c r="N123" s="12" t="s">
        <v>822</v>
      </c>
      <c r="O123" s="6" t="s">
        <v>823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1469</v>
      </c>
    </row>
    <row r="124" customFormat="false" ht="23.85" hidden="false" customHeight="false" outlineLevel="0" collapsed="false">
      <c r="A124" s="6" t="s">
        <v>1470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1471</v>
      </c>
      <c r="F124" s="11" t="s">
        <v>1472</v>
      </c>
      <c r="G124" s="6" t="s">
        <v>828</v>
      </c>
      <c r="H124" s="6" t="s">
        <v>851</v>
      </c>
      <c r="I124" s="6" t="s">
        <v>818</v>
      </c>
      <c r="J124" s="6" t="s">
        <v>818</v>
      </c>
      <c r="K124" s="6" t="s">
        <v>819</v>
      </c>
      <c r="L124" s="6" t="s">
        <v>1165</v>
      </c>
      <c r="M124" s="6" t="s">
        <v>1165</v>
      </c>
      <c r="N124" s="12" t="s">
        <v>822</v>
      </c>
      <c r="O124" s="6" t="s">
        <v>823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1473</v>
      </c>
    </row>
    <row r="125" customFormat="false" ht="23.85" hidden="false" customHeight="false" outlineLevel="0" collapsed="false">
      <c r="A125" s="6" t="s">
        <v>1474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1475</v>
      </c>
      <c r="F125" s="11" t="s">
        <v>1476</v>
      </c>
      <c r="G125" s="6" t="s">
        <v>828</v>
      </c>
      <c r="H125" s="6" t="s">
        <v>851</v>
      </c>
      <c r="I125" s="6" t="s">
        <v>818</v>
      </c>
      <c r="J125" s="6" t="s">
        <v>818</v>
      </c>
      <c r="K125" s="6" t="s">
        <v>819</v>
      </c>
      <c r="L125" s="6" t="s">
        <v>1165</v>
      </c>
      <c r="M125" s="6" t="s">
        <v>1165</v>
      </c>
      <c r="N125" s="12" t="s">
        <v>822</v>
      </c>
      <c r="O125" s="6" t="s">
        <v>823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1477</v>
      </c>
    </row>
    <row r="126" customFormat="false" ht="23.85" hidden="false" customHeight="false" outlineLevel="0" collapsed="false">
      <c r="A126" s="6" t="s">
        <v>1478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1479</v>
      </c>
      <c r="F126" s="11" t="s">
        <v>1480</v>
      </c>
      <c r="G126" s="6" t="s">
        <v>1481</v>
      </c>
      <c r="H126" s="6" t="s">
        <v>851</v>
      </c>
      <c r="I126" s="6" t="s">
        <v>818</v>
      </c>
      <c r="J126" s="6" t="s">
        <v>818</v>
      </c>
      <c r="K126" s="6" t="s">
        <v>819</v>
      </c>
      <c r="L126" s="6" t="s">
        <v>1165</v>
      </c>
      <c r="M126" s="6" t="s">
        <v>1165</v>
      </c>
      <c r="N126" s="12" t="s">
        <v>822</v>
      </c>
      <c r="O126" s="6" t="s">
        <v>823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1482</v>
      </c>
    </row>
    <row r="127" customFormat="false" ht="23.85" hidden="false" customHeight="false" outlineLevel="0" collapsed="false">
      <c r="A127" s="6" t="s">
        <v>1483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1484</v>
      </c>
      <c r="F127" s="11" t="s">
        <v>1485</v>
      </c>
      <c r="G127" s="6" t="s">
        <v>1176</v>
      </c>
      <c r="H127" s="6" t="s">
        <v>851</v>
      </c>
      <c r="I127" s="6" t="s">
        <v>818</v>
      </c>
      <c r="J127" s="6" t="s">
        <v>818</v>
      </c>
      <c r="K127" s="6" t="s">
        <v>819</v>
      </c>
      <c r="L127" s="6" t="s">
        <v>1165</v>
      </c>
      <c r="M127" s="6" t="s">
        <v>1165</v>
      </c>
      <c r="N127" s="12" t="s">
        <v>822</v>
      </c>
      <c r="O127" s="6" t="s">
        <v>823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1486</v>
      </c>
    </row>
    <row r="128" customFormat="false" ht="23.85" hidden="false" customHeight="false" outlineLevel="0" collapsed="false">
      <c r="A128" s="6" t="s">
        <v>1487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1488</v>
      </c>
      <c r="F128" s="11" t="s">
        <v>1489</v>
      </c>
      <c r="G128" s="6" t="s">
        <v>1490</v>
      </c>
      <c r="H128" s="6" t="s">
        <v>851</v>
      </c>
      <c r="I128" s="6" t="s">
        <v>818</v>
      </c>
      <c r="J128" s="6" t="s">
        <v>818</v>
      </c>
      <c r="K128" s="6" t="s">
        <v>819</v>
      </c>
      <c r="L128" s="6" t="s">
        <v>1165</v>
      </c>
      <c r="M128" s="6" t="s">
        <v>1165</v>
      </c>
      <c r="N128" s="12" t="s">
        <v>822</v>
      </c>
      <c r="O128" s="6" t="s">
        <v>823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1491</v>
      </c>
    </row>
    <row r="129" customFormat="false" ht="23.85" hidden="false" customHeight="false" outlineLevel="0" collapsed="false">
      <c r="A129" s="6" t="s">
        <v>1492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1493</v>
      </c>
      <c r="F129" s="11" t="s">
        <v>1494</v>
      </c>
      <c r="G129" s="6" t="s">
        <v>1495</v>
      </c>
      <c r="H129" s="6" t="s">
        <v>851</v>
      </c>
      <c r="I129" s="6" t="s">
        <v>818</v>
      </c>
      <c r="J129" s="6" t="s">
        <v>818</v>
      </c>
      <c r="K129" s="6" t="s">
        <v>819</v>
      </c>
      <c r="L129" s="6" t="s">
        <v>1165</v>
      </c>
      <c r="M129" s="6" t="s">
        <v>1165</v>
      </c>
      <c r="N129" s="12" t="s">
        <v>822</v>
      </c>
      <c r="O129" s="6" t="s">
        <v>823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1496</v>
      </c>
    </row>
    <row r="130" customFormat="false" ht="23.85" hidden="false" customHeight="false" outlineLevel="0" collapsed="false">
      <c r="A130" s="6" t="s">
        <v>1497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1498</v>
      </c>
      <c r="F130" s="11" t="s">
        <v>1499</v>
      </c>
      <c r="G130" s="6" t="s">
        <v>1500</v>
      </c>
      <c r="H130" s="6" t="s">
        <v>851</v>
      </c>
      <c r="I130" s="6" t="s">
        <v>818</v>
      </c>
      <c r="J130" s="6" t="s">
        <v>818</v>
      </c>
      <c r="K130" s="6" t="s">
        <v>819</v>
      </c>
      <c r="L130" s="6" t="s">
        <v>1165</v>
      </c>
      <c r="M130" s="6" t="s">
        <v>1165</v>
      </c>
      <c r="N130" s="12" t="s">
        <v>822</v>
      </c>
      <c r="O130" s="6" t="s">
        <v>823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1501</v>
      </c>
    </row>
    <row r="131" customFormat="false" ht="23.85" hidden="false" customHeight="false" outlineLevel="0" collapsed="false">
      <c r="A131" s="6" t="s">
        <v>1502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1503</v>
      </c>
      <c r="F131" s="11" t="s">
        <v>1504</v>
      </c>
      <c r="G131" s="6" t="s">
        <v>1505</v>
      </c>
      <c r="H131" s="6" t="s">
        <v>851</v>
      </c>
      <c r="I131" s="6" t="s">
        <v>818</v>
      </c>
      <c r="J131" s="6" t="s">
        <v>818</v>
      </c>
      <c r="K131" s="6" t="s">
        <v>819</v>
      </c>
      <c r="L131" s="6" t="s">
        <v>1165</v>
      </c>
      <c r="M131" s="6" t="s">
        <v>1165</v>
      </c>
      <c r="N131" s="12" t="s">
        <v>822</v>
      </c>
      <c r="O131" s="6" t="s">
        <v>823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1506</v>
      </c>
    </row>
    <row r="132" customFormat="false" ht="23.85" hidden="false" customHeight="false" outlineLevel="0" collapsed="false">
      <c r="A132" s="6" t="s">
        <v>1507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1508</v>
      </c>
      <c r="F132" s="11" t="s">
        <v>1509</v>
      </c>
      <c r="G132" s="6" t="s">
        <v>1495</v>
      </c>
      <c r="H132" s="6" t="s">
        <v>851</v>
      </c>
      <c r="I132" s="6" t="s">
        <v>818</v>
      </c>
      <c r="J132" s="6" t="s">
        <v>818</v>
      </c>
      <c r="K132" s="6" t="s">
        <v>819</v>
      </c>
      <c r="L132" s="6" t="s">
        <v>1165</v>
      </c>
      <c r="M132" s="6" t="s">
        <v>1165</v>
      </c>
      <c r="N132" s="12" t="s">
        <v>822</v>
      </c>
      <c r="O132" s="6" t="s">
        <v>823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1510</v>
      </c>
    </row>
    <row r="133" customFormat="false" ht="23.85" hidden="false" customHeight="false" outlineLevel="0" collapsed="false">
      <c r="A133" s="6" t="s">
        <v>1511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1512</v>
      </c>
      <c r="F133" s="11" t="s">
        <v>1513</v>
      </c>
      <c r="G133" s="6" t="s">
        <v>1514</v>
      </c>
      <c r="H133" s="6" t="s">
        <v>851</v>
      </c>
      <c r="I133" s="6" t="s">
        <v>818</v>
      </c>
      <c r="J133" s="6" t="s">
        <v>818</v>
      </c>
      <c r="K133" s="6" t="s">
        <v>819</v>
      </c>
      <c r="L133" s="6" t="s">
        <v>1165</v>
      </c>
      <c r="M133" s="6" t="s">
        <v>1165</v>
      </c>
      <c r="N133" s="12" t="s">
        <v>822</v>
      </c>
      <c r="O133" s="6" t="s">
        <v>823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1515</v>
      </c>
    </row>
    <row r="134" customFormat="false" ht="23.85" hidden="false" customHeight="false" outlineLevel="0" collapsed="false">
      <c r="A134" s="6" t="s">
        <v>1516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1517</v>
      </c>
      <c r="F134" s="11" t="s">
        <v>1518</v>
      </c>
      <c r="G134" s="6" t="s">
        <v>1026</v>
      </c>
      <c r="H134" s="6" t="s">
        <v>851</v>
      </c>
      <c r="I134" s="6" t="s">
        <v>818</v>
      </c>
      <c r="J134" s="6" t="s">
        <v>818</v>
      </c>
      <c r="K134" s="6" t="s">
        <v>819</v>
      </c>
      <c r="L134" s="6" t="s">
        <v>1165</v>
      </c>
      <c r="M134" s="6" t="s">
        <v>1165</v>
      </c>
      <c r="N134" s="12" t="s">
        <v>822</v>
      </c>
      <c r="O134" s="6" t="s">
        <v>823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1519</v>
      </c>
    </row>
    <row r="135" customFormat="false" ht="23.85" hidden="false" customHeight="false" outlineLevel="0" collapsed="false">
      <c r="A135" s="6" t="s">
        <v>1520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1521</v>
      </c>
      <c r="F135" s="11" t="s">
        <v>1522</v>
      </c>
      <c r="G135" s="6" t="s">
        <v>1259</v>
      </c>
      <c r="H135" s="6" t="s">
        <v>851</v>
      </c>
      <c r="I135" s="6" t="s">
        <v>818</v>
      </c>
      <c r="J135" s="6" t="s">
        <v>818</v>
      </c>
      <c r="K135" s="6" t="s">
        <v>819</v>
      </c>
      <c r="L135" s="6" t="s">
        <v>1165</v>
      </c>
      <c r="M135" s="6" t="s">
        <v>1165</v>
      </c>
      <c r="N135" s="12" t="s">
        <v>822</v>
      </c>
      <c r="O135" s="6" t="s">
        <v>823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1523</v>
      </c>
    </row>
    <row r="136" customFormat="false" ht="35.05" hidden="false" customHeight="false" outlineLevel="0" collapsed="false">
      <c r="A136" s="6" t="s">
        <v>1524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1525</v>
      </c>
      <c r="F136" s="11" t="s">
        <v>1526</v>
      </c>
      <c r="G136" s="6" t="s">
        <v>1527</v>
      </c>
      <c r="H136" s="6" t="s">
        <v>851</v>
      </c>
      <c r="I136" s="6" t="s">
        <v>818</v>
      </c>
      <c r="J136" s="6" t="s">
        <v>818</v>
      </c>
      <c r="K136" s="6" t="s">
        <v>819</v>
      </c>
      <c r="L136" s="6" t="s">
        <v>1165</v>
      </c>
      <c r="M136" s="6" t="s">
        <v>1165</v>
      </c>
      <c r="N136" s="12" t="s">
        <v>822</v>
      </c>
      <c r="O136" s="6" t="s">
        <v>823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1528</v>
      </c>
    </row>
    <row r="137" customFormat="false" ht="23.85" hidden="false" customHeight="false" outlineLevel="0" collapsed="false">
      <c r="A137" s="6" t="s">
        <v>1529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1530</v>
      </c>
      <c r="F137" s="11" t="s">
        <v>1531</v>
      </c>
      <c r="G137" s="6" t="s">
        <v>1514</v>
      </c>
      <c r="H137" s="6" t="s">
        <v>851</v>
      </c>
      <c r="I137" s="6" t="s">
        <v>818</v>
      </c>
      <c r="J137" s="6" t="s">
        <v>818</v>
      </c>
      <c r="K137" s="6" t="s">
        <v>819</v>
      </c>
      <c r="L137" s="6" t="s">
        <v>1165</v>
      </c>
      <c r="M137" s="6" t="s">
        <v>1165</v>
      </c>
      <c r="N137" s="12" t="s">
        <v>822</v>
      </c>
      <c r="O137" s="6" t="s">
        <v>823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1532</v>
      </c>
    </row>
    <row r="138" customFormat="false" ht="23.85" hidden="false" customHeight="false" outlineLevel="0" collapsed="false">
      <c r="A138" s="6" t="s">
        <v>1533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1534</v>
      </c>
      <c r="F138" s="11" t="s">
        <v>1535</v>
      </c>
      <c r="G138" s="6" t="s">
        <v>1210</v>
      </c>
      <c r="H138" s="6" t="s">
        <v>851</v>
      </c>
      <c r="I138" s="6" t="s">
        <v>818</v>
      </c>
      <c r="J138" s="6" t="s">
        <v>818</v>
      </c>
      <c r="K138" s="6" t="s">
        <v>819</v>
      </c>
      <c r="L138" s="6" t="s">
        <v>1165</v>
      </c>
      <c r="M138" s="6" t="s">
        <v>1165</v>
      </c>
      <c r="N138" s="12" t="s">
        <v>822</v>
      </c>
      <c r="O138" s="6" t="s">
        <v>823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1536</v>
      </c>
    </row>
    <row r="139" customFormat="false" ht="35.05" hidden="false" customHeight="false" outlineLevel="0" collapsed="false">
      <c r="A139" s="6" t="s">
        <v>1537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1538</v>
      </c>
      <c r="F139" s="11" t="s">
        <v>1539</v>
      </c>
      <c r="G139" s="6" t="s">
        <v>1540</v>
      </c>
      <c r="H139" s="6" t="s">
        <v>851</v>
      </c>
      <c r="I139" s="6" t="s">
        <v>818</v>
      </c>
      <c r="J139" s="6" t="s">
        <v>818</v>
      </c>
      <c r="K139" s="6" t="s">
        <v>819</v>
      </c>
      <c r="L139" s="6" t="s">
        <v>1165</v>
      </c>
      <c r="M139" s="6" t="s">
        <v>1165</v>
      </c>
      <c r="N139" s="12" t="s">
        <v>822</v>
      </c>
      <c r="O139" s="6" t="s">
        <v>823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1541</v>
      </c>
    </row>
    <row r="140" customFormat="false" ht="35.05" hidden="false" customHeight="false" outlineLevel="0" collapsed="false">
      <c r="A140" s="6" t="s">
        <v>1542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1543</v>
      </c>
      <c r="F140" s="11" t="s">
        <v>1544</v>
      </c>
      <c r="G140" s="6" t="s">
        <v>1431</v>
      </c>
      <c r="H140" s="6" t="s">
        <v>1545</v>
      </c>
      <c r="I140" s="6" t="s">
        <v>818</v>
      </c>
      <c r="J140" s="6" t="s">
        <v>818</v>
      </c>
      <c r="K140" s="6" t="s">
        <v>819</v>
      </c>
      <c r="L140" s="6" t="s">
        <v>820</v>
      </c>
      <c r="M140" s="6" t="s">
        <v>1546</v>
      </c>
      <c r="N140" s="12" t="s">
        <v>822</v>
      </c>
      <c r="O140" s="6" t="s">
        <v>823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1547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1548</v>
      </c>
      <c r="F141" s="11" t="s">
        <v>1549</v>
      </c>
      <c r="G141" s="6" t="s">
        <v>1550</v>
      </c>
      <c r="H141" s="6" t="s">
        <v>1551</v>
      </c>
      <c r="I141" s="6" t="s">
        <v>818</v>
      </c>
      <c r="J141" s="6" t="s">
        <v>818</v>
      </c>
      <c r="K141" s="6" t="s">
        <v>819</v>
      </c>
      <c r="L141" s="6" t="s">
        <v>820</v>
      </c>
      <c r="M141" s="6" t="s">
        <v>1546</v>
      </c>
      <c r="N141" s="12" t="s">
        <v>822</v>
      </c>
      <c r="O141" s="6" t="s">
        <v>823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1552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1553</v>
      </c>
      <c r="F142" s="11" t="s">
        <v>1554</v>
      </c>
      <c r="G142" s="6" t="s">
        <v>1555</v>
      </c>
      <c r="H142" s="6" t="s">
        <v>1551</v>
      </c>
      <c r="I142" s="6" t="s">
        <v>818</v>
      </c>
      <c r="J142" s="6" t="s">
        <v>818</v>
      </c>
      <c r="K142" s="6" t="s">
        <v>819</v>
      </c>
      <c r="L142" s="6" t="s">
        <v>820</v>
      </c>
      <c r="M142" s="6" t="s">
        <v>1546</v>
      </c>
      <c r="N142" s="12" t="s">
        <v>822</v>
      </c>
      <c r="O142" s="6" t="s">
        <v>823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1556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1557</v>
      </c>
      <c r="F143" s="11" t="s">
        <v>1558</v>
      </c>
      <c r="G143" s="6" t="s">
        <v>1559</v>
      </c>
      <c r="H143" s="6" t="s">
        <v>1560</v>
      </c>
      <c r="I143" s="6" t="s">
        <v>818</v>
      </c>
      <c r="J143" s="6" t="s">
        <v>818</v>
      </c>
      <c r="K143" s="6" t="s">
        <v>819</v>
      </c>
      <c r="L143" s="6" t="s">
        <v>845</v>
      </c>
      <c r="M143" s="6" t="s">
        <v>832</v>
      </c>
      <c r="N143" s="12" t="s">
        <v>822</v>
      </c>
      <c r="O143" s="6" t="s">
        <v>823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1561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1562</v>
      </c>
      <c r="F144" s="11" t="s">
        <v>1563</v>
      </c>
      <c r="G144" s="6" t="s">
        <v>1564</v>
      </c>
      <c r="H144" s="6" t="s">
        <v>1565</v>
      </c>
      <c r="I144" s="6" t="s">
        <v>818</v>
      </c>
      <c r="J144" s="6" t="s">
        <v>818</v>
      </c>
      <c r="K144" s="6" t="s">
        <v>819</v>
      </c>
      <c r="L144" s="6" t="s">
        <v>820</v>
      </c>
      <c r="M144" s="6" t="s">
        <v>853</v>
      </c>
      <c r="N144" s="12" t="s">
        <v>822</v>
      </c>
      <c r="O144" s="6" t="s">
        <v>823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1566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1567</v>
      </c>
      <c r="F145" s="11" t="s">
        <v>1568</v>
      </c>
      <c r="G145" s="6" t="s">
        <v>1569</v>
      </c>
      <c r="H145" s="6" t="s">
        <v>1121</v>
      </c>
      <c r="I145" s="6" t="s">
        <v>818</v>
      </c>
      <c r="J145" s="6" t="s">
        <v>818</v>
      </c>
      <c r="K145" s="6" t="s">
        <v>819</v>
      </c>
      <c r="L145" s="6" t="s">
        <v>845</v>
      </c>
      <c r="M145" s="6" t="s">
        <v>853</v>
      </c>
      <c r="N145" s="12" t="s">
        <v>822</v>
      </c>
      <c r="O145" s="6" t="s">
        <v>823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1570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1571</v>
      </c>
      <c r="F146" s="11" t="s">
        <v>1572</v>
      </c>
      <c r="G146" s="6" t="s">
        <v>1468</v>
      </c>
      <c r="H146" s="6" t="s">
        <v>1573</v>
      </c>
      <c r="I146" s="6" t="s">
        <v>818</v>
      </c>
      <c r="J146" s="6" t="s">
        <v>818</v>
      </c>
      <c r="K146" s="6" t="s">
        <v>819</v>
      </c>
      <c r="L146" s="6" t="s">
        <v>820</v>
      </c>
      <c r="M146" s="6" t="s">
        <v>832</v>
      </c>
      <c r="N146" s="12" t="s">
        <v>822</v>
      </c>
      <c r="O146" s="6" t="s">
        <v>823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1574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1575</v>
      </c>
      <c r="F147" s="11" t="s">
        <v>1576</v>
      </c>
      <c r="G147" s="6" t="s">
        <v>1335</v>
      </c>
      <c r="H147" s="6" t="s">
        <v>1577</v>
      </c>
      <c r="I147" s="6" t="s">
        <v>818</v>
      </c>
      <c r="J147" s="6" t="s">
        <v>818</v>
      </c>
      <c r="K147" s="6" t="s">
        <v>819</v>
      </c>
      <c r="L147" s="6" t="s">
        <v>820</v>
      </c>
      <c r="M147" s="6" t="s">
        <v>832</v>
      </c>
      <c r="N147" s="12" t="s">
        <v>822</v>
      </c>
      <c r="O147" s="6" t="s">
        <v>823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1578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1579</v>
      </c>
      <c r="F148" s="11" t="s">
        <v>1580</v>
      </c>
      <c r="G148" s="6" t="s">
        <v>1259</v>
      </c>
      <c r="H148" s="6" t="s">
        <v>1581</v>
      </c>
      <c r="I148" s="6" t="s">
        <v>818</v>
      </c>
      <c r="J148" s="6" t="s">
        <v>818</v>
      </c>
      <c r="K148" s="6" t="s">
        <v>819</v>
      </c>
      <c r="L148" s="6" t="s">
        <v>820</v>
      </c>
      <c r="M148" s="6" t="s">
        <v>832</v>
      </c>
      <c r="N148" s="12" t="s">
        <v>822</v>
      </c>
      <c r="O148" s="6" t="s">
        <v>823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1582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1583</v>
      </c>
      <c r="F149" s="11" t="s">
        <v>1584</v>
      </c>
      <c r="G149" s="6" t="s">
        <v>1585</v>
      </c>
      <c r="H149" s="6" t="s">
        <v>1586</v>
      </c>
      <c r="I149" s="6" t="s">
        <v>818</v>
      </c>
      <c r="J149" s="6" t="s">
        <v>818</v>
      </c>
      <c r="K149" s="6" t="s">
        <v>819</v>
      </c>
      <c r="L149" s="6" t="s">
        <v>820</v>
      </c>
      <c r="M149" s="6" t="s">
        <v>853</v>
      </c>
      <c r="N149" s="12" t="s">
        <v>822</v>
      </c>
      <c r="O149" s="6" t="s">
        <v>823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1587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1588</v>
      </c>
      <c r="F150" s="11" t="s">
        <v>1589</v>
      </c>
      <c r="G150" s="6" t="s">
        <v>1590</v>
      </c>
      <c r="H150" s="6" t="s">
        <v>1591</v>
      </c>
      <c r="I150" s="6" t="s">
        <v>818</v>
      </c>
      <c r="J150" s="6" t="s">
        <v>818</v>
      </c>
      <c r="K150" s="6" t="s">
        <v>819</v>
      </c>
      <c r="L150" s="6" t="s">
        <v>820</v>
      </c>
      <c r="M150" s="6" t="s">
        <v>832</v>
      </c>
      <c r="N150" s="12" t="s">
        <v>822</v>
      </c>
      <c r="O150" s="6" t="s">
        <v>823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1592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1593</v>
      </c>
      <c r="F151" s="11" t="s">
        <v>1594</v>
      </c>
      <c r="G151" s="6" t="s">
        <v>1259</v>
      </c>
      <c r="H151" s="6" t="s">
        <v>1581</v>
      </c>
      <c r="I151" s="6" t="s">
        <v>818</v>
      </c>
      <c r="J151" s="6" t="s">
        <v>818</v>
      </c>
      <c r="K151" s="6" t="s">
        <v>819</v>
      </c>
      <c r="L151" s="6" t="s">
        <v>820</v>
      </c>
      <c r="M151" s="6" t="s">
        <v>853</v>
      </c>
      <c r="N151" s="12" t="s">
        <v>822</v>
      </c>
      <c r="O151" s="6" t="s">
        <v>823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1595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1596</v>
      </c>
      <c r="F152" s="11" t="s">
        <v>1597</v>
      </c>
      <c r="G152" s="6" t="s">
        <v>1540</v>
      </c>
      <c r="H152" s="6" t="s">
        <v>1598</v>
      </c>
      <c r="I152" s="6" t="s">
        <v>818</v>
      </c>
      <c r="J152" s="6" t="s">
        <v>818</v>
      </c>
      <c r="K152" s="6" t="s">
        <v>819</v>
      </c>
      <c r="L152" s="6" t="s">
        <v>820</v>
      </c>
      <c r="M152" s="6" t="s">
        <v>832</v>
      </c>
      <c r="N152" s="12" t="s">
        <v>822</v>
      </c>
      <c r="O152" s="6" t="s">
        <v>823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1599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1600</v>
      </c>
      <c r="F153" s="11" t="s">
        <v>1601</v>
      </c>
      <c r="G153" s="6" t="s">
        <v>1602</v>
      </c>
      <c r="H153" s="6" t="s">
        <v>1603</v>
      </c>
      <c r="I153" s="6" t="s">
        <v>818</v>
      </c>
      <c r="J153" s="6" t="s">
        <v>818</v>
      </c>
      <c r="K153" s="6" t="s">
        <v>819</v>
      </c>
      <c r="L153" s="6" t="s">
        <v>820</v>
      </c>
      <c r="M153" s="6" t="s">
        <v>832</v>
      </c>
      <c r="N153" s="12" t="s">
        <v>822</v>
      </c>
      <c r="O153" s="6" t="s">
        <v>823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1604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1605</v>
      </c>
      <c r="F154" s="11" t="s">
        <v>1606</v>
      </c>
      <c r="G154" s="6" t="s">
        <v>1607</v>
      </c>
      <c r="H154" s="6" t="s">
        <v>1608</v>
      </c>
      <c r="I154" s="6" t="s">
        <v>818</v>
      </c>
      <c r="J154" s="6" t="s">
        <v>818</v>
      </c>
      <c r="K154" s="6" t="s">
        <v>819</v>
      </c>
      <c r="L154" s="6" t="s">
        <v>820</v>
      </c>
      <c r="M154" s="6" t="s">
        <v>832</v>
      </c>
      <c r="N154" s="12" t="s">
        <v>822</v>
      </c>
      <c r="O154" s="6" t="s">
        <v>823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1609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1610</v>
      </c>
      <c r="F155" s="11" t="s">
        <v>1611</v>
      </c>
      <c r="G155" s="6" t="s">
        <v>1612</v>
      </c>
      <c r="H155" s="6" t="s">
        <v>921</v>
      </c>
      <c r="I155" s="6" t="s">
        <v>818</v>
      </c>
      <c r="J155" s="6" t="s">
        <v>818</v>
      </c>
      <c r="K155" s="6" t="s">
        <v>819</v>
      </c>
      <c r="L155" s="6" t="s">
        <v>820</v>
      </c>
      <c r="M155" s="6" t="s">
        <v>853</v>
      </c>
      <c r="N155" s="12" t="s">
        <v>822</v>
      </c>
      <c r="O155" s="6" t="s">
        <v>823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1613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1614</v>
      </c>
      <c r="F156" s="11" t="s">
        <v>1615</v>
      </c>
      <c r="G156" s="6" t="s">
        <v>1616</v>
      </c>
      <c r="H156" s="6" t="s">
        <v>851</v>
      </c>
      <c r="I156" s="6" t="s">
        <v>818</v>
      </c>
      <c r="J156" s="6" t="s">
        <v>818</v>
      </c>
      <c r="K156" s="6" t="s">
        <v>819</v>
      </c>
      <c r="L156" s="6" t="s">
        <v>820</v>
      </c>
      <c r="M156" s="6" t="s">
        <v>853</v>
      </c>
      <c r="N156" s="12" t="s">
        <v>822</v>
      </c>
      <c r="O156" s="6" t="s">
        <v>823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1617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1618</v>
      </c>
      <c r="F157" s="11" t="s">
        <v>1619</v>
      </c>
      <c r="G157" s="6" t="s">
        <v>1620</v>
      </c>
      <c r="H157" s="6" t="s">
        <v>851</v>
      </c>
      <c r="I157" s="6" t="s">
        <v>818</v>
      </c>
      <c r="J157" s="6" t="s">
        <v>818</v>
      </c>
      <c r="K157" s="6" t="s">
        <v>819</v>
      </c>
      <c r="L157" s="6" t="s">
        <v>845</v>
      </c>
      <c r="M157" s="6" t="s">
        <v>853</v>
      </c>
      <c r="N157" s="12" t="s">
        <v>822</v>
      </c>
      <c r="O157" s="6" t="s">
        <v>823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1621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1622</v>
      </c>
      <c r="F158" s="11" t="s">
        <v>1623</v>
      </c>
      <c r="G158" s="6" t="s">
        <v>1624</v>
      </c>
      <c r="H158" s="6" t="s">
        <v>1625</v>
      </c>
      <c r="I158" s="6" t="s">
        <v>818</v>
      </c>
      <c r="J158" s="6" t="s">
        <v>818</v>
      </c>
      <c r="K158" s="6" t="s">
        <v>819</v>
      </c>
      <c r="L158" s="6" t="s">
        <v>845</v>
      </c>
      <c r="M158" s="6" t="s">
        <v>853</v>
      </c>
      <c r="N158" s="12" t="s">
        <v>822</v>
      </c>
      <c r="O158" s="6" t="s">
        <v>823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1626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1627</v>
      </c>
      <c r="F159" s="11" t="s">
        <v>1628</v>
      </c>
      <c r="G159" s="6" t="s">
        <v>1590</v>
      </c>
      <c r="H159" s="6" t="s">
        <v>1591</v>
      </c>
      <c r="I159" s="6" t="s">
        <v>818</v>
      </c>
      <c r="J159" s="6" t="s">
        <v>818</v>
      </c>
      <c r="K159" s="6" t="s">
        <v>819</v>
      </c>
      <c r="L159" s="6" t="s">
        <v>845</v>
      </c>
      <c r="M159" s="6" t="s">
        <v>853</v>
      </c>
      <c r="N159" s="12" t="s">
        <v>822</v>
      </c>
      <c r="O159" s="6" t="s">
        <v>823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1629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1630</v>
      </c>
      <c r="F160" s="11" t="s">
        <v>1631</v>
      </c>
      <c r="G160" s="6" t="s">
        <v>1200</v>
      </c>
      <c r="H160" s="6" t="s">
        <v>901</v>
      </c>
      <c r="I160" s="6" t="s">
        <v>818</v>
      </c>
      <c r="J160" s="6" t="s">
        <v>818</v>
      </c>
      <c r="K160" s="6" t="s">
        <v>819</v>
      </c>
      <c r="L160" s="6" t="s">
        <v>845</v>
      </c>
      <c r="M160" s="6" t="s">
        <v>832</v>
      </c>
      <c r="N160" s="12" t="s">
        <v>822</v>
      </c>
      <c r="O160" s="6" t="s">
        <v>823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1632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1633</v>
      </c>
      <c r="F161" s="11" t="s">
        <v>1634</v>
      </c>
      <c r="G161" s="6" t="s">
        <v>1635</v>
      </c>
      <c r="H161" s="6" t="s">
        <v>1636</v>
      </c>
      <c r="I161" s="6" t="s">
        <v>818</v>
      </c>
      <c r="J161" s="6" t="s">
        <v>818</v>
      </c>
      <c r="K161" s="6" t="s">
        <v>819</v>
      </c>
      <c r="L161" s="6" t="s">
        <v>845</v>
      </c>
      <c r="M161" s="6" t="s">
        <v>832</v>
      </c>
      <c r="N161" s="12" t="s">
        <v>822</v>
      </c>
      <c r="O161" s="6" t="s">
        <v>823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1637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1638</v>
      </c>
      <c r="F162" s="11" t="s">
        <v>1639</v>
      </c>
      <c r="G162" s="6" t="s">
        <v>1640</v>
      </c>
      <c r="H162" s="6" t="s">
        <v>1641</v>
      </c>
      <c r="I162" s="6" t="s">
        <v>818</v>
      </c>
      <c r="J162" s="6" t="s">
        <v>818</v>
      </c>
      <c r="K162" s="6" t="s">
        <v>819</v>
      </c>
      <c r="L162" s="6" t="s">
        <v>845</v>
      </c>
      <c r="M162" s="6" t="s">
        <v>832</v>
      </c>
      <c r="N162" s="12" t="s">
        <v>822</v>
      </c>
      <c r="O162" s="6" t="s">
        <v>823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1642</v>
      </c>
    </row>
    <row r="163" customFormat="false" ht="23.85" hidden="false" customHeight="false" outlineLevel="0" collapsed="false">
      <c r="A163" s="6" t="s">
        <v>1643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1644</v>
      </c>
      <c r="F163" s="11" t="s">
        <v>1645</v>
      </c>
      <c r="G163" s="6" t="s">
        <v>1646</v>
      </c>
      <c r="H163" s="6" t="s">
        <v>1647</v>
      </c>
      <c r="I163" s="6" t="s">
        <v>818</v>
      </c>
      <c r="J163" s="6" t="s">
        <v>818</v>
      </c>
      <c r="K163" s="6" t="s">
        <v>819</v>
      </c>
      <c r="L163" s="6" t="s">
        <v>845</v>
      </c>
      <c r="M163" s="6" t="s">
        <v>832</v>
      </c>
      <c r="N163" s="12" t="s">
        <v>822</v>
      </c>
      <c r="O163" s="6" t="s">
        <v>823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1642</v>
      </c>
    </row>
    <row r="164" customFormat="false" ht="23.85" hidden="false" customHeight="false" outlineLevel="0" collapsed="false">
      <c r="A164" s="6" t="s">
        <v>1648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1649</v>
      </c>
      <c r="F164" s="11" t="s">
        <v>1650</v>
      </c>
      <c r="G164" s="6" t="s">
        <v>828</v>
      </c>
      <c r="H164" s="6" t="s">
        <v>829</v>
      </c>
      <c r="I164" s="6" t="s">
        <v>818</v>
      </c>
      <c r="J164" s="6" t="s">
        <v>818</v>
      </c>
      <c r="K164" s="6" t="s">
        <v>819</v>
      </c>
      <c r="L164" s="6" t="s">
        <v>845</v>
      </c>
      <c r="M164" s="6" t="s">
        <v>832</v>
      </c>
      <c r="N164" s="12" t="s">
        <v>822</v>
      </c>
      <c r="O164" s="6" t="s">
        <v>823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1642</v>
      </c>
    </row>
    <row r="165" customFormat="false" ht="23.85" hidden="false" customHeight="false" outlineLevel="0" collapsed="false">
      <c r="A165" s="6" t="s">
        <v>1651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1652</v>
      </c>
      <c r="F165" s="11" t="s">
        <v>1653</v>
      </c>
      <c r="G165" s="6" t="s">
        <v>1200</v>
      </c>
      <c r="H165" s="6" t="s">
        <v>901</v>
      </c>
      <c r="I165" s="6" t="s">
        <v>818</v>
      </c>
      <c r="J165" s="6" t="s">
        <v>818</v>
      </c>
      <c r="K165" s="6" t="s">
        <v>819</v>
      </c>
      <c r="L165" s="6" t="s">
        <v>845</v>
      </c>
      <c r="M165" s="6" t="s">
        <v>1654</v>
      </c>
      <c r="N165" s="12" t="s">
        <v>822</v>
      </c>
      <c r="O165" s="6" t="s">
        <v>823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1642</v>
      </c>
    </row>
    <row r="166" customFormat="false" ht="23.85" hidden="false" customHeight="false" outlineLevel="0" collapsed="false">
      <c r="A166" s="6" t="s">
        <v>1655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1656</v>
      </c>
      <c r="F166" s="11" t="s">
        <v>1657</v>
      </c>
      <c r="G166" s="6" t="s">
        <v>1658</v>
      </c>
      <c r="H166" s="6" t="s">
        <v>1659</v>
      </c>
      <c r="I166" s="6" t="s">
        <v>818</v>
      </c>
      <c r="J166" s="6" t="s">
        <v>818</v>
      </c>
      <c r="K166" s="6" t="s">
        <v>819</v>
      </c>
      <c r="L166" s="6" t="s">
        <v>820</v>
      </c>
      <c r="M166" s="6" t="s">
        <v>832</v>
      </c>
      <c r="N166" s="12" t="s">
        <v>822</v>
      </c>
      <c r="O166" s="6" t="s">
        <v>823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1642</v>
      </c>
    </row>
    <row r="167" customFormat="false" ht="23.85" hidden="false" customHeight="false" outlineLevel="0" collapsed="false">
      <c r="A167" s="6" t="s">
        <v>1660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1661</v>
      </c>
      <c r="F167" s="11" t="s">
        <v>1662</v>
      </c>
      <c r="G167" s="6" t="s">
        <v>1200</v>
      </c>
      <c r="H167" s="6" t="s">
        <v>901</v>
      </c>
      <c r="I167" s="6" t="s">
        <v>818</v>
      </c>
      <c r="J167" s="6" t="s">
        <v>818</v>
      </c>
      <c r="K167" s="6" t="s">
        <v>819</v>
      </c>
      <c r="L167" s="6" t="s">
        <v>820</v>
      </c>
      <c r="M167" s="6" t="s">
        <v>903</v>
      </c>
      <c r="N167" s="12" t="s">
        <v>822</v>
      </c>
      <c r="O167" s="6" t="s">
        <v>823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1663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1664</v>
      </c>
      <c r="F168" s="11" t="s">
        <v>1665</v>
      </c>
      <c r="G168" s="6" t="s">
        <v>1666</v>
      </c>
      <c r="H168" s="6" t="s">
        <v>1667</v>
      </c>
      <c r="I168" s="6" t="s">
        <v>818</v>
      </c>
      <c r="J168" s="6" t="s">
        <v>818</v>
      </c>
      <c r="K168" s="6" t="s">
        <v>819</v>
      </c>
      <c r="L168" s="6" t="s">
        <v>845</v>
      </c>
      <c r="M168" s="6" t="s">
        <v>1654</v>
      </c>
      <c r="N168" s="12" t="s">
        <v>822</v>
      </c>
      <c r="O168" s="6" t="s">
        <v>823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1668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1669</v>
      </c>
      <c r="F169" s="11" t="s">
        <v>1670</v>
      </c>
      <c r="G169" s="6" t="s">
        <v>1635</v>
      </c>
      <c r="H169" s="6" t="s">
        <v>1636</v>
      </c>
      <c r="I169" s="6" t="s">
        <v>818</v>
      </c>
      <c r="J169" s="6" t="s">
        <v>818</v>
      </c>
      <c r="K169" s="6" t="s">
        <v>819</v>
      </c>
      <c r="L169" s="6" t="s">
        <v>845</v>
      </c>
      <c r="M169" s="6" t="s">
        <v>853</v>
      </c>
      <c r="N169" s="12" t="s">
        <v>822</v>
      </c>
      <c r="O169" s="6" t="s">
        <v>823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1671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1672</v>
      </c>
      <c r="F170" s="11" t="s">
        <v>1673</v>
      </c>
      <c r="G170" s="6" t="s">
        <v>1210</v>
      </c>
      <c r="H170" s="6" t="s">
        <v>1674</v>
      </c>
      <c r="I170" s="6" t="s">
        <v>818</v>
      </c>
      <c r="J170" s="6" t="s">
        <v>818</v>
      </c>
      <c r="K170" s="6" t="s">
        <v>819</v>
      </c>
      <c r="L170" s="6" t="s">
        <v>845</v>
      </c>
      <c r="M170" s="6" t="s">
        <v>1654</v>
      </c>
      <c r="N170" s="12" t="s">
        <v>822</v>
      </c>
      <c r="O170" s="6" t="s">
        <v>823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1675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1676</v>
      </c>
      <c r="F171" s="11" t="s">
        <v>1677</v>
      </c>
      <c r="G171" s="6" t="s">
        <v>1200</v>
      </c>
      <c r="H171" s="6" t="s">
        <v>901</v>
      </c>
      <c r="I171" s="6" t="s">
        <v>818</v>
      </c>
      <c r="J171" s="6" t="s">
        <v>818</v>
      </c>
      <c r="K171" s="6" t="s">
        <v>819</v>
      </c>
      <c r="L171" s="6" t="s">
        <v>845</v>
      </c>
      <c r="M171" s="6" t="s">
        <v>903</v>
      </c>
      <c r="N171" s="12" t="s">
        <v>822</v>
      </c>
      <c r="O171" s="6" t="s">
        <v>823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1678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1679</v>
      </c>
      <c r="F172" s="11" t="s">
        <v>1680</v>
      </c>
      <c r="G172" s="6" t="s">
        <v>1210</v>
      </c>
      <c r="H172" s="6" t="s">
        <v>1674</v>
      </c>
      <c r="I172" s="6" t="s">
        <v>818</v>
      </c>
      <c r="J172" s="6" t="s">
        <v>818</v>
      </c>
      <c r="K172" s="6" t="s">
        <v>819</v>
      </c>
      <c r="L172" s="6" t="s">
        <v>845</v>
      </c>
      <c r="M172" s="6" t="s">
        <v>1654</v>
      </c>
      <c r="N172" s="12" t="s">
        <v>822</v>
      </c>
      <c r="O172" s="6" t="s">
        <v>823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1681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1682</v>
      </c>
      <c r="F173" s="11" t="s">
        <v>1683</v>
      </c>
      <c r="G173" s="6" t="s">
        <v>1383</v>
      </c>
      <c r="H173" s="6" t="s">
        <v>851</v>
      </c>
      <c r="I173" s="6" t="s">
        <v>818</v>
      </c>
      <c r="J173" s="6" t="s">
        <v>818</v>
      </c>
      <c r="K173" s="6" t="s">
        <v>819</v>
      </c>
      <c r="L173" s="6" t="s">
        <v>845</v>
      </c>
      <c r="M173" s="6" t="s">
        <v>853</v>
      </c>
      <c r="N173" s="12" t="s">
        <v>822</v>
      </c>
      <c r="O173" s="6" t="s">
        <v>823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1684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1685</v>
      </c>
      <c r="F174" s="11" t="s">
        <v>1686</v>
      </c>
      <c r="G174" s="6" t="s">
        <v>1687</v>
      </c>
      <c r="H174" s="6" t="s">
        <v>1688</v>
      </c>
      <c r="I174" s="6" t="s">
        <v>818</v>
      </c>
      <c r="J174" s="6" t="s">
        <v>818</v>
      </c>
      <c r="K174" s="6" t="s">
        <v>819</v>
      </c>
      <c r="L174" s="6" t="s">
        <v>1689</v>
      </c>
      <c r="M174" s="6" t="s">
        <v>853</v>
      </c>
      <c r="N174" s="12" t="s">
        <v>822</v>
      </c>
      <c r="O174" s="6" t="s">
        <v>823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1690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1691</v>
      </c>
      <c r="F175" s="11" t="s">
        <v>1692</v>
      </c>
      <c r="G175" s="6" t="s">
        <v>1210</v>
      </c>
      <c r="H175" s="6" t="s">
        <v>1674</v>
      </c>
      <c r="I175" s="6" t="s">
        <v>818</v>
      </c>
      <c r="J175" s="6" t="s">
        <v>818</v>
      </c>
      <c r="K175" s="6" t="s">
        <v>819</v>
      </c>
      <c r="L175" s="6" t="s">
        <v>845</v>
      </c>
      <c r="M175" s="6" t="s">
        <v>853</v>
      </c>
      <c r="N175" s="12" t="s">
        <v>822</v>
      </c>
      <c r="O175" s="6" t="s">
        <v>823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1693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1694</v>
      </c>
      <c r="F176" s="11" t="s">
        <v>1695</v>
      </c>
      <c r="G176" s="6" t="s">
        <v>1210</v>
      </c>
      <c r="H176" s="6" t="s">
        <v>1674</v>
      </c>
      <c r="I176" s="6" t="s">
        <v>818</v>
      </c>
      <c r="J176" s="6" t="s">
        <v>818</v>
      </c>
      <c r="K176" s="6" t="s">
        <v>819</v>
      </c>
      <c r="L176" s="6" t="s">
        <v>845</v>
      </c>
      <c r="M176" s="6" t="s">
        <v>853</v>
      </c>
      <c r="N176" s="12" t="s">
        <v>822</v>
      </c>
      <c r="O176" s="6" t="s">
        <v>823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1696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1697</v>
      </c>
      <c r="F177" s="11" t="s">
        <v>1698</v>
      </c>
      <c r="G177" s="6" t="s">
        <v>1079</v>
      </c>
      <c r="H177" s="6" t="s">
        <v>851</v>
      </c>
      <c r="I177" s="6" t="s">
        <v>818</v>
      </c>
      <c r="J177" s="6" t="s">
        <v>818</v>
      </c>
      <c r="K177" s="6" t="s">
        <v>819</v>
      </c>
      <c r="L177" s="6" t="s">
        <v>820</v>
      </c>
      <c r="M177" s="6" t="s">
        <v>1654</v>
      </c>
      <c r="N177" s="12" t="s">
        <v>822</v>
      </c>
      <c r="O177" s="6" t="s">
        <v>823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1699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1700</v>
      </c>
      <c r="F178" s="11" t="s">
        <v>1701</v>
      </c>
      <c r="G178" s="6" t="s">
        <v>1702</v>
      </c>
      <c r="H178" s="6" t="s">
        <v>1703</v>
      </c>
      <c r="I178" s="6" t="s">
        <v>818</v>
      </c>
      <c r="J178" s="6" t="s">
        <v>818</v>
      </c>
      <c r="K178" s="6" t="s">
        <v>819</v>
      </c>
      <c r="L178" s="6" t="s">
        <v>845</v>
      </c>
      <c r="M178" s="6" t="s">
        <v>853</v>
      </c>
      <c r="N178" s="12" t="s">
        <v>822</v>
      </c>
      <c r="O178" s="6" t="s">
        <v>823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1704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1705</v>
      </c>
      <c r="F179" s="11" t="s">
        <v>1706</v>
      </c>
      <c r="G179" s="6" t="s">
        <v>1707</v>
      </c>
      <c r="H179" s="6" t="s">
        <v>1708</v>
      </c>
      <c r="I179" s="6" t="s">
        <v>818</v>
      </c>
      <c r="J179" s="6" t="s">
        <v>818</v>
      </c>
      <c r="K179" s="6" t="s">
        <v>819</v>
      </c>
      <c r="L179" s="6" t="s">
        <v>845</v>
      </c>
      <c r="M179" s="6" t="s">
        <v>853</v>
      </c>
      <c r="N179" s="12" t="s">
        <v>822</v>
      </c>
      <c r="O179" s="6" t="s">
        <v>823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1709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1710</v>
      </c>
      <c r="F180" s="11" t="s">
        <v>1711</v>
      </c>
      <c r="G180" s="6" t="s">
        <v>1170</v>
      </c>
      <c r="H180" s="6" t="s">
        <v>1712</v>
      </c>
      <c r="I180" s="6" t="s">
        <v>818</v>
      </c>
      <c r="J180" s="6" t="s">
        <v>818</v>
      </c>
      <c r="K180" s="6" t="s">
        <v>819</v>
      </c>
      <c r="L180" s="6" t="s">
        <v>820</v>
      </c>
      <c r="M180" s="6" t="s">
        <v>853</v>
      </c>
      <c r="N180" s="12" t="s">
        <v>822</v>
      </c>
      <c r="O180" s="6" t="s">
        <v>823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1713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1714</v>
      </c>
      <c r="F181" s="11" t="s">
        <v>1715</v>
      </c>
      <c r="G181" s="6" t="s">
        <v>1210</v>
      </c>
      <c r="H181" s="6" t="s">
        <v>1674</v>
      </c>
      <c r="I181" s="6" t="s">
        <v>818</v>
      </c>
      <c r="J181" s="6" t="s">
        <v>818</v>
      </c>
      <c r="K181" s="6" t="s">
        <v>819</v>
      </c>
      <c r="L181" s="6" t="s">
        <v>845</v>
      </c>
      <c r="M181" s="6" t="s">
        <v>853</v>
      </c>
      <c r="N181" s="12" t="s">
        <v>822</v>
      </c>
      <c r="O181" s="6" t="s">
        <v>823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1716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1717</v>
      </c>
      <c r="F182" s="11" t="s">
        <v>1718</v>
      </c>
      <c r="G182" s="6" t="s">
        <v>1719</v>
      </c>
      <c r="H182" s="6" t="s">
        <v>1720</v>
      </c>
      <c r="I182" s="6" t="s">
        <v>818</v>
      </c>
      <c r="J182" s="6" t="s">
        <v>818</v>
      </c>
      <c r="K182" s="6" t="s">
        <v>819</v>
      </c>
      <c r="L182" s="6" t="s">
        <v>845</v>
      </c>
      <c r="M182" s="6" t="s">
        <v>853</v>
      </c>
      <c r="N182" s="12" t="s">
        <v>822</v>
      </c>
      <c r="O182" s="6" t="s">
        <v>823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1721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1722</v>
      </c>
      <c r="F183" s="11" t="s">
        <v>1723</v>
      </c>
      <c r="G183" s="6" t="s">
        <v>1724</v>
      </c>
      <c r="H183" s="6" t="s">
        <v>1725</v>
      </c>
      <c r="I183" s="6" t="s">
        <v>818</v>
      </c>
      <c r="J183" s="6" t="s">
        <v>818</v>
      </c>
      <c r="K183" s="6" t="s">
        <v>819</v>
      </c>
      <c r="L183" s="6" t="s">
        <v>820</v>
      </c>
      <c r="M183" s="6" t="s">
        <v>832</v>
      </c>
      <c r="N183" s="12" t="s">
        <v>822</v>
      </c>
      <c r="O183" s="6" t="s">
        <v>823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1726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1727</v>
      </c>
      <c r="F184" s="11" t="s">
        <v>1728</v>
      </c>
      <c r="G184" s="6" t="s">
        <v>1210</v>
      </c>
      <c r="H184" s="6" t="s">
        <v>1674</v>
      </c>
      <c r="I184" s="6" t="s">
        <v>818</v>
      </c>
      <c r="J184" s="6" t="s">
        <v>818</v>
      </c>
      <c r="K184" s="6" t="s">
        <v>819</v>
      </c>
      <c r="L184" s="6" t="s">
        <v>845</v>
      </c>
      <c r="M184" s="6" t="s">
        <v>853</v>
      </c>
      <c r="N184" s="12" t="s">
        <v>822</v>
      </c>
      <c r="O184" s="6" t="s">
        <v>823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1729</v>
      </c>
      <c r="B185" s="6" t="s">
        <v>301</v>
      </c>
      <c r="C185" s="6" t="s">
        <v>1730</v>
      </c>
      <c r="D185" s="6" t="str">
        <f aca="false">IFERROR(INDEX(Mundarija!$D:$D,MATCH(B185,Mundarija!$A:$A,0)),"kod topilmadi")</f>
        <v>17.5. Moyak ichi va tashqarisidagi hosilalar.</v>
      </c>
      <c r="E185" s="6" t="s">
        <v>1731</v>
      </c>
      <c r="F185" s="11" t="s">
        <v>1732</v>
      </c>
      <c r="G185" s="6" t="s">
        <v>1200</v>
      </c>
      <c r="H185" s="6" t="s">
        <v>901</v>
      </c>
      <c r="I185" s="6" t="s">
        <v>818</v>
      </c>
      <c r="J185" s="6" t="s">
        <v>818</v>
      </c>
      <c r="K185" s="6" t="s">
        <v>819</v>
      </c>
      <c r="L185" s="6" t="s">
        <v>845</v>
      </c>
      <c r="M185" s="6" t="s">
        <v>903</v>
      </c>
      <c r="N185" s="12" t="s">
        <v>822</v>
      </c>
      <c r="O185" s="6" t="s">
        <v>823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1733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1734</v>
      </c>
      <c r="F186" s="11" t="s">
        <v>1735</v>
      </c>
      <c r="G186" s="6" t="s">
        <v>1210</v>
      </c>
      <c r="H186" s="6" t="s">
        <v>1674</v>
      </c>
      <c r="I186" s="6" t="s">
        <v>818</v>
      </c>
      <c r="J186" s="6" t="s">
        <v>818</v>
      </c>
      <c r="K186" s="6" t="s">
        <v>819</v>
      </c>
      <c r="L186" s="6" t="s">
        <v>845</v>
      </c>
      <c r="M186" s="6" t="s">
        <v>1654</v>
      </c>
      <c r="N186" s="12" t="s">
        <v>822</v>
      </c>
      <c r="O186" s="6" t="s">
        <v>823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1736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1737</v>
      </c>
      <c r="F187" s="11" t="s">
        <v>1738</v>
      </c>
      <c r="G187" s="6" t="s">
        <v>1739</v>
      </c>
      <c r="H187" s="6" t="s">
        <v>1740</v>
      </c>
      <c r="I187" s="6" t="s">
        <v>818</v>
      </c>
      <c r="J187" s="6" t="s">
        <v>818</v>
      </c>
      <c r="K187" s="6" t="s">
        <v>819</v>
      </c>
      <c r="L187" s="6" t="s">
        <v>845</v>
      </c>
      <c r="M187" s="6" t="s">
        <v>1654</v>
      </c>
      <c r="N187" s="12" t="s">
        <v>822</v>
      </c>
      <c r="O187" s="6" t="s">
        <v>823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1741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1742</v>
      </c>
      <c r="F188" s="11" t="s">
        <v>1743</v>
      </c>
      <c r="G188" s="6" t="s">
        <v>1744</v>
      </c>
      <c r="H188" s="6" t="s">
        <v>1745</v>
      </c>
      <c r="I188" s="6" t="s">
        <v>818</v>
      </c>
      <c r="J188" s="6" t="s">
        <v>818</v>
      </c>
      <c r="K188" s="6" t="s">
        <v>819</v>
      </c>
      <c r="L188" s="6" t="s">
        <v>845</v>
      </c>
      <c r="M188" s="6" t="s">
        <v>1654</v>
      </c>
      <c r="N188" s="12" t="s">
        <v>822</v>
      </c>
      <c r="O188" s="6" t="s">
        <v>823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1746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1747</v>
      </c>
      <c r="F189" s="11" t="s">
        <v>1748</v>
      </c>
      <c r="G189" s="6" t="s">
        <v>1259</v>
      </c>
      <c r="H189" s="6" t="s">
        <v>1581</v>
      </c>
      <c r="I189" s="6" t="s">
        <v>818</v>
      </c>
      <c r="J189" s="6" t="s">
        <v>818</v>
      </c>
      <c r="K189" s="6" t="s">
        <v>819</v>
      </c>
      <c r="L189" s="6" t="s">
        <v>820</v>
      </c>
      <c r="M189" s="6" t="s">
        <v>832</v>
      </c>
      <c r="N189" s="12" t="s">
        <v>822</v>
      </c>
      <c r="O189" s="6" t="s">
        <v>823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1749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1750</v>
      </c>
      <c r="F190" s="11" t="s">
        <v>1751</v>
      </c>
      <c r="G190" s="6" t="s">
        <v>1200</v>
      </c>
      <c r="H190" s="6" t="s">
        <v>901</v>
      </c>
      <c r="I190" s="6" t="s">
        <v>818</v>
      </c>
      <c r="J190" s="6" t="s">
        <v>818</v>
      </c>
      <c r="K190" s="6" t="s">
        <v>819</v>
      </c>
      <c r="L190" s="6" t="s">
        <v>845</v>
      </c>
      <c r="M190" s="6" t="s">
        <v>903</v>
      </c>
      <c r="N190" s="12" t="s">
        <v>822</v>
      </c>
      <c r="O190" s="6" t="s">
        <v>823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1752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1753</v>
      </c>
      <c r="F191" s="11" t="s">
        <v>1754</v>
      </c>
      <c r="G191" s="6" t="s">
        <v>1170</v>
      </c>
      <c r="H191" s="6" t="s">
        <v>1712</v>
      </c>
      <c r="I191" s="6" t="s">
        <v>818</v>
      </c>
      <c r="J191" s="6" t="s">
        <v>818</v>
      </c>
      <c r="K191" s="6" t="s">
        <v>819</v>
      </c>
      <c r="L191" s="6" t="s">
        <v>820</v>
      </c>
      <c r="M191" s="6" t="s">
        <v>832</v>
      </c>
      <c r="N191" s="12" t="s">
        <v>822</v>
      </c>
      <c r="O191" s="6" t="s">
        <v>823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1755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1756</v>
      </c>
      <c r="F192" s="11" t="s">
        <v>1757</v>
      </c>
      <c r="G192" s="6" t="s">
        <v>1277</v>
      </c>
      <c r="H192" s="6" t="s">
        <v>1758</v>
      </c>
      <c r="I192" s="6" t="s">
        <v>818</v>
      </c>
      <c r="J192" s="6" t="s">
        <v>818</v>
      </c>
      <c r="K192" s="6" t="s">
        <v>819</v>
      </c>
      <c r="L192" s="6" t="s">
        <v>1689</v>
      </c>
      <c r="M192" s="6" t="s">
        <v>853</v>
      </c>
      <c r="N192" s="12" t="s">
        <v>822</v>
      </c>
      <c r="O192" s="6" t="s">
        <v>823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1759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1760</v>
      </c>
      <c r="F193" s="11" t="s">
        <v>1761</v>
      </c>
      <c r="G193" s="6" t="s">
        <v>1762</v>
      </c>
      <c r="H193" s="6" t="s">
        <v>1763</v>
      </c>
      <c r="I193" s="6" t="s">
        <v>1764</v>
      </c>
      <c r="J193" s="6" t="s">
        <v>818</v>
      </c>
      <c r="K193" s="6" t="s">
        <v>819</v>
      </c>
      <c r="L193" s="6" t="s">
        <v>1689</v>
      </c>
      <c r="M193" s="6" t="s">
        <v>832</v>
      </c>
      <c r="N193" s="12" t="s">
        <v>822</v>
      </c>
      <c r="O193" s="6" t="s">
        <v>823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1765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1766</v>
      </c>
      <c r="F194" s="11" t="s">
        <v>1767</v>
      </c>
      <c r="G194" s="6" t="s">
        <v>1170</v>
      </c>
      <c r="H194" s="6" t="s">
        <v>1712</v>
      </c>
      <c r="I194" s="6" t="s">
        <v>818</v>
      </c>
      <c r="J194" s="6" t="s">
        <v>818</v>
      </c>
      <c r="K194" s="6" t="s">
        <v>819</v>
      </c>
      <c r="L194" s="6" t="s">
        <v>820</v>
      </c>
      <c r="M194" s="6" t="s">
        <v>853</v>
      </c>
      <c r="N194" s="12" t="s">
        <v>822</v>
      </c>
      <c r="O194" s="6" t="s">
        <v>823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1768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1769</v>
      </c>
      <c r="F195" s="11" t="s">
        <v>1770</v>
      </c>
      <c r="G195" s="6" t="s">
        <v>1062</v>
      </c>
      <c r="H195" s="6" t="s">
        <v>1771</v>
      </c>
      <c r="I195" s="6" t="s">
        <v>818</v>
      </c>
      <c r="J195" s="6" t="s">
        <v>818</v>
      </c>
      <c r="K195" s="6" t="s">
        <v>819</v>
      </c>
      <c r="L195" s="6" t="s">
        <v>820</v>
      </c>
      <c r="M195" s="6" t="s">
        <v>832</v>
      </c>
      <c r="N195" s="12" t="s">
        <v>822</v>
      </c>
      <c r="O195" s="6" t="s">
        <v>823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1772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1773</v>
      </c>
      <c r="F196" s="11" t="s">
        <v>1774</v>
      </c>
      <c r="G196" s="6" t="s">
        <v>1775</v>
      </c>
      <c r="H196" s="6" t="s">
        <v>851</v>
      </c>
      <c r="I196" s="6" t="s">
        <v>818</v>
      </c>
      <c r="J196" s="6" t="s">
        <v>818</v>
      </c>
      <c r="K196" s="6" t="s">
        <v>819</v>
      </c>
      <c r="L196" s="6" t="s">
        <v>820</v>
      </c>
      <c r="M196" s="6" t="s">
        <v>1654</v>
      </c>
      <c r="N196" s="12" t="s">
        <v>822</v>
      </c>
      <c r="O196" s="6" t="s">
        <v>823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1776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1777</v>
      </c>
      <c r="F197" s="11" t="s">
        <v>1778</v>
      </c>
      <c r="G197" s="6" t="s">
        <v>1779</v>
      </c>
      <c r="H197" s="6" t="s">
        <v>1667</v>
      </c>
      <c r="I197" s="6" t="s">
        <v>818</v>
      </c>
      <c r="J197" s="6" t="s">
        <v>818</v>
      </c>
      <c r="K197" s="6" t="s">
        <v>819</v>
      </c>
      <c r="L197" s="6" t="s">
        <v>820</v>
      </c>
      <c r="M197" s="6" t="s">
        <v>853</v>
      </c>
      <c r="N197" s="12" t="s">
        <v>822</v>
      </c>
      <c r="O197" s="6" t="s">
        <v>823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1780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1781</v>
      </c>
      <c r="F198" s="11" t="s">
        <v>1782</v>
      </c>
      <c r="G198" s="6" t="s">
        <v>1164</v>
      </c>
      <c r="H198" s="6" t="s">
        <v>1783</v>
      </c>
      <c r="I198" s="6" t="s">
        <v>818</v>
      </c>
      <c r="J198" s="6" t="s">
        <v>818</v>
      </c>
      <c r="K198" s="6" t="s">
        <v>819</v>
      </c>
      <c r="L198" s="6" t="s">
        <v>820</v>
      </c>
      <c r="M198" s="6" t="s">
        <v>853</v>
      </c>
      <c r="N198" s="12" t="s">
        <v>822</v>
      </c>
      <c r="O198" s="6" t="s">
        <v>823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1784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1785</v>
      </c>
      <c r="F199" s="11" t="s">
        <v>1786</v>
      </c>
      <c r="G199" s="6" t="s">
        <v>1200</v>
      </c>
      <c r="H199" s="6" t="s">
        <v>901</v>
      </c>
      <c r="I199" s="6" t="s">
        <v>818</v>
      </c>
      <c r="J199" s="6" t="s">
        <v>818</v>
      </c>
      <c r="K199" s="6" t="s">
        <v>819</v>
      </c>
      <c r="L199" s="6" t="s">
        <v>820</v>
      </c>
      <c r="M199" s="6" t="s">
        <v>832</v>
      </c>
      <c r="N199" s="12" t="s">
        <v>822</v>
      </c>
      <c r="O199" s="6" t="s">
        <v>823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1787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1788</v>
      </c>
      <c r="F200" s="11" t="s">
        <v>1789</v>
      </c>
      <c r="G200" s="6" t="s">
        <v>850</v>
      </c>
      <c r="H200" s="6" t="s">
        <v>1790</v>
      </c>
      <c r="I200" s="6" t="s">
        <v>818</v>
      </c>
      <c r="J200" s="6" t="s">
        <v>818</v>
      </c>
      <c r="K200" s="6" t="s">
        <v>819</v>
      </c>
      <c r="L200" s="6" t="s">
        <v>820</v>
      </c>
      <c r="M200" s="6" t="s">
        <v>853</v>
      </c>
      <c r="N200" s="12" t="s">
        <v>822</v>
      </c>
      <c r="O200" s="6" t="s">
        <v>823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1791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1792</v>
      </c>
      <c r="F201" s="11" t="s">
        <v>1793</v>
      </c>
      <c r="G201" s="6" t="s">
        <v>1170</v>
      </c>
      <c r="H201" s="6" t="s">
        <v>1712</v>
      </c>
      <c r="I201" s="6" t="s">
        <v>818</v>
      </c>
      <c r="J201" s="6" t="s">
        <v>818</v>
      </c>
      <c r="K201" s="6" t="s">
        <v>819</v>
      </c>
      <c r="L201" s="6" t="s">
        <v>845</v>
      </c>
      <c r="M201" s="6" t="s">
        <v>853</v>
      </c>
      <c r="N201" s="12" t="s">
        <v>822</v>
      </c>
      <c r="O201" s="6" t="s">
        <v>823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1794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1795</v>
      </c>
      <c r="F202" s="11" t="s">
        <v>1796</v>
      </c>
      <c r="G202" s="6" t="s">
        <v>1186</v>
      </c>
      <c r="H202" s="6" t="s">
        <v>1797</v>
      </c>
      <c r="I202" s="6" t="s">
        <v>818</v>
      </c>
      <c r="J202" s="6" t="s">
        <v>818</v>
      </c>
      <c r="K202" s="6" t="s">
        <v>819</v>
      </c>
      <c r="L202" s="6" t="s">
        <v>845</v>
      </c>
      <c r="M202" s="6" t="s">
        <v>853</v>
      </c>
      <c r="N202" s="12" t="s">
        <v>822</v>
      </c>
      <c r="O202" s="6" t="s">
        <v>823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1798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1799</v>
      </c>
      <c r="F203" s="11" t="s">
        <v>1800</v>
      </c>
      <c r="G203" s="6" t="s">
        <v>1210</v>
      </c>
      <c r="H203" s="6" t="s">
        <v>1674</v>
      </c>
      <c r="I203" s="6" t="s">
        <v>818</v>
      </c>
      <c r="J203" s="6" t="s">
        <v>818</v>
      </c>
      <c r="K203" s="6" t="s">
        <v>819</v>
      </c>
      <c r="L203" s="6" t="s">
        <v>845</v>
      </c>
      <c r="M203" s="6" t="s">
        <v>1654</v>
      </c>
      <c r="N203" s="12" t="s">
        <v>822</v>
      </c>
      <c r="O203" s="6" t="s">
        <v>823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1801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1802</v>
      </c>
      <c r="F204" s="11" t="s">
        <v>1803</v>
      </c>
      <c r="G204" s="6" t="s">
        <v>1804</v>
      </c>
      <c r="H204" s="6" t="s">
        <v>851</v>
      </c>
      <c r="I204" s="6" t="s">
        <v>818</v>
      </c>
      <c r="J204" s="6" t="s">
        <v>818</v>
      </c>
      <c r="K204" s="6" t="s">
        <v>819</v>
      </c>
      <c r="L204" s="6" t="s">
        <v>845</v>
      </c>
      <c r="M204" s="6" t="s">
        <v>1654</v>
      </c>
      <c r="N204" s="12" t="s">
        <v>822</v>
      </c>
      <c r="O204" s="6" t="s">
        <v>823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1805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1806</v>
      </c>
      <c r="F205" s="11" t="s">
        <v>1807</v>
      </c>
      <c r="G205" s="6" t="s">
        <v>1687</v>
      </c>
      <c r="H205" s="6" t="s">
        <v>1688</v>
      </c>
      <c r="I205" s="6" t="s">
        <v>818</v>
      </c>
      <c r="J205" s="6" t="s">
        <v>818</v>
      </c>
      <c r="K205" s="6" t="s">
        <v>819</v>
      </c>
      <c r="L205" s="6" t="s">
        <v>845</v>
      </c>
      <c r="M205" s="6" t="s">
        <v>853</v>
      </c>
      <c r="N205" s="12" t="s">
        <v>822</v>
      </c>
      <c r="O205" s="6" t="s">
        <v>823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1808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1809</v>
      </c>
      <c r="F206" s="11" t="s">
        <v>1810</v>
      </c>
      <c r="G206" s="6" t="s">
        <v>1569</v>
      </c>
      <c r="H206" s="6" t="s">
        <v>1121</v>
      </c>
      <c r="I206" s="6" t="s">
        <v>818</v>
      </c>
      <c r="J206" s="6" t="s">
        <v>818</v>
      </c>
      <c r="K206" s="6" t="s">
        <v>819</v>
      </c>
      <c r="L206" s="6" t="s">
        <v>845</v>
      </c>
      <c r="M206" s="6" t="s">
        <v>853</v>
      </c>
      <c r="N206" s="12" t="s">
        <v>822</v>
      </c>
      <c r="O206" s="6" t="s">
        <v>823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1811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1812</v>
      </c>
      <c r="F207" s="11" t="s">
        <v>1813</v>
      </c>
      <c r="G207" s="6" t="s">
        <v>1814</v>
      </c>
      <c r="H207" s="6" t="s">
        <v>1815</v>
      </c>
      <c r="I207" s="6" t="s">
        <v>818</v>
      </c>
      <c r="J207" s="6" t="s">
        <v>818</v>
      </c>
      <c r="K207" s="6" t="s">
        <v>819</v>
      </c>
      <c r="L207" s="6" t="s">
        <v>845</v>
      </c>
      <c r="M207" s="6" t="s">
        <v>832</v>
      </c>
      <c r="N207" s="12" t="s">
        <v>822</v>
      </c>
      <c r="O207" s="6" t="s">
        <v>823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1816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1817</v>
      </c>
      <c r="F208" s="11" t="s">
        <v>1818</v>
      </c>
      <c r="G208" s="6" t="s">
        <v>1819</v>
      </c>
      <c r="H208" s="6" t="s">
        <v>1820</v>
      </c>
      <c r="I208" s="6" t="s">
        <v>818</v>
      </c>
      <c r="J208" s="6" t="s">
        <v>818</v>
      </c>
      <c r="K208" s="6" t="s">
        <v>819</v>
      </c>
      <c r="L208" s="6" t="s">
        <v>845</v>
      </c>
      <c r="M208" s="6" t="s">
        <v>832</v>
      </c>
      <c r="N208" s="12" t="s">
        <v>822</v>
      </c>
      <c r="O208" s="6" t="s">
        <v>823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1821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1822</v>
      </c>
      <c r="F209" s="11" t="s">
        <v>1823</v>
      </c>
      <c r="G209" s="6" t="s">
        <v>1824</v>
      </c>
      <c r="H209" s="6" t="s">
        <v>1825</v>
      </c>
      <c r="I209" s="6" t="s">
        <v>818</v>
      </c>
      <c r="J209" s="6" t="s">
        <v>818</v>
      </c>
      <c r="K209" s="6" t="s">
        <v>819</v>
      </c>
      <c r="L209" s="6" t="s">
        <v>1689</v>
      </c>
      <c r="M209" s="6" t="s">
        <v>1654</v>
      </c>
      <c r="N209" s="12" t="s">
        <v>822</v>
      </c>
      <c r="O209" s="6" t="s">
        <v>823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1826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1827</v>
      </c>
      <c r="F210" s="11" t="s">
        <v>1828</v>
      </c>
      <c r="G210" s="6" t="s">
        <v>1829</v>
      </c>
      <c r="H210" s="6" t="s">
        <v>1830</v>
      </c>
      <c r="I210" s="6" t="s">
        <v>818</v>
      </c>
      <c r="J210" s="6" t="s">
        <v>818</v>
      </c>
      <c r="K210" s="6" t="s">
        <v>819</v>
      </c>
      <c r="L210" s="6" t="s">
        <v>1689</v>
      </c>
      <c r="M210" s="6" t="s">
        <v>853</v>
      </c>
      <c r="N210" s="12" t="s">
        <v>822</v>
      </c>
      <c r="O210" s="6" t="s">
        <v>823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1831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1832</v>
      </c>
      <c r="F211" s="11" t="s">
        <v>1833</v>
      </c>
      <c r="G211" s="6" t="s">
        <v>1814</v>
      </c>
      <c r="H211" s="6" t="s">
        <v>1834</v>
      </c>
      <c r="I211" s="6" t="s">
        <v>818</v>
      </c>
      <c r="J211" s="6" t="s">
        <v>818</v>
      </c>
      <c r="K211" s="6" t="s">
        <v>819</v>
      </c>
      <c r="L211" s="6" t="s">
        <v>1689</v>
      </c>
      <c r="M211" s="6" t="s">
        <v>853</v>
      </c>
      <c r="N211" s="12" t="s">
        <v>822</v>
      </c>
      <c r="O211" s="6" t="s">
        <v>823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1835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1836</v>
      </c>
      <c r="F212" s="11" t="s">
        <v>1837</v>
      </c>
      <c r="G212" s="6" t="s">
        <v>1687</v>
      </c>
      <c r="H212" s="6" t="s">
        <v>1688</v>
      </c>
      <c r="I212" s="6" t="s">
        <v>818</v>
      </c>
      <c r="J212" s="6" t="s">
        <v>818</v>
      </c>
      <c r="K212" s="6" t="s">
        <v>819</v>
      </c>
      <c r="L212" s="6" t="s">
        <v>1689</v>
      </c>
      <c r="M212" s="6" t="s">
        <v>853</v>
      </c>
      <c r="N212" s="12" t="s">
        <v>822</v>
      </c>
      <c r="O212" s="6" t="s">
        <v>823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1838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1839</v>
      </c>
      <c r="F213" s="11" t="s">
        <v>1840</v>
      </c>
      <c r="G213" s="6" t="s">
        <v>1590</v>
      </c>
      <c r="H213" s="6" t="s">
        <v>1591</v>
      </c>
      <c r="I213" s="6" t="s">
        <v>818</v>
      </c>
      <c r="J213" s="6" t="s">
        <v>818</v>
      </c>
      <c r="K213" s="6" t="s">
        <v>819</v>
      </c>
      <c r="L213" s="6" t="s">
        <v>820</v>
      </c>
      <c r="M213" s="6" t="s">
        <v>853</v>
      </c>
      <c r="N213" s="12" t="s">
        <v>822</v>
      </c>
      <c r="O213" s="6" t="s">
        <v>823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1841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1842</v>
      </c>
      <c r="F214" s="11" t="s">
        <v>1843</v>
      </c>
      <c r="G214" s="6" t="s">
        <v>1844</v>
      </c>
      <c r="H214" s="6" t="s">
        <v>851</v>
      </c>
      <c r="I214" s="6" t="s">
        <v>818</v>
      </c>
      <c r="J214" s="6" t="s">
        <v>818</v>
      </c>
      <c r="K214" s="6" t="s">
        <v>819</v>
      </c>
      <c r="L214" s="6" t="s">
        <v>845</v>
      </c>
      <c r="M214" s="6" t="s">
        <v>832</v>
      </c>
      <c r="N214" s="12" t="s">
        <v>822</v>
      </c>
      <c r="O214" s="6" t="s">
        <v>823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1845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1846</v>
      </c>
      <c r="F215" s="11" t="s">
        <v>1847</v>
      </c>
      <c r="G215" s="6" t="s">
        <v>1200</v>
      </c>
      <c r="H215" s="6" t="s">
        <v>901</v>
      </c>
      <c r="I215" s="6" t="s">
        <v>818</v>
      </c>
      <c r="J215" s="6" t="s">
        <v>818</v>
      </c>
      <c r="K215" s="6" t="s">
        <v>819</v>
      </c>
      <c r="L215" s="6" t="s">
        <v>845</v>
      </c>
      <c r="M215" s="6" t="s">
        <v>903</v>
      </c>
      <c r="N215" s="12" t="s">
        <v>822</v>
      </c>
      <c r="O215" s="6" t="s">
        <v>823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1848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1849</v>
      </c>
      <c r="F216" s="11" t="s">
        <v>1850</v>
      </c>
      <c r="G216" s="6" t="s">
        <v>1200</v>
      </c>
      <c r="H216" s="6" t="s">
        <v>901</v>
      </c>
      <c r="I216" s="6" t="s">
        <v>818</v>
      </c>
      <c r="J216" s="6" t="s">
        <v>818</v>
      </c>
      <c r="K216" s="6" t="s">
        <v>819</v>
      </c>
      <c r="L216" s="6" t="s">
        <v>845</v>
      </c>
      <c r="M216" s="6" t="s">
        <v>903</v>
      </c>
      <c r="N216" s="12" t="s">
        <v>822</v>
      </c>
      <c r="O216" s="6" t="s">
        <v>823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1851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1852</v>
      </c>
      <c r="F217" s="11" t="s">
        <v>1853</v>
      </c>
      <c r="G217" s="6" t="s">
        <v>1200</v>
      </c>
      <c r="H217" s="6" t="s">
        <v>901</v>
      </c>
      <c r="I217" s="6" t="s">
        <v>818</v>
      </c>
      <c r="J217" s="6" t="s">
        <v>818</v>
      </c>
      <c r="K217" s="6" t="s">
        <v>819</v>
      </c>
      <c r="L217" s="6" t="s">
        <v>845</v>
      </c>
      <c r="M217" s="6" t="s">
        <v>903</v>
      </c>
      <c r="N217" s="12" t="s">
        <v>822</v>
      </c>
      <c r="O217" s="6" t="s">
        <v>823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1854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1855</v>
      </c>
      <c r="F218" s="11" t="s">
        <v>1856</v>
      </c>
      <c r="G218" s="6" t="s">
        <v>1200</v>
      </c>
      <c r="H218" s="6" t="s">
        <v>901</v>
      </c>
      <c r="I218" s="6" t="s">
        <v>818</v>
      </c>
      <c r="J218" s="6" t="s">
        <v>818</v>
      </c>
      <c r="K218" s="6" t="s">
        <v>819</v>
      </c>
      <c r="L218" s="6" t="s">
        <v>845</v>
      </c>
      <c r="M218" s="6" t="s">
        <v>903</v>
      </c>
      <c r="N218" s="12" t="s">
        <v>822</v>
      </c>
      <c r="O218" s="6" t="s">
        <v>823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1857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1858</v>
      </c>
      <c r="F219" s="11" t="s">
        <v>1859</v>
      </c>
      <c r="G219" s="6" t="s">
        <v>1200</v>
      </c>
      <c r="H219" s="6" t="s">
        <v>901</v>
      </c>
      <c r="I219" s="6" t="s">
        <v>818</v>
      </c>
      <c r="J219" s="6" t="s">
        <v>818</v>
      </c>
      <c r="K219" s="6" t="s">
        <v>819</v>
      </c>
      <c r="L219" s="6" t="s">
        <v>845</v>
      </c>
      <c r="M219" s="6" t="s">
        <v>903</v>
      </c>
      <c r="N219" s="12" t="s">
        <v>822</v>
      </c>
      <c r="O219" s="6" t="s">
        <v>823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1860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1861</v>
      </c>
      <c r="F220" s="11" t="s">
        <v>1862</v>
      </c>
      <c r="G220" s="6" t="s">
        <v>1170</v>
      </c>
      <c r="H220" s="6" t="s">
        <v>1712</v>
      </c>
      <c r="I220" s="6" t="s">
        <v>818</v>
      </c>
      <c r="J220" s="6" t="s">
        <v>818</v>
      </c>
      <c r="K220" s="6" t="s">
        <v>819</v>
      </c>
      <c r="L220" s="6" t="s">
        <v>820</v>
      </c>
      <c r="M220" s="6" t="s">
        <v>853</v>
      </c>
      <c r="N220" s="12" t="s">
        <v>822</v>
      </c>
      <c r="O220" s="6" t="s">
        <v>823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1863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1864</v>
      </c>
      <c r="F221" s="11" t="s">
        <v>1865</v>
      </c>
      <c r="G221" s="6" t="s">
        <v>1819</v>
      </c>
      <c r="H221" s="6" t="s">
        <v>1820</v>
      </c>
      <c r="I221" s="6" t="s">
        <v>818</v>
      </c>
      <c r="J221" s="6" t="s">
        <v>818</v>
      </c>
      <c r="K221" s="6" t="s">
        <v>819</v>
      </c>
      <c r="L221" s="6" t="s">
        <v>845</v>
      </c>
      <c r="M221" s="6" t="s">
        <v>832</v>
      </c>
      <c r="N221" s="12" t="s">
        <v>822</v>
      </c>
      <c r="O221" s="6" t="s">
        <v>823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1866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1867</v>
      </c>
      <c r="F222" s="11" t="s">
        <v>1868</v>
      </c>
      <c r="G222" s="6" t="s">
        <v>1869</v>
      </c>
      <c r="H222" s="6" t="s">
        <v>851</v>
      </c>
      <c r="I222" s="6" t="s">
        <v>818</v>
      </c>
      <c r="J222" s="6" t="s">
        <v>818</v>
      </c>
      <c r="K222" s="6" t="s">
        <v>819</v>
      </c>
      <c r="L222" s="6" t="s">
        <v>845</v>
      </c>
      <c r="M222" s="6" t="s">
        <v>853</v>
      </c>
      <c r="N222" s="12" t="s">
        <v>822</v>
      </c>
      <c r="O222" s="6" t="s">
        <v>823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1870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1871</v>
      </c>
      <c r="F223" s="11" t="s">
        <v>1872</v>
      </c>
      <c r="G223" s="6" t="s">
        <v>1873</v>
      </c>
      <c r="H223" s="6" t="s">
        <v>1874</v>
      </c>
      <c r="I223" s="6" t="s">
        <v>818</v>
      </c>
      <c r="J223" s="6" t="s">
        <v>818</v>
      </c>
      <c r="K223" s="6" t="s">
        <v>819</v>
      </c>
      <c r="L223" s="6" t="s">
        <v>820</v>
      </c>
      <c r="M223" s="6" t="s">
        <v>853</v>
      </c>
      <c r="N223" s="12" t="s">
        <v>822</v>
      </c>
      <c r="O223" s="6" t="s">
        <v>823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1875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1876</v>
      </c>
      <c r="F224" s="11" t="s">
        <v>1877</v>
      </c>
      <c r="G224" s="6" t="s">
        <v>1687</v>
      </c>
      <c r="H224" s="6" t="s">
        <v>1688</v>
      </c>
      <c r="I224" s="6" t="s">
        <v>818</v>
      </c>
      <c r="J224" s="6" t="s">
        <v>818</v>
      </c>
      <c r="K224" s="6" t="s">
        <v>819</v>
      </c>
      <c r="L224" s="6" t="s">
        <v>1689</v>
      </c>
      <c r="M224" s="6" t="s">
        <v>853</v>
      </c>
      <c r="N224" s="12" t="s">
        <v>822</v>
      </c>
      <c r="O224" s="6" t="s">
        <v>823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1878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1879</v>
      </c>
      <c r="F225" s="11" t="s">
        <v>1880</v>
      </c>
      <c r="G225" s="6" t="s">
        <v>1881</v>
      </c>
      <c r="H225" s="6" t="s">
        <v>1882</v>
      </c>
      <c r="I225" s="6" t="s">
        <v>818</v>
      </c>
      <c r="J225" s="6" t="s">
        <v>818</v>
      </c>
      <c r="K225" s="6" t="s">
        <v>819</v>
      </c>
      <c r="L225" s="6" t="s">
        <v>1689</v>
      </c>
      <c r="M225" s="6" t="s">
        <v>853</v>
      </c>
      <c r="N225" s="12" t="s">
        <v>822</v>
      </c>
      <c r="O225" s="6" t="s">
        <v>823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1883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1884</v>
      </c>
      <c r="F226" s="11" t="s">
        <v>1885</v>
      </c>
      <c r="G226" s="6" t="s">
        <v>1200</v>
      </c>
      <c r="H226" s="6" t="s">
        <v>901</v>
      </c>
      <c r="I226" s="6" t="s">
        <v>818</v>
      </c>
      <c r="J226" s="6" t="s">
        <v>818</v>
      </c>
      <c r="K226" s="6" t="s">
        <v>819</v>
      </c>
      <c r="L226" s="6" t="s">
        <v>845</v>
      </c>
      <c r="M226" s="6" t="s">
        <v>903</v>
      </c>
      <c r="N226" s="12" t="s">
        <v>822</v>
      </c>
      <c r="O226" s="6" t="s">
        <v>823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1886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1887</v>
      </c>
      <c r="F227" s="11" t="s">
        <v>1888</v>
      </c>
      <c r="G227" s="6" t="s">
        <v>1829</v>
      </c>
      <c r="H227" s="6" t="s">
        <v>1830</v>
      </c>
      <c r="I227" s="6" t="s">
        <v>818</v>
      </c>
      <c r="J227" s="6" t="s">
        <v>818</v>
      </c>
      <c r="K227" s="6" t="s">
        <v>819</v>
      </c>
      <c r="L227" s="6" t="s">
        <v>1689</v>
      </c>
      <c r="M227" s="6" t="s">
        <v>832</v>
      </c>
      <c r="N227" s="12" t="s">
        <v>822</v>
      </c>
      <c r="O227" s="6" t="s">
        <v>823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1889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1890</v>
      </c>
      <c r="F228" s="11" t="s">
        <v>1891</v>
      </c>
      <c r="G228" s="6" t="s">
        <v>1200</v>
      </c>
      <c r="H228" s="6" t="s">
        <v>901</v>
      </c>
      <c r="I228" s="6" t="s">
        <v>818</v>
      </c>
      <c r="J228" s="6" t="s">
        <v>818</v>
      </c>
      <c r="K228" s="6" t="s">
        <v>819</v>
      </c>
      <c r="L228" s="6" t="s">
        <v>845</v>
      </c>
      <c r="M228" s="6" t="s">
        <v>832</v>
      </c>
      <c r="N228" s="12" t="s">
        <v>822</v>
      </c>
      <c r="O228" s="6" t="s">
        <v>823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1892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1893</v>
      </c>
      <c r="F229" s="11" t="s">
        <v>1894</v>
      </c>
      <c r="G229" s="6" t="s">
        <v>1200</v>
      </c>
      <c r="H229" s="6" t="s">
        <v>901</v>
      </c>
      <c r="I229" s="6" t="s">
        <v>818</v>
      </c>
      <c r="J229" s="6" t="s">
        <v>818</v>
      </c>
      <c r="K229" s="6" t="s">
        <v>819</v>
      </c>
      <c r="L229" s="6" t="s">
        <v>845</v>
      </c>
      <c r="M229" s="6" t="s">
        <v>903</v>
      </c>
      <c r="N229" s="12" t="s">
        <v>822</v>
      </c>
      <c r="O229" s="6" t="s">
        <v>823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1895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1896</v>
      </c>
      <c r="F230" s="11" t="s">
        <v>1897</v>
      </c>
      <c r="G230" s="6" t="s">
        <v>1200</v>
      </c>
      <c r="H230" s="6" t="s">
        <v>901</v>
      </c>
      <c r="I230" s="6" t="s">
        <v>818</v>
      </c>
      <c r="J230" s="6" t="s">
        <v>818</v>
      </c>
      <c r="K230" s="6" t="s">
        <v>819</v>
      </c>
      <c r="L230" s="6" t="s">
        <v>845</v>
      </c>
      <c r="M230" s="6" t="s">
        <v>903</v>
      </c>
      <c r="N230" s="12" t="s">
        <v>822</v>
      </c>
      <c r="O230" s="6" t="s">
        <v>823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1898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1899</v>
      </c>
      <c r="F231" s="11" t="s">
        <v>1900</v>
      </c>
      <c r="G231" s="6" t="s">
        <v>1779</v>
      </c>
      <c r="H231" s="6" t="s">
        <v>1667</v>
      </c>
      <c r="I231" s="6" t="s">
        <v>818</v>
      </c>
      <c r="J231" s="6" t="s">
        <v>818</v>
      </c>
      <c r="K231" s="6" t="s">
        <v>819</v>
      </c>
      <c r="L231" s="6" t="s">
        <v>845</v>
      </c>
      <c r="M231" s="6" t="s">
        <v>853</v>
      </c>
      <c r="N231" s="12" t="s">
        <v>822</v>
      </c>
      <c r="O231" s="6" t="s">
        <v>823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1901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1902</v>
      </c>
      <c r="F232" s="11" t="s">
        <v>1903</v>
      </c>
      <c r="G232" s="6" t="s">
        <v>1200</v>
      </c>
      <c r="H232" s="6" t="s">
        <v>901</v>
      </c>
      <c r="I232" s="6" t="s">
        <v>818</v>
      </c>
      <c r="J232" s="6" t="s">
        <v>818</v>
      </c>
      <c r="K232" s="6" t="s">
        <v>819</v>
      </c>
      <c r="L232" s="6" t="s">
        <v>845</v>
      </c>
      <c r="M232" s="6" t="s">
        <v>903</v>
      </c>
      <c r="N232" s="12" t="s">
        <v>822</v>
      </c>
      <c r="O232" s="6" t="s">
        <v>823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1904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1905</v>
      </c>
      <c r="F233" s="11" t="s">
        <v>1906</v>
      </c>
      <c r="G233" s="6" t="s">
        <v>1819</v>
      </c>
      <c r="H233" s="6" t="s">
        <v>1820</v>
      </c>
      <c r="I233" s="6" t="s">
        <v>818</v>
      </c>
      <c r="J233" s="6" t="s">
        <v>818</v>
      </c>
      <c r="K233" s="6" t="s">
        <v>819</v>
      </c>
      <c r="L233" s="6" t="s">
        <v>845</v>
      </c>
      <c r="M233" s="6" t="s">
        <v>853</v>
      </c>
      <c r="N233" s="12" t="s">
        <v>822</v>
      </c>
      <c r="O233" s="6" t="s">
        <v>823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1907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1908</v>
      </c>
      <c r="F234" s="11" t="s">
        <v>1909</v>
      </c>
      <c r="G234" s="6" t="s">
        <v>1910</v>
      </c>
      <c r="H234" s="6" t="s">
        <v>1911</v>
      </c>
      <c r="I234" s="6" t="s">
        <v>818</v>
      </c>
      <c r="J234" s="6" t="s">
        <v>818</v>
      </c>
      <c r="K234" s="6" t="s">
        <v>819</v>
      </c>
      <c r="L234" s="6" t="s">
        <v>845</v>
      </c>
      <c r="M234" s="6" t="s">
        <v>853</v>
      </c>
      <c r="N234" s="12" t="s">
        <v>822</v>
      </c>
      <c r="O234" s="6" t="s">
        <v>823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1912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1913</v>
      </c>
      <c r="F235" s="11" t="s">
        <v>1914</v>
      </c>
      <c r="G235" s="6" t="s">
        <v>1915</v>
      </c>
      <c r="H235" s="6" t="s">
        <v>1916</v>
      </c>
      <c r="I235" s="6" t="s">
        <v>818</v>
      </c>
      <c r="J235" s="6" t="s">
        <v>818</v>
      </c>
      <c r="K235" s="6" t="s">
        <v>819</v>
      </c>
      <c r="L235" s="6" t="s">
        <v>1689</v>
      </c>
      <c r="M235" s="6" t="s">
        <v>853</v>
      </c>
      <c r="N235" s="12" t="s">
        <v>822</v>
      </c>
      <c r="O235" s="6" t="s">
        <v>823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1917</v>
      </c>
      <c r="B236" s="6" t="s">
        <v>374</v>
      </c>
      <c r="C236" s="6" t="s">
        <v>1918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1919</v>
      </c>
      <c r="F236" s="11" t="s">
        <v>1920</v>
      </c>
      <c r="G236" s="6" t="s">
        <v>1170</v>
      </c>
      <c r="H236" s="6" t="s">
        <v>1712</v>
      </c>
      <c r="I236" s="6" t="s">
        <v>818</v>
      </c>
      <c r="J236" s="6" t="s">
        <v>818</v>
      </c>
      <c r="K236" s="6" t="s">
        <v>819</v>
      </c>
      <c r="L236" s="6" t="s">
        <v>845</v>
      </c>
      <c r="M236" s="6" t="s">
        <v>853</v>
      </c>
      <c r="N236" s="12" t="s">
        <v>822</v>
      </c>
      <c r="O236" s="6" t="s">
        <v>823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1921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1922</v>
      </c>
      <c r="F237" s="11" t="s">
        <v>1923</v>
      </c>
      <c r="G237" s="6" t="s">
        <v>1445</v>
      </c>
      <c r="H237" s="6" t="s">
        <v>1720</v>
      </c>
      <c r="I237" s="6" t="s">
        <v>818</v>
      </c>
      <c r="J237" s="6" t="s">
        <v>818</v>
      </c>
      <c r="K237" s="6" t="s">
        <v>819</v>
      </c>
      <c r="L237" s="6" t="s">
        <v>845</v>
      </c>
      <c r="M237" s="6" t="s">
        <v>832</v>
      </c>
      <c r="N237" s="12" t="s">
        <v>822</v>
      </c>
      <c r="O237" s="6" t="s">
        <v>823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1924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1925</v>
      </c>
      <c r="F238" s="11" t="s">
        <v>1926</v>
      </c>
      <c r="G238" s="6" t="s">
        <v>1259</v>
      </c>
      <c r="H238" s="6" t="s">
        <v>1581</v>
      </c>
      <c r="I238" s="6" t="s">
        <v>818</v>
      </c>
      <c r="J238" s="6" t="s">
        <v>818</v>
      </c>
      <c r="K238" s="6" t="s">
        <v>819</v>
      </c>
      <c r="L238" s="6" t="s">
        <v>820</v>
      </c>
      <c r="M238" s="6" t="s">
        <v>832</v>
      </c>
      <c r="N238" s="12" t="s">
        <v>822</v>
      </c>
      <c r="O238" s="6" t="s">
        <v>823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1927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1928</v>
      </c>
      <c r="F239" s="11" t="s">
        <v>1929</v>
      </c>
      <c r="G239" s="6" t="s">
        <v>1259</v>
      </c>
      <c r="H239" s="6" t="s">
        <v>1581</v>
      </c>
      <c r="I239" s="6" t="s">
        <v>818</v>
      </c>
      <c r="J239" s="6" t="s">
        <v>818</v>
      </c>
      <c r="K239" s="6" t="s">
        <v>819</v>
      </c>
      <c r="L239" s="6" t="s">
        <v>820</v>
      </c>
      <c r="M239" s="6" t="s">
        <v>832</v>
      </c>
      <c r="N239" s="12" t="s">
        <v>822</v>
      </c>
      <c r="O239" s="6" t="s">
        <v>823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1930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1931</v>
      </c>
      <c r="F240" s="11" t="s">
        <v>1932</v>
      </c>
      <c r="G240" s="6" t="s">
        <v>1933</v>
      </c>
      <c r="H240" s="6" t="s">
        <v>1934</v>
      </c>
      <c r="I240" s="6" t="s">
        <v>818</v>
      </c>
      <c r="J240" s="6" t="s">
        <v>818</v>
      </c>
      <c r="K240" s="6" t="s">
        <v>819</v>
      </c>
      <c r="L240" s="6" t="s">
        <v>820</v>
      </c>
      <c r="M240" s="6" t="s">
        <v>853</v>
      </c>
      <c r="N240" s="12" t="s">
        <v>822</v>
      </c>
      <c r="O240" s="6" t="s">
        <v>823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1935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1936</v>
      </c>
      <c r="F241" s="11" t="s">
        <v>1937</v>
      </c>
      <c r="G241" s="6" t="s">
        <v>1938</v>
      </c>
      <c r="H241" s="6" t="s">
        <v>1939</v>
      </c>
      <c r="I241" s="6" t="s">
        <v>818</v>
      </c>
      <c r="J241" s="6" t="s">
        <v>818</v>
      </c>
      <c r="K241" s="6" t="s">
        <v>819</v>
      </c>
      <c r="L241" s="6" t="s">
        <v>1689</v>
      </c>
      <c r="M241" s="6" t="s">
        <v>853</v>
      </c>
      <c r="N241" s="12" t="s">
        <v>822</v>
      </c>
      <c r="O241" s="6" t="s">
        <v>823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1940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1941</v>
      </c>
      <c r="F242" s="11" t="s">
        <v>1942</v>
      </c>
      <c r="G242" s="6" t="s">
        <v>1943</v>
      </c>
      <c r="H242" s="6" t="s">
        <v>1944</v>
      </c>
      <c r="I242" s="6" t="s">
        <v>818</v>
      </c>
      <c r="J242" s="6" t="s">
        <v>818</v>
      </c>
      <c r="K242" s="6" t="s">
        <v>819</v>
      </c>
      <c r="L242" s="6" t="s">
        <v>845</v>
      </c>
      <c r="M242" s="6" t="s">
        <v>853</v>
      </c>
      <c r="N242" s="12" t="s">
        <v>822</v>
      </c>
      <c r="O242" s="6" t="s">
        <v>823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1945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1946</v>
      </c>
      <c r="F243" s="11" t="s">
        <v>1947</v>
      </c>
      <c r="G243" s="6" t="s">
        <v>1948</v>
      </c>
      <c r="H243" s="6" t="s">
        <v>1949</v>
      </c>
      <c r="I243" s="6" t="s">
        <v>818</v>
      </c>
      <c r="J243" s="6" t="s">
        <v>818</v>
      </c>
      <c r="K243" s="6" t="s">
        <v>819</v>
      </c>
      <c r="L243" s="6" t="s">
        <v>1689</v>
      </c>
      <c r="M243" s="6" t="s">
        <v>853</v>
      </c>
      <c r="N243" s="12" t="s">
        <v>822</v>
      </c>
      <c r="O243" s="6" t="s">
        <v>823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1950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1951</v>
      </c>
      <c r="F244" s="11" t="s">
        <v>1952</v>
      </c>
      <c r="G244" s="6" t="s">
        <v>1953</v>
      </c>
      <c r="H244" s="6" t="s">
        <v>1954</v>
      </c>
      <c r="I244" s="6" t="s">
        <v>818</v>
      </c>
      <c r="J244" s="6" t="s">
        <v>818</v>
      </c>
      <c r="K244" s="6" t="s">
        <v>819</v>
      </c>
      <c r="L244" s="6" t="s">
        <v>1689</v>
      </c>
      <c r="M244" s="6" t="s">
        <v>832</v>
      </c>
      <c r="N244" s="12" t="s">
        <v>822</v>
      </c>
      <c r="O244" s="6" t="s">
        <v>823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1955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1956</v>
      </c>
      <c r="F245" s="11" t="s">
        <v>1957</v>
      </c>
      <c r="G245" s="6" t="s">
        <v>1958</v>
      </c>
      <c r="H245" s="6" t="s">
        <v>1959</v>
      </c>
      <c r="I245" s="6" t="s">
        <v>818</v>
      </c>
      <c r="J245" s="6" t="s">
        <v>818</v>
      </c>
      <c r="K245" s="6" t="s">
        <v>819</v>
      </c>
      <c r="L245" s="6" t="s">
        <v>1689</v>
      </c>
      <c r="M245" s="6" t="s">
        <v>832</v>
      </c>
      <c r="N245" s="12" t="s">
        <v>822</v>
      </c>
      <c r="O245" s="6" t="s">
        <v>823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1960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1961</v>
      </c>
      <c r="F246" s="11" t="s">
        <v>1962</v>
      </c>
      <c r="G246" s="6" t="s">
        <v>1963</v>
      </c>
      <c r="H246" s="6" t="s">
        <v>1964</v>
      </c>
      <c r="I246" s="6" t="s">
        <v>818</v>
      </c>
      <c r="J246" s="6" t="s">
        <v>818</v>
      </c>
      <c r="K246" s="6" t="s">
        <v>819</v>
      </c>
      <c r="L246" s="6" t="s">
        <v>1689</v>
      </c>
      <c r="M246" s="6" t="s">
        <v>832</v>
      </c>
      <c r="N246" s="12" t="s">
        <v>822</v>
      </c>
      <c r="O246" s="6" t="s">
        <v>823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1965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1966</v>
      </c>
      <c r="F247" s="11" t="s">
        <v>1967</v>
      </c>
      <c r="G247" s="6" t="s">
        <v>1968</v>
      </c>
      <c r="H247" s="6" t="s">
        <v>1969</v>
      </c>
      <c r="I247" s="6" t="s">
        <v>818</v>
      </c>
      <c r="J247" s="6" t="s">
        <v>818</v>
      </c>
      <c r="K247" s="6" t="s">
        <v>819</v>
      </c>
      <c r="L247" s="6" t="s">
        <v>820</v>
      </c>
      <c r="M247" s="6" t="s">
        <v>853</v>
      </c>
      <c r="N247" s="12" t="s">
        <v>822</v>
      </c>
      <c r="O247" s="6" t="s">
        <v>823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1970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1971</v>
      </c>
      <c r="F248" s="11" t="s">
        <v>1972</v>
      </c>
      <c r="G248" s="6" t="s">
        <v>1176</v>
      </c>
      <c r="H248" s="6" t="s">
        <v>851</v>
      </c>
      <c r="I248" s="6" t="s">
        <v>818</v>
      </c>
      <c r="J248" s="6" t="s">
        <v>818</v>
      </c>
      <c r="K248" s="6" t="s">
        <v>819</v>
      </c>
      <c r="L248" s="6" t="s">
        <v>820</v>
      </c>
      <c r="M248" s="6" t="s">
        <v>853</v>
      </c>
      <c r="N248" s="12" t="s">
        <v>822</v>
      </c>
      <c r="O248" s="6" t="s">
        <v>823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1973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1974</v>
      </c>
      <c r="F249" s="11" t="s">
        <v>1975</v>
      </c>
      <c r="G249" s="6" t="s">
        <v>1200</v>
      </c>
      <c r="H249" s="6" t="s">
        <v>901</v>
      </c>
      <c r="I249" s="6" t="s">
        <v>818</v>
      </c>
      <c r="J249" s="6" t="s">
        <v>818</v>
      </c>
      <c r="K249" s="6" t="s">
        <v>819</v>
      </c>
      <c r="L249" s="6" t="s">
        <v>820</v>
      </c>
      <c r="M249" s="6" t="s">
        <v>832</v>
      </c>
      <c r="N249" s="12" t="s">
        <v>822</v>
      </c>
      <c r="O249" s="6" t="s">
        <v>823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1976</v>
      </c>
      <c r="B250" s="6" t="s">
        <v>407</v>
      </c>
      <c r="C250" s="6" t="s">
        <v>1977</v>
      </c>
      <c r="D250" s="6" t="str">
        <f aca="false">IFERROR(INDEX(Mundarija!$D:$D,MATCH(B250,Mundarija!$A:$A,0)),"kod topilmadi")</f>
        <v>23.4. Malign o‘smalarning sonografik belgilari.</v>
      </c>
      <c r="E250" s="6" t="s">
        <v>1978</v>
      </c>
      <c r="F250" s="11" t="s">
        <v>1979</v>
      </c>
      <c r="G250" s="6" t="s">
        <v>1200</v>
      </c>
      <c r="H250" s="6" t="s">
        <v>901</v>
      </c>
      <c r="I250" s="6" t="s">
        <v>818</v>
      </c>
      <c r="J250" s="6" t="s">
        <v>818</v>
      </c>
      <c r="K250" s="6" t="s">
        <v>819</v>
      </c>
      <c r="L250" s="6" t="s">
        <v>845</v>
      </c>
      <c r="M250" s="6" t="s">
        <v>903</v>
      </c>
      <c r="N250" s="12" t="s">
        <v>822</v>
      </c>
      <c r="O250" s="6" t="s">
        <v>823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1980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1981</v>
      </c>
      <c r="F251" s="11" t="s">
        <v>1982</v>
      </c>
      <c r="G251" s="6" t="s">
        <v>1983</v>
      </c>
      <c r="H251" s="6" t="s">
        <v>1984</v>
      </c>
      <c r="I251" s="6" t="s">
        <v>818</v>
      </c>
      <c r="J251" s="6" t="s">
        <v>818</v>
      </c>
      <c r="K251" s="6" t="s">
        <v>819</v>
      </c>
      <c r="L251" s="6" t="s">
        <v>845</v>
      </c>
      <c r="M251" s="6" t="s">
        <v>1654</v>
      </c>
      <c r="N251" s="12" t="s">
        <v>822</v>
      </c>
      <c r="O251" s="6" t="s">
        <v>823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1985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1986</v>
      </c>
      <c r="F252" s="11" t="s">
        <v>1987</v>
      </c>
      <c r="G252" s="6" t="s">
        <v>1988</v>
      </c>
      <c r="H252" s="6" t="s">
        <v>971</v>
      </c>
      <c r="I252" s="6" t="s">
        <v>1989</v>
      </c>
      <c r="J252" s="6" t="s">
        <v>818</v>
      </c>
      <c r="K252" s="6" t="s">
        <v>819</v>
      </c>
      <c r="L252" s="6" t="s">
        <v>820</v>
      </c>
      <c r="M252" s="6" t="s">
        <v>853</v>
      </c>
      <c r="N252" s="12" t="s">
        <v>822</v>
      </c>
      <c r="O252" s="6" t="s">
        <v>823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1990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1991</v>
      </c>
      <c r="F253" s="11" t="s">
        <v>1992</v>
      </c>
      <c r="G253" s="6" t="s">
        <v>1259</v>
      </c>
      <c r="H253" s="6" t="s">
        <v>1581</v>
      </c>
      <c r="I253" s="6" t="s">
        <v>1993</v>
      </c>
      <c r="J253" s="6" t="s">
        <v>818</v>
      </c>
      <c r="K253" s="6" t="s">
        <v>819</v>
      </c>
      <c r="L253" s="6" t="s">
        <v>845</v>
      </c>
      <c r="M253" s="6" t="s">
        <v>832</v>
      </c>
      <c r="N253" s="12" t="s">
        <v>822</v>
      </c>
      <c r="O253" s="6" t="s">
        <v>823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1994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1995</v>
      </c>
      <c r="F254" s="11" t="s">
        <v>1996</v>
      </c>
      <c r="G254" s="6" t="s">
        <v>1997</v>
      </c>
      <c r="H254" s="6" t="s">
        <v>1998</v>
      </c>
      <c r="I254" s="6" t="s">
        <v>818</v>
      </c>
      <c r="J254" s="6" t="s">
        <v>818</v>
      </c>
      <c r="K254" s="6" t="s">
        <v>819</v>
      </c>
      <c r="L254" s="6" t="s">
        <v>820</v>
      </c>
      <c r="M254" s="6" t="s">
        <v>853</v>
      </c>
      <c r="N254" s="12" t="s">
        <v>822</v>
      </c>
      <c r="O254" s="6" t="s">
        <v>823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1999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2000</v>
      </c>
      <c r="F255" s="11" t="s">
        <v>2001</v>
      </c>
      <c r="G255" s="6" t="s">
        <v>1210</v>
      </c>
      <c r="H255" s="6" t="s">
        <v>1674</v>
      </c>
      <c r="I255" s="6" t="s">
        <v>818</v>
      </c>
      <c r="J255" s="6" t="s">
        <v>818</v>
      </c>
      <c r="K255" s="6" t="s">
        <v>819</v>
      </c>
      <c r="L255" s="6" t="s">
        <v>845</v>
      </c>
      <c r="M255" s="6" t="s">
        <v>1654</v>
      </c>
      <c r="N255" s="12" t="s">
        <v>822</v>
      </c>
      <c r="O255" s="6" t="s">
        <v>823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2002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2003</v>
      </c>
      <c r="F256" s="11" t="s">
        <v>2004</v>
      </c>
      <c r="G256" s="6" t="s">
        <v>1210</v>
      </c>
      <c r="H256" s="6" t="s">
        <v>1674</v>
      </c>
      <c r="I256" s="6" t="s">
        <v>818</v>
      </c>
      <c r="J256" s="6" t="s">
        <v>818</v>
      </c>
      <c r="K256" s="6" t="s">
        <v>819</v>
      </c>
      <c r="L256" s="6" t="s">
        <v>845</v>
      </c>
      <c r="M256" s="6" t="s">
        <v>1654</v>
      </c>
      <c r="N256" s="12" t="s">
        <v>822</v>
      </c>
      <c r="O256" s="6" t="s">
        <v>823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2005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2006</v>
      </c>
      <c r="F257" s="11" t="s">
        <v>2007</v>
      </c>
      <c r="G257" s="6" t="s">
        <v>815</v>
      </c>
      <c r="H257" s="6" t="s">
        <v>2008</v>
      </c>
      <c r="I257" s="6" t="s">
        <v>818</v>
      </c>
      <c r="J257" s="6" t="s">
        <v>818</v>
      </c>
      <c r="K257" s="6" t="s">
        <v>819</v>
      </c>
      <c r="L257" s="6" t="s">
        <v>820</v>
      </c>
      <c r="M257" s="6" t="s">
        <v>853</v>
      </c>
      <c r="N257" s="12" t="s">
        <v>822</v>
      </c>
      <c r="O257" s="6" t="s">
        <v>823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2009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2010</v>
      </c>
      <c r="F258" s="11" t="s">
        <v>2011</v>
      </c>
      <c r="G258" s="6" t="s">
        <v>1687</v>
      </c>
      <c r="H258" s="6" t="s">
        <v>1688</v>
      </c>
      <c r="I258" s="6" t="s">
        <v>818</v>
      </c>
      <c r="J258" s="6" t="s">
        <v>818</v>
      </c>
      <c r="K258" s="6" t="s">
        <v>819</v>
      </c>
      <c r="L258" s="6" t="s">
        <v>845</v>
      </c>
      <c r="M258" s="6" t="s">
        <v>853</v>
      </c>
      <c r="N258" s="12" t="s">
        <v>822</v>
      </c>
      <c r="O258" s="6" t="s">
        <v>823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2012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2013</v>
      </c>
      <c r="F259" s="11" t="s">
        <v>2014</v>
      </c>
      <c r="G259" s="6" t="s">
        <v>1176</v>
      </c>
      <c r="H259" s="6" t="s">
        <v>851</v>
      </c>
      <c r="I259" s="6" t="s">
        <v>818</v>
      </c>
      <c r="J259" s="6" t="s">
        <v>818</v>
      </c>
      <c r="K259" s="6" t="s">
        <v>819</v>
      </c>
      <c r="L259" s="6" t="s">
        <v>845</v>
      </c>
      <c r="M259" s="6" t="s">
        <v>853</v>
      </c>
      <c r="N259" s="12" t="s">
        <v>822</v>
      </c>
      <c r="O259" s="6" t="s">
        <v>823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2015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2016</v>
      </c>
      <c r="F260" s="11" t="s">
        <v>2017</v>
      </c>
      <c r="G260" s="6" t="s">
        <v>1186</v>
      </c>
      <c r="H260" s="6" t="s">
        <v>1797</v>
      </c>
      <c r="I260" s="6" t="s">
        <v>818</v>
      </c>
      <c r="J260" s="6" t="s">
        <v>818</v>
      </c>
      <c r="K260" s="6" t="s">
        <v>819</v>
      </c>
      <c r="L260" s="6" t="s">
        <v>820</v>
      </c>
      <c r="M260" s="6" t="s">
        <v>853</v>
      </c>
      <c r="N260" s="12" t="s">
        <v>822</v>
      </c>
      <c r="O260" s="6" t="s">
        <v>823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2018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2019</v>
      </c>
      <c r="F261" s="11" t="s">
        <v>2020</v>
      </c>
      <c r="G261" s="6" t="s">
        <v>1186</v>
      </c>
      <c r="H261" s="6" t="s">
        <v>1797</v>
      </c>
      <c r="I261" s="6" t="s">
        <v>818</v>
      </c>
      <c r="J261" s="6" t="s">
        <v>818</v>
      </c>
      <c r="K261" s="6" t="s">
        <v>819</v>
      </c>
      <c r="L261" s="6" t="s">
        <v>845</v>
      </c>
      <c r="M261" s="6" t="s">
        <v>1654</v>
      </c>
      <c r="N261" s="12" t="s">
        <v>822</v>
      </c>
      <c r="O261" s="6" t="s">
        <v>823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2021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2022</v>
      </c>
      <c r="F262" s="11" t="s">
        <v>2023</v>
      </c>
      <c r="G262" s="6" t="s">
        <v>1210</v>
      </c>
      <c r="H262" s="6" t="s">
        <v>1674</v>
      </c>
      <c r="I262" s="6" t="s">
        <v>818</v>
      </c>
      <c r="J262" s="6" t="s">
        <v>818</v>
      </c>
      <c r="K262" s="6" t="s">
        <v>819</v>
      </c>
      <c r="L262" s="6" t="s">
        <v>845</v>
      </c>
      <c r="M262" s="6" t="s">
        <v>1654</v>
      </c>
      <c r="N262" s="12" t="s">
        <v>822</v>
      </c>
      <c r="O262" s="6" t="s">
        <v>823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2024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2025</v>
      </c>
      <c r="F263" s="11" t="s">
        <v>2026</v>
      </c>
      <c r="G263" s="6" t="s">
        <v>1205</v>
      </c>
      <c r="H263" s="6" t="s">
        <v>2027</v>
      </c>
      <c r="I263" s="6" t="s">
        <v>818</v>
      </c>
      <c r="J263" s="6" t="s">
        <v>818</v>
      </c>
      <c r="K263" s="6" t="s">
        <v>819</v>
      </c>
      <c r="L263" s="6" t="s">
        <v>845</v>
      </c>
      <c r="M263" s="6" t="s">
        <v>832</v>
      </c>
      <c r="N263" s="12" t="s">
        <v>822</v>
      </c>
      <c r="O263" s="6" t="s">
        <v>823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2028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2029</v>
      </c>
      <c r="F264" s="11" t="s">
        <v>2030</v>
      </c>
      <c r="G264" s="6" t="s">
        <v>2031</v>
      </c>
      <c r="H264" s="6" t="s">
        <v>2032</v>
      </c>
      <c r="I264" s="6" t="s">
        <v>818</v>
      </c>
      <c r="J264" s="6" t="s">
        <v>818</v>
      </c>
      <c r="K264" s="6" t="s">
        <v>819</v>
      </c>
      <c r="L264" s="6" t="s">
        <v>820</v>
      </c>
      <c r="M264" s="6" t="s">
        <v>832</v>
      </c>
      <c r="N264" s="12" t="s">
        <v>822</v>
      </c>
      <c r="O264" s="6" t="s">
        <v>823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2033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2034</v>
      </c>
      <c r="F265" s="11" t="s">
        <v>2035</v>
      </c>
      <c r="G265" s="6" t="s">
        <v>1559</v>
      </c>
      <c r="H265" s="6" t="s">
        <v>1560</v>
      </c>
      <c r="I265" s="6" t="s">
        <v>818</v>
      </c>
      <c r="J265" s="6" t="s">
        <v>818</v>
      </c>
      <c r="K265" s="6" t="s">
        <v>819</v>
      </c>
      <c r="L265" s="6" t="s">
        <v>820</v>
      </c>
      <c r="M265" s="6" t="s">
        <v>832</v>
      </c>
      <c r="N265" s="12" t="s">
        <v>822</v>
      </c>
      <c r="O265" s="6" t="s">
        <v>823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2036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2037</v>
      </c>
      <c r="F266" s="11" t="s">
        <v>2038</v>
      </c>
      <c r="G266" s="6" t="s">
        <v>2039</v>
      </c>
      <c r="H266" s="6" t="s">
        <v>851</v>
      </c>
      <c r="I266" s="6" t="s">
        <v>818</v>
      </c>
      <c r="J266" s="6" t="s">
        <v>818</v>
      </c>
      <c r="K266" s="6" t="s">
        <v>819</v>
      </c>
      <c r="L266" s="6" t="s">
        <v>845</v>
      </c>
      <c r="M266" s="6" t="s">
        <v>1654</v>
      </c>
      <c r="N266" s="12" t="s">
        <v>822</v>
      </c>
      <c r="O266" s="6" t="s">
        <v>823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2040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2041</v>
      </c>
      <c r="F267" s="11" t="s">
        <v>2042</v>
      </c>
      <c r="G267" s="6" t="s">
        <v>828</v>
      </c>
      <c r="H267" s="6" t="s">
        <v>2043</v>
      </c>
      <c r="I267" s="6" t="s">
        <v>818</v>
      </c>
      <c r="J267" s="6" t="s">
        <v>818</v>
      </c>
      <c r="K267" s="6" t="s">
        <v>819</v>
      </c>
      <c r="L267" s="6" t="s">
        <v>845</v>
      </c>
      <c r="M267" s="6" t="s">
        <v>832</v>
      </c>
      <c r="N267" s="12" t="s">
        <v>822</v>
      </c>
      <c r="O267" s="6" t="s">
        <v>823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2044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2045</v>
      </c>
      <c r="F268" s="11" t="s">
        <v>2046</v>
      </c>
      <c r="G268" s="6" t="s">
        <v>1164</v>
      </c>
      <c r="H268" s="6" t="s">
        <v>1783</v>
      </c>
      <c r="I268" s="6" t="s">
        <v>818</v>
      </c>
      <c r="J268" s="6" t="s">
        <v>818</v>
      </c>
      <c r="K268" s="6" t="s">
        <v>819</v>
      </c>
      <c r="L268" s="6" t="s">
        <v>845</v>
      </c>
      <c r="M268" s="6" t="s">
        <v>832</v>
      </c>
      <c r="N268" s="12" t="s">
        <v>822</v>
      </c>
      <c r="O268" s="6" t="s">
        <v>823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2047</v>
      </c>
      <c r="B269" s="6" t="s">
        <v>428</v>
      </c>
      <c r="C269" s="6" t="s">
        <v>111</v>
      </c>
      <c r="D269" s="6" t="str">
        <f aca="false">IFERROR(INDEX(Mundarija!$D:$D,MATCH(B269,Mundarija!$A:$A,0)),"kod topilmadi")</f>
        <v>25.1. Qon tomirlarning normal sonografik anatomiyasi.</v>
      </c>
      <c r="E269" s="6" t="s">
        <v>2048</v>
      </c>
      <c r="F269" s="11" t="s">
        <v>2049</v>
      </c>
      <c r="G269" s="6" t="s">
        <v>1200</v>
      </c>
      <c r="H269" s="6" t="s">
        <v>901</v>
      </c>
      <c r="I269" s="6" t="s">
        <v>818</v>
      </c>
      <c r="J269" s="6" t="s">
        <v>818</v>
      </c>
      <c r="K269" s="6" t="s">
        <v>819</v>
      </c>
      <c r="L269" s="6" t="s">
        <v>820</v>
      </c>
      <c r="M269" s="6" t="s">
        <v>903</v>
      </c>
      <c r="N269" s="12" t="s">
        <v>822</v>
      </c>
      <c r="O269" s="6" t="s">
        <v>823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2050</v>
      </c>
      <c r="B270" s="6" t="s">
        <v>428</v>
      </c>
      <c r="C270" s="6"/>
      <c r="D270" s="6" t="str">
        <f aca="false">IFERROR(INDEX(Mundarija!$D:$D,MATCH(B270,Mundarija!$A:$A,0)),"kod topilmadi")</f>
        <v>25.1. Qon tomirlarning normal sonografik anatomiyasi.</v>
      </c>
      <c r="E270" s="6" t="s">
        <v>2051</v>
      </c>
      <c r="F270" s="11" t="s">
        <v>2052</v>
      </c>
      <c r="G270" s="6" t="s">
        <v>1079</v>
      </c>
      <c r="H270" s="6" t="s">
        <v>851</v>
      </c>
      <c r="I270" s="6" t="s">
        <v>818</v>
      </c>
      <c r="J270" s="6" t="s">
        <v>818</v>
      </c>
      <c r="K270" s="6" t="s">
        <v>819</v>
      </c>
      <c r="L270" s="6" t="s">
        <v>820</v>
      </c>
      <c r="M270" s="6" t="s">
        <v>853</v>
      </c>
      <c r="N270" s="12" t="s">
        <v>822</v>
      </c>
      <c r="O270" s="6" t="s">
        <v>823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2053</v>
      </c>
      <c r="B271" s="6" t="s">
        <v>432</v>
      </c>
      <c r="C271" s="6"/>
      <c r="D271" s="6" t="str">
        <f aca="false">IFERROR(INDEX(Mundarija!$D:$D,MATCH(B271,Mundarija!$A:$A,0)),"kod topilmadi")</f>
        <v>25.2. Karotid va vertebral arteriyalar.</v>
      </c>
      <c r="E271" s="6" t="s">
        <v>2054</v>
      </c>
      <c r="F271" s="11" t="s">
        <v>2055</v>
      </c>
      <c r="G271" s="6" t="s">
        <v>1540</v>
      </c>
      <c r="H271" s="6" t="s">
        <v>1598</v>
      </c>
      <c r="I271" s="6" t="s">
        <v>818</v>
      </c>
      <c r="J271" s="6" t="s">
        <v>818</v>
      </c>
      <c r="K271" s="6" t="s">
        <v>819</v>
      </c>
      <c r="L271" s="6" t="s">
        <v>845</v>
      </c>
      <c r="M271" s="6" t="s">
        <v>832</v>
      </c>
      <c r="N271" s="12" t="s">
        <v>822</v>
      </c>
      <c r="O271" s="6" t="s">
        <v>823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2056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2057</v>
      </c>
      <c r="F272" s="11" t="s">
        <v>2058</v>
      </c>
      <c r="G272" s="6" t="s">
        <v>2059</v>
      </c>
      <c r="H272" s="6" t="s">
        <v>2060</v>
      </c>
      <c r="I272" s="6" t="s">
        <v>818</v>
      </c>
      <c r="J272" s="6" t="s">
        <v>818</v>
      </c>
      <c r="K272" s="6" t="s">
        <v>819</v>
      </c>
      <c r="L272" s="6" t="s">
        <v>845</v>
      </c>
      <c r="M272" s="6" t="s">
        <v>853</v>
      </c>
      <c r="N272" s="12" t="s">
        <v>822</v>
      </c>
      <c r="O272" s="6" t="s">
        <v>823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2061</v>
      </c>
      <c r="B273" s="6" t="s">
        <v>434</v>
      </c>
      <c r="C273" s="6"/>
      <c r="D273" s="6" t="str">
        <f aca="false">IFERROR(INDEX(Mundarija!$D:$D,MATCH(B273,Mundarija!$A:$A,0)),"kod topilmadi")</f>
        <v>25.3. Aterosklerotik blyashkalar, stenoz va okklyuziya.</v>
      </c>
      <c r="E273" s="6" t="s">
        <v>2062</v>
      </c>
      <c r="F273" s="11" t="s">
        <v>2063</v>
      </c>
      <c r="G273" s="6" t="s">
        <v>2064</v>
      </c>
      <c r="H273" s="6" t="s">
        <v>2065</v>
      </c>
      <c r="I273" s="6" t="s">
        <v>818</v>
      </c>
      <c r="J273" s="6" t="s">
        <v>818</v>
      </c>
      <c r="K273" s="6" t="s">
        <v>819</v>
      </c>
      <c r="L273" s="6" t="s">
        <v>1689</v>
      </c>
      <c r="M273" s="6" t="s">
        <v>853</v>
      </c>
      <c r="N273" s="12" t="s">
        <v>822</v>
      </c>
      <c r="O273" s="6" t="s">
        <v>823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2066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2067</v>
      </c>
      <c r="F274" s="11" t="s">
        <v>2068</v>
      </c>
      <c r="G274" s="6" t="s">
        <v>2069</v>
      </c>
      <c r="H274" s="6" t="s">
        <v>2070</v>
      </c>
      <c r="I274" s="6" t="s">
        <v>818</v>
      </c>
      <c r="J274" s="6" t="s">
        <v>818</v>
      </c>
      <c r="K274" s="6" t="s">
        <v>819</v>
      </c>
      <c r="L274" s="6" t="s">
        <v>845</v>
      </c>
      <c r="M274" s="6" t="s">
        <v>832</v>
      </c>
      <c r="N274" s="12" t="s">
        <v>822</v>
      </c>
      <c r="O274" s="6" t="s">
        <v>823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2071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2072</v>
      </c>
      <c r="F275" s="11" t="s">
        <v>2073</v>
      </c>
      <c r="G275" s="6" t="s">
        <v>2074</v>
      </c>
      <c r="H275" s="6" t="s">
        <v>2075</v>
      </c>
      <c r="I275" s="6" t="s">
        <v>818</v>
      </c>
      <c r="J275" s="6" t="s">
        <v>818</v>
      </c>
      <c r="K275" s="6" t="s">
        <v>819</v>
      </c>
      <c r="L275" s="6" t="s">
        <v>1689</v>
      </c>
      <c r="M275" s="6" t="s">
        <v>853</v>
      </c>
      <c r="N275" s="12" t="s">
        <v>822</v>
      </c>
      <c r="O275" s="6" t="s">
        <v>823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2076</v>
      </c>
      <c r="B276" s="6" t="s">
        <v>436</v>
      </c>
      <c r="C276" s="6" t="s">
        <v>432</v>
      </c>
      <c r="D276" s="6" t="str">
        <f aca="false">IFERROR(INDEX(Mundarija!$D:$D,MATCH(B276,Mundarija!$A:$A,0)),"kod topilmadi")</f>
        <v>25.4. Yuqori va pastki ekstremita arteriyalari.</v>
      </c>
      <c r="E276" s="6" t="s">
        <v>2077</v>
      </c>
      <c r="F276" s="11" t="s">
        <v>2078</v>
      </c>
      <c r="G276" s="6" t="s">
        <v>2079</v>
      </c>
      <c r="H276" s="6" t="s">
        <v>2080</v>
      </c>
      <c r="I276" s="6" t="s">
        <v>818</v>
      </c>
      <c r="J276" s="6" t="s">
        <v>818</v>
      </c>
      <c r="K276" s="6" t="s">
        <v>819</v>
      </c>
      <c r="L276" s="6" t="s">
        <v>1689</v>
      </c>
      <c r="M276" s="6" t="s">
        <v>1654</v>
      </c>
      <c r="N276" s="12" t="s">
        <v>822</v>
      </c>
      <c r="O276" s="6" t="s">
        <v>823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2081</v>
      </c>
      <c r="B277" s="6" t="s">
        <v>440</v>
      </c>
      <c r="C277" s="6"/>
      <c r="D277" s="6" t="str">
        <f aca="false">IFERROR(INDEX(Mundarija!$D:$D,MATCH(B277,Mundarija!$A:$A,0)),"kod topilmadi")</f>
        <v>25.6. Yuzaki venalar va varikoz.</v>
      </c>
      <c r="E277" s="6" t="s">
        <v>2082</v>
      </c>
      <c r="F277" s="11" t="s">
        <v>2083</v>
      </c>
      <c r="G277" s="6" t="s">
        <v>2069</v>
      </c>
      <c r="H277" s="6" t="s">
        <v>2070</v>
      </c>
      <c r="I277" s="6" t="s">
        <v>818</v>
      </c>
      <c r="J277" s="6" t="s">
        <v>818</v>
      </c>
      <c r="K277" s="6" t="s">
        <v>819</v>
      </c>
      <c r="L277" s="6" t="s">
        <v>845</v>
      </c>
      <c r="M277" s="6" t="s">
        <v>832</v>
      </c>
      <c r="N277" s="12" t="s">
        <v>822</v>
      </c>
      <c r="O277" s="6" t="s">
        <v>823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2084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2085</v>
      </c>
      <c r="F278" s="11" t="s">
        <v>2086</v>
      </c>
      <c r="G278" s="6" t="s">
        <v>1200</v>
      </c>
      <c r="H278" s="6" t="s">
        <v>901</v>
      </c>
      <c r="I278" s="6" t="s">
        <v>818</v>
      </c>
      <c r="J278" s="6" t="s">
        <v>818</v>
      </c>
      <c r="K278" s="6" t="s">
        <v>819</v>
      </c>
      <c r="L278" s="6" t="s">
        <v>845</v>
      </c>
      <c r="M278" s="6" t="s">
        <v>903</v>
      </c>
      <c r="N278" s="12" t="s">
        <v>822</v>
      </c>
      <c r="O278" s="6" t="s">
        <v>823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2087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2088</v>
      </c>
      <c r="F279" s="11" t="s">
        <v>2089</v>
      </c>
      <c r="G279" s="6" t="s">
        <v>1350</v>
      </c>
      <c r="H279" s="6" t="s">
        <v>2090</v>
      </c>
      <c r="I279" s="6" t="s">
        <v>818</v>
      </c>
      <c r="J279" s="6" t="s">
        <v>818</v>
      </c>
      <c r="K279" s="6" t="s">
        <v>819</v>
      </c>
      <c r="L279" s="6" t="s">
        <v>1689</v>
      </c>
      <c r="M279" s="6" t="s">
        <v>853</v>
      </c>
      <c r="N279" s="12" t="s">
        <v>822</v>
      </c>
      <c r="O279" s="6" t="s">
        <v>823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2091</v>
      </c>
      <c r="B280" s="6" t="s">
        <v>442</v>
      </c>
      <c r="C280" s="6" t="s">
        <v>251</v>
      </c>
      <c r="D280" s="6" t="str">
        <f aca="false">IFERROR(INDEX(Mundarija!$D:$D,MATCH(B280,Mundarija!$A:$A,0)),"kod topilmadi")</f>
        <v>25.7. Qorin aortasi va pastki kava vena.</v>
      </c>
      <c r="E280" s="6" t="s">
        <v>2092</v>
      </c>
      <c r="F280" s="11" t="s">
        <v>2093</v>
      </c>
      <c r="G280" s="6" t="s">
        <v>1300</v>
      </c>
      <c r="H280" s="6" t="s">
        <v>2094</v>
      </c>
      <c r="I280" s="6" t="s">
        <v>818</v>
      </c>
      <c r="J280" s="6" t="s">
        <v>818</v>
      </c>
      <c r="K280" s="6" t="s">
        <v>819</v>
      </c>
      <c r="L280" s="6" t="s">
        <v>820</v>
      </c>
      <c r="M280" s="6" t="s">
        <v>832</v>
      </c>
      <c r="N280" s="12" t="s">
        <v>822</v>
      </c>
      <c r="O280" s="6" t="s">
        <v>823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2095</v>
      </c>
      <c r="B281" s="6" t="s">
        <v>442</v>
      </c>
      <c r="C281" s="6" t="s">
        <v>2096</v>
      </c>
      <c r="D281" s="6" t="str">
        <f aca="false">IFERROR(INDEX(Mundarija!$D:$D,MATCH(B281,Mundarija!$A:$A,0)),"kod topilmadi")</f>
        <v>25.7. Qorin aortasi va pastki kava vena.</v>
      </c>
      <c r="E281" s="6" t="s">
        <v>2097</v>
      </c>
      <c r="F281" s="11" t="s">
        <v>2098</v>
      </c>
      <c r="G281" s="6" t="s">
        <v>2099</v>
      </c>
      <c r="H281" s="6" t="s">
        <v>2100</v>
      </c>
      <c r="I281" s="6" t="s">
        <v>818</v>
      </c>
      <c r="J281" s="6" t="s">
        <v>818</v>
      </c>
      <c r="K281" s="6" t="s">
        <v>819</v>
      </c>
      <c r="L281" s="6" t="s">
        <v>820</v>
      </c>
      <c r="M281" s="6" t="s">
        <v>832</v>
      </c>
      <c r="N281" s="12" t="s">
        <v>822</v>
      </c>
      <c r="O281" s="6" t="s">
        <v>823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2101</v>
      </c>
      <c r="B282" s="6" t="s">
        <v>442</v>
      </c>
      <c r="C282" s="6" t="s">
        <v>251</v>
      </c>
      <c r="D282" s="6" t="str">
        <f aca="false">IFERROR(INDEX(Mundarija!$D:$D,MATCH(B282,Mundarija!$A:$A,0)),"kod topilmadi")</f>
        <v>25.7. Qorin aortasi va pastki kava vena.</v>
      </c>
      <c r="E282" s="6" t="s">
        <v>2102</v>
      </c>
      <c r="F282" s="11" t="s">
        <v>2103</v>
      </c>
      <c r="G282" s="6" t="s">
        <v>2104</v>
      </c>
      <c r="H282" s="6" t="s">
        <v>2105</v>
      </c>
      <c r="I282" s="6" t="s">
        <v>818</v>
      </c>
      <c r="J282" s="6" t="s">
        <v>818</v>
      </c>
      <c r="K282" s="6" t="s">
        <v>819</v>
      </c>
      <c r="L282" s="6" t="s">
        <v>820</v>
      </c>
      <c r="M282" s="6" t="s">
        <v>832</v>
      </c>
      <c r="N282" s="12" t="s">
        <v>822</v>
      </c>
      <c r="O282" s="6" t="s">
        <v>823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2106</v>
      </c>
      <c r="B283" s="6" t="s">
        <v>446</v>
      </c>
      <c r="C283" s="6" t="s">
        <v>190</v>
      </c>
      <c r="D283" s="6" t="str">
        <f aca="false">IFERROR(INDEX(Mundarija!$D:$D,MATCH(B283,Mundarija!$A:$A,0)),"kod topilmadi")</f>
        <v>25.9. Transplantat tomirlari.</v>
      </c>
      <c r="E283" s="6" t="s">
        <v>2107</v>
      </c>
      <c r="F283" s="11" t="s">
        <v>2108</v>
      </c>
      <c r="G283" s="6" t="s">
        <v>2109</v>
      </c>
      <c r="H283" s="6" t="s">
        <v>2110</v>
      </c>
      <c r="I283" s="6" t="s">
        <v>818</v>
      </c>
      <c r="J283" s="6" t="s">
        <v>818</v>
      </c>
      <c r="K283" s="6" t="s">
        <v>819</v>
      </c>
      <c r="L283" s="6" t="s">
        <v>1689</v>
      </c>
      <c r="M283" s="6" t="s">
        <v>853</v>
      </c>
      <c r="N283" s="12" t="s">
        <v>822</v>
      </c>
      <c r="O283" s="6" t="s">
        <v>823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2111</v>
      </c>
      <c r="B284" s="6" t="s">
        <v>446</v>
      </c>
      <c r="C284" s="6" t="s">
        <v>190</v>
      </c>
      <c r="D284" s="6" t="str">
        <f aca="false">IFERROR(INDEX(Mundarija!$D:$D,MATCH(B284,Mundarija!$A:$A,0)),"kod topilmadi")</f>
        <v>25.9. Transplantat tomirlari.</v>
      </c>
      <c r="E284" s="6" t="s">
        <v>2112</v>
      </c>
      <c r="F284" s="11" t="s">
        <v>2113</v>
      </c>
      <c r="G284" s="6" t="s">
        <v>1176</v>
      </c>
      <c r="H284" s="6" t="s">
        <v>851</v>
      </c>
      <c r="I284" s="6" t="s">
        <v>818</v>
      </c>
      <c r="J284" s="6" t="s">
        <v>818</v>
      </c>
      <c r="K284" s="6" t="s">
        <v>819</v>
      </c>
      <c r="L284" s="6" t="s">
        <v>1689</v>
      </c>
      <c r="M284" s="6" t="s">
        <v>853</v>
      </c>
      <c r="N284" s="12" t="s">
        <v>822</v>
      </c>
      <c r="O284" s="6" t="s">
        <v>823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2114</v>
      </c>
      <c r="B285" s="6" t="s">
        <v>446</v>
      </c>
      <c r="C285" s="6" t="s">
        <v>245</v>
      </c>
      <c r="D285" s="6" t="str">
        <f aca="false">IFERROR(INDEX(Mundarija!$D:$D,MATCH(B285,Mundarija!$A:$A,0)),"kod topilmadi")</f>
        <v>25.9. Transplantat tomirlari.</v>
      </c>
      <c r="E285" s="6" t="s">
        <v>2115</v>
      </c>
      <c r="F285" s="11" t="s">
        <v>2116</v>
      </c>
      <c r="G285" s="6" t="s">
        <v>828</v>
      </c>
      <c r="H285" s="6" t="s">
        <v>2043</v>
      </c>
      <c r="I285" s="6" t="s">
        <v>818</v>
      </c>
      <c r="J285" s="6" t="s">
        <v>818</v>
      </c>
      <c r="K285" s="6" t="s">
        <v>819</v>
      </c>
      <c r="L285" s="6" t="s">
        <v>845</v>
      </c>
      <c r="M285" s="6" t="s">
        <v>832</v>
      </c>
      <c r="N285" s="12" t="s">
        <v>822</v>
      </c>
      <c r="O285" s="6" t="s">
        <v>823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</sheetData>
  <autoFilter ref="A1:Y285"/>
  <dataValidations count="1">
    <dataValidation allowBlank="true" error="0 dan 5 gacha butun son" errorStyle="stop" operator="between" showDropDown="false" showErrorMessage="false" showInputMessage="false" sqref="R2:W485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aejYqKM6mI"/>
    <hyperlink ref="F270" r:id="rId269" display="https://www.youtube.com/watch?v=hbVxhOV6NFw"/>
    <hyperlink ref="F271" r:id="rId270" display="https://www.youtube.com/watch?v=_CAkI846j7E"/>
    <hyperlink ref="F272" r:id="rId271" display="https://www.youtube.com/watch?v=TeGAC9MoZow"/>
    <hyperlink ref="F273" r:id="rId272" display="https://www.youtube.com/watch?v=pXjCmheNuug"/>
    <hyperlink ref="F274" r:id="rId273" display="https://www.youtube.com/watch?v=76hyW1-XkGk"/>
    <hyperlink ref="F275" r:id="rId274" display="https://www.youtube.com/watch?v=fC7gjgVx0LI"/>
    <hyperlink ref="F276" r:id="rId275" display="https://www.youtube.com/watch?v=dRVXK3DjBzk"/>
    <hyperlink ref="F277" r:id="rId276" display="https://www.youtube.com/watch?v=QFDDU7lpsuA"/>
    <hyperlink ref="F278" r:id="rId277" display="https://www.youtube.com/watch?v=-4tJgiWazjA"/>
    <hyperlink ref="F279" r:id="rId278" display="https://www.youtube.com/watch?v=JwIWZuq5o14"/>
    <hyperlink ref="F280" r:id="rId279" display="https://www.youtube.com/watch?v=fyegmq-hMhI"/>
    <hyperlink ref="F281" r:id="rId280" display="https://www.youtube.com/watch?v=Flc8xS2foOU"/>
    <hyperlink ref="F282" r:id="rId281" display="https://www.youtube.com/watch?v=SHhKyEaW1NM"/>
    <hyperlink ref="F283" r:id="rId282" display="https://www.youtube.com/watch?v=4etSnUtYJ7k"/>
    <hyperlink ref="F284" r:id="rId283" display="https://www.youtube.com/watch?v=jF22GbTfFS4"/>
    <hyperlink ref="F285" r:id="rId284" display="https://www.youtube.com/watch?v=KGFphcefwX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2117</v>
      </c>
      <c r="C1" s="5" t="s">
        <v>2118</v>
      </c>
      <c r="D1" s="5" t="s">
        <v>2119</v>
      </c>
    </row>
    <row r="2" customFormat="false" ht="23.85" hidden="false" customHeight="false" outlineLevel="0" collapsed="false">
      <c r="A2" s="11" t="s">
        <v>2120</v>
      </c>
      <c r="B2" s="6" t="s">
        <v>2121</v>
      </c>
      <c r="C2" s="6" t="s">
        <v>2122</v>
      </c>
      <c r="D2" s="6" t="s">
        <v>2123</v>
      </c>
    </row>
    <row r="3" customFormat="false" ht="15" hidden="false" customHeight="false" outlineLevel="0" collapsed="false">
      <c r="A3" s="11" t="s">
        <v>2124</v>
      </c>
      <c r="B3" s="6" t="s">
        <v>2125</v>
      </c>
      <c r="C3" s="6" t="s">
        <v>2126</v>
      </c>
      <c r="D3" s="6" t="s">
        <v>2123</v>
      </c>
    </row>
    <row r="4" customFormat="false" ht="15" hidden="false" customHeight="false" outlineLevel="0" collapsed="false">
      <c r="A4" s="11" t="s">
        <v>2127</v>
      </c>
      <c r="B4" s="6" t="s">
        <v>2128</v>
      </c>
      <c r="C4" s="6" t="s">
        <v>2129</v>
      </c>
      <c r="D4" s="6" t="s">
        <v>2123</v>
      </c>
    </row>
    <row r="5" customFormat="false" ht="23.85" hidden="false" customHeight="false" outlineLevel="0" collapsed="false">
      <c r="A5" s="11" t="s">
        <v>2130</v>
      </c>
      <c r="B5" s="6" t="s">
        <v>2131</v>
      </c>
      <c r="C5" s="6" t="s">
        <v>2132</v>
      </c>
      <c r="D5" s="6" t="s">
        <v>2123</v>
      </c>
    </row>
    <row r="6" customFormat="false" ht="23.85" hidden="false" customHeight="false" outlineLevel="0" collapsed="false">
      <c r="A6" s="11" t="s">
        <v>2133</v>
      </c>
      <c r="B6" s="6" t="s">
        <v>2134</v>
      </c>
      <c r="C6" s="6" t="s">
        <v>2135</v>
      </c>
      <c r="D6" s="6" t="s">
        <v>2136</v>
      </c>
    </row>
    <row r="7" customFormat="false" ht="23.85" hidden="false" customHeight="false" outlineLevel="0" collapsed="false">
      <c r="A7" s="11" t="s">
        <v>2137</v>
      </c>
      <c r="B7" s="6" t="s">
        <v>2138</v>
      </c>
      <c r="C7" s="6" t="s">
        <v>2139</v>
      </c>
      <c r="D7" s="6" t="s">
        <v>2140</v>
      </c>
    </row>
    <row r="8" customFormat="false" ht="15" hidden="false" customHeight="false" outlineLevel="0" collapsed="false">
      <c r="A8" s="11" t="s">
        <v>2141</v>
      </c>
      <c r="B8" s="6" t="s">
        <v>2142</v>
      </c>
      <c r="C8" s="6" t="s">
        <v>2143</v>
      </c>
      <c r="D8" s="6" t="s">
        <v>2140</v>
      </c>
    </row>
    <row r="9" customFormat="false" ht="15" hidden="false" customHeight="false" outlineLevel="0" collapsed="false">
      <c r="A9" s="11" t="s">
        <v>2144</v>
      </c>
      <c r="B9" s="6" t="s">
        <v>2145</v>
      </c>
      <c r="C9" s="6" t="s">
        <v>2146</v>
      </c>
      <c r="D9" s="6" t="s">
        <v>2147</v>
      </c>
    </row>
    <row r="10" customFormat="false" ht="15" hidden="false" customHeight="false" outlineLevel="0" collapsed="false">
      <c r="A10" s="11" t="s">
        <v>2148</v>
      </c>
      <c r="B10" s="6" t="s">
        <v>2149</v>
      </c>
      <c r="C10" s="6" t="s">
        <v>2150</v>
      </c>
      <c r="D10" s="6" t="s">
        <v>2147</v>
      </c>
    </row>
    <row r="11" customFormat="false" ht="15" hidden="false" customHeight="false" outlineLevel="0" collapsed="false">
      <c r="A11" s="11" t="s">
        <v>2151</v>
      </c>
      <c r="B11" s="6" t="s">
        <v>2152</v>
      </c>
      <c r="C11" s="6" t="s">
        <v>2153</v>
      </c>
      <c r="D11" s="6" t="s">
        <v>2147</v>
      </c>
    </row>
    <row r="12" customFormat="false" ht="15" hidden="false" customHeight="false" outlineLevel="0" collapsed="false">
      <c r="A12" s="11" t="s">
        <v>2154</v>
      </c>
      <c r="B12" s="6" t="s">
        <v>2155</v>
      </c>
      <c r="C12" s="6" t="s">
        <v>2156</v>
      </c>
      <c r="D12" s="6" t="s">
        <v>2136</v>
      </c>
    </row>
    <row r="13" customFormat="false" ht="23.85" hidden="false" customHeight="false" outlineLevel="0" collapsed="false">
      <c r="A13" s="11" t="s">
        <v>2157</v>
      </c>
      <c r="B13" s="6" t="s">
        <v>2158</v>
      </c>
      <c r="C13" s="6" t="s">
        <v>2159</v>
      </c>
      <c r="D13" s="6" t="s">
        <v>2160</v>
      </c>
    </row>
    <row r="14" customFormat="false" ht="15" hidden="false" customHeight="false" outlineLevel="0" collapsed="false">
      <c r="A14" s="11" t="s">
        <v>2161</v>
      </c>
      <c r="B14" s="6" t="s">
        <v>2162</v>
      </c>
      <c r="C14" s="6" t="s">
        <v>2163</v>
      </c>
      <c r="D14" s="6" t="s">
        <v>2140</v>
      </c>
    </row>
    <row r="15" customFormat="false" ht="15" hidden="false" customHeight="false" outlineLevel="0" collapsed="false">
      <c r="A15" s="11" t="s">
        <v>969</v>
      </c>
      <c r="B15" s="6" t="s">
        <v>968</v>
      </c>
      <c r="C15" s="6" t="s">
        <v>2164</v>
      </c>
      <c r="D15" s="6" t="s">
        <v>2165</v>
      </c>
    </row>
    <row r="16" customFormat="false" ht="23.85" hidden="false" customHeight="false" outlineLevel="0" collapsed="false">
      <c r="A16" s="11" t="s">
        <v>1061</v>
      </c>
      <c r="B16" s="6" t="s">
        <v>1060</v>
      </c>
      <c r="C16" s="6" t="s">
        <v>2164</v>
      </c>
      <c r="D16" s="6" t="s">
        <v>2165</v>
      </c>
    </row>
    <row r="17" customFormat="false" ht="15" hidden="false" customHeight="false" outlineLevel="0" collapsed="false">
      <c r="A17" s="11" t="s">
        <v>1067</v>
      </c>
      <c r="B17" s="6" t="s">
        <v>1066</v>
      </c>
      <c r="C17" s="6" t="s">
        <v>2164</v>
      </c>
      <c r="D17" s="6" t="s">
        <v>2165</v>
      </c>
    </row>
    <row r="18" customFormat="false" ht="15" hidden="false" customHeight="false" outlineLevel="0" collapsed="false">
      <c r="A18" s="11" t="s">
        <v>2166</v>
      </c>
      <c r="B18" s="6" t="s">
        <v>2167</v>
      </c>
      <c r="C18" s="6" t="s">
        <v>2146</v>
      </c>
      <c r="D18" s="6" t="s">
        <v>2147</v>
      </c>
    </row>
    <row r="19" customFormat="false" ht="15" hidden="false" customHeight="false" outlineLevel="0" collapsed="false">
      <c r="A19" s="11" t="s">
        <v>2168</v>
      </c>
      <c r="B19" s="6" t="s">
        <v>2169</v>
      </c>
      <c r="C19" s="6" t="s">
        <v>2150</v>
      </c>
      <c r="D19" s="6" t="s">
        <v>2147</v>
      </c>
    </row>
    <row r="20" customFormat="false" ht="23.85" hidden="false" customHeight="false" outlineLevel="0" collapsed="false">
      <c r="A20" s="11" t="s">
        <v>2170</v>
      </c>
      <c r="B20" s="6" t="s">
        <v>2171</v>
      </c>
      <c r="C20" s="6" t="s">
        <v>2172</v>
      </c>
      <c r="D20" s="6" t="s">
        <v>2140</v>
      </c>
    </row>
    <row r="21" customFormat="false" ht="23.85" hidden="false" customHeight="false" outlineLevel="0" collapsed="false">
      <c r="A21" s="11" t="s">
        <v>2173</v>
      </c>
      <c r="B21" s="6" t="s">
        <v>2174</v>
      </c>
      <c r="C21" s="6" t="s">
        <v>2175</v>
      </c>
      <c r="D21" s="6" t="s">
        <v>2140</v>
      </c>
    </row>
    <row r="22" customFormat="false" ht="15" hidden="false" customHeight="false" outlineLevel="0" collapsed="false">
      <c r="A22" s="11" t="s">
        <v>2176</v>
      </c>
      <c r="B22" s="6" t="s">
        <v>2177</v>
      </c>
      <c r="C22" s="6" t="s">
        <v>2178</v>
      </c>
      <c r="D22" s="6" t="s">
        <v>2147</v>
      </c>
    </row>
    <row r="23" customFormat="false" ht="23.85" hidden="false" customHeight="false" outlineLevel="0" collapsed="false">
      <c r="A23" s="11" t="s">
        <v>2179</v>
      </c>
      <c r="B23" s="6" t="s">
        <v>2180</v>
      </c>
      <c r="C23" s="6" t="s">
        <v>2178</v>
      </c>
      <c r="D23" s="6" t="s">
        <v>2147</v>
      </c>
    </row>
    <row r="24" customFormat="false" ht="15" hidden="false" customHeight="false" outlineLevel="0" collapsed="false">
      <c r="A24" s="11" t="s">
        <v>2181</v>
      </c>
      <c r="B24" s="6" t="s">
        <v>2182</v>
      </c>
      <c r="C24" s="6" t="s">
        <v>2178</v>
      </c>
      <c r="D24" s="6" t="s">
        <v>2147</v>
      </c>
    </row>
    <row r="25" customFormat="false" ht="15" hidden="false" customHeight="false" outlineLevel="0" collapsed="false">
      <c r="A25" s="11" t="s">
        <v>2183</v>
      </c>
      <c r="B25" s="6" t="s">
        <v>2184</v>
      </c>
      <c r="C25" s="6" t="s">
        <v>2185</v>
      </c>
      <c r="D25" s="6" t="s">
        <v>2147</v>
      </c>
    </row>
    <row r="26" customFormat="false" ht="15" hidden="false" customHeight="false" outlineLevel="0" collapsed="false">
      <c r="A26" s="11" t="s">
        <v>2186</v>
      </c>
      <c r="B26" s="6" t="s">
        <v>2187</v>
      </c>
      <c r="C26" s="6" t="s">
        <v>2188</v>
      </c>
      <c r="D26" s="6" t="s">
        <v>2147</v>
      </c>
    </row>
    <row r="27" customFormat="false" ht="15" hidden="false" customHeight="false" outlineLevel="0" collapsed="false">
      <c r="A27" s="11" t="s">
        <v>2189</v>
      </c>
      <c r="B27" s="6" t="s">
        <v>2190</v>
      </c>
      <c r="C27" s="6" t="s">
        <v>2191</v>
      </c>
      <c r="D27" s="6" t="s">
        <v>2140</v>
      </c>
    </row>
    <row r="28" customFormat="false" ht="15" hidden="false" customHeight="false" outlineLevel="0" collapsed="false">
      <c r="A28" s="11" t="s">
        <v>2192</v>
      </c>
      <c r="B28" s="6" t="s">
        <v>2193</v>
      </c>
      <c r="C28" s="6" t="s">
        <v>2194</v>
      </c>
      <c r="D28" s="6" t="s">
        <v>2140</v>
      </c>
    </row>
    <row r="29" customFormat="false" ht="15" hidden="false" customHeight="false" outlineLevel="0" collapsed="false">
      <c r="A29" s="11" t="s">
        <v>2195</v>
      </c>
      <c r="B29" s="6" t="s">
        <v>2196</v>
      </c>
      <c r="C29" s="6" t="s">
        <v>2197</v>
      </c>
      <c r="D29" s="6" t="s">
        <v>2140</v>
      </c>
    </row>
    <row r="30" customFormat="false" ht="15" hidden="false" customHeight="false" outlineLevel="0" collapsed="false">
      <c r="A30" s="11" t="s">
        <v>2198</v>
      </c>
      <c r="B30" s="6" t="s">
        <v>2199</v>
      </c>
      <c r="C30" s="6" t="s">
        <v>2185</v>
      </c>
      <c r="D30" s="6" t="s">
        <v>2147</v>
      </c>
    </row>
    <row r="31" customFormat="false" ht="15" hidden="false" customHeight="false" outlineLevel="0" collapsed="false">
      <c r="A31" s="11" t="s">
        <v>2200</v>
      </c>
      <c r="B31" s="6" t="s">
        <v>2201</v>
      </c>
      <c r="C31" s="6" t="s">
        <v>2178</v>
      </c>
      <c r="D31" s="6" t="s">
        <v>2147</v>
      </c>
    </row>
    <row r="32" customFormat="false" ht="15" hidden="false" customHeight="false" outlineLevel="0" collapsed="false">
      <c r="A32" s="11" t="s">
        <v>2202</v>
      </c>
      <c r="B32" s="6" t="s">
        <v>2203</v>
      </c>
      <c r="C32" s="6" t="s">
        <v>2178</v>
      </c>
      <c r="D32" s="6" t="s">
        <v>2147</v>
      </c>
    </row>
    <row r="33" customFormat="false" ht="15" hidden="false" customHeight="false" outlineLevel="0" collapsed="false">
      <c r="A33" s="11" t="s">
        <v>2204</v>
      </c>
      <c r="B33" s="6" t="s">
        <v>2205</v>
      </c>
      <c r="C33" s="6" t="s">
        <v>2185</v>
      </c>
      <c r="D33" s="6" t="s">
        <v>2147</v>
      </c>
    </row>
    <row r="34" customFormat="false" ht="15" hidden="false" customHeight="false" outlineLevel="0" collapsed="false">
      <c r="A34" s="11" t="s">
        <v>2206</v>
      </c>
      <c r="B34" s="6" t="s">
        <v>2207</v>
      </c>
      <c r="C34" s="6" t="s">
        <v>2178</v>
      </c>
      <c r="D34" s="6" t="s">
        <v>2147</v>
      </c>
    </row>
    <row r="35" customFormat="false" ht="23.85" hidden="false" customHeight="false" outlineLevel="0" collapsed="false">
      <c r="A35" s="11" t="s">
        <v>2208</v>
      </c>
      <c r="B35" s="6" t="s">
        <v>2209</v>
      </c>
      <c r="C35" s="6" t="s">
        <v>2185</v>
      </c>
      <c r="D35" s="6" t="s">
        <v>2147</v>
      </c>
    </row>
    <row r="36" customFormat="false" ht="15" hidden="false" customHeight="false" outlineLevel="0" collapsed="false">
      <c r="A36" s="11" t="s">
        <v>2210</v>
      </c>
      <c r="B36" s="6" t="s">
        <v>2211</v>
      </c>
      <c r="C36" s="6" t="s">
        <v>2185</v>
      </c>
      <c r="D36" s="6" t="s">
        <v>2147</v>
      </c>
    </row>
    <row r="37" customFormat="false" ht="15" hidden="false" customHeight="false" outlineLevel="0" collapsed="false">
      <c r="A37" s="11" t="s">
        <v>2212</v>
      </c>
      <c r="B37" s="6" t="s">
        <v>2213</v>
      </c>
      <c r="C37" s="6" t="s">
        <v>2185</v>
      </c>
      <c r="D37" s="6" t="s">
        <v>2147</v>
      </c>
    </row>
    <row r="38" customFormat="false" ht="15" hidden="false" customHeight="false" outlineLevel="0" collapsed="false">
      <c r="A38" s="11" t="s">
        <v>2214</v>
      </c>
      <c r="B38" s="6" t="s">
        <v>2215</v>
      </c>
      <c r="C38" s="6" t="s">
        <v>2188</v>
      </c>
      <c r="D38" s="6" t="s">
        <v>2147</v>
      </c>
    </row>
    <row r="39" customFormat="false" ht="15" hidden="false" customHeight="false" outlineLevel="0" collapsed="false">
      <c r="A39" s="11" t="s">
        <v>2216</v>
      </c>
      <c r="B39" s="6" t="s">
        <v>2217</v>
      </c>
      <c r="C39" s="6" t="s">
        <v>2218</v>
      </c>
      <c r="D39" s="6" t="s">
        <v>2140</v>
      </c>
    </row>
    <row r="40" customFormat="false" ht="15" hidden="false" customHeight="false" outlineLevel="0" collapsed="false">
      <c r="A40" s="11" t="s">
        <v>2219</v>
      </c>
      <c r="B40" s="6" t="s">
        <v>2220</v>
      </c>
      <c r="C40" s="6" t="s">
        <v>2221</v>
      </c>
      <c r="D40" s="6" t="s">
        <v>2140</v>
      </c>
    </row>
    <row r="41" customFormat="false" ht="15" hidden="false" customHeight="false" outlineLevel="0" collapsed="false">
      <c r="A41" s="11" t="s">
        <v>2222</v>
      </c>
      <c r="B41" s="6" t="s">
        <v>2223</v>
      </c>
      <c r="C41" s="6" t="s">
        <v>2178</v>
      </c>
      <c r="D41" s="6" t="s">
        <v>2147</v>
      </c>
    </row>
    <row r="42" customFormat="false" ht="15" hidden="false" customHeight="false" outlineLevel="0" collapsed="false">
      <c r="A42" s="11" t="s">
        <v>2224</v>
      </c>
      <c r="B42" s="6" t="s">
        <v>2225</v>
      </c>
      <c r="C42" s="6" t="s">
        <v>2178</v>
      </c>
      <c r="D42" s="6" t="s">
        <v>2147</v>
      </c>
    </row>
    <row r="43" customFormat="false" ht="15" hidden="false" customHeight="false" outlineLevel="0" collapsed="false">
      <c r="A43" s="11" t="s">
        <v>2226</v>
      </c>
      <c r="B43" s="6" t="s">
        <v>2227</v>
      </c>
      <c r="C43" s="6" t="s">
        <v>2228</v>
      </c>
      <c r="D43" s="6" t="s">
        <v>2140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RBirmydmV5k"/>
    <hyperlink ref="A42" r:id="rId41" display="https://www.youtube.com/watch?v=I4lJJs_eUGg"/>
    <hyperlink ref="A43" r:id="rId42" display="https://www.youtube.com/watch?v=1Enxa1FUdi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2229</v>
      </c>
      <c r="D1" s="5" t="s">
        <v>2230</v>
      </c>
      <c r="E1" s="5" t="s">
        <v>2231</v>
      </c>
      <c r="F1" s="5" t="s">
        <v>2232</v>
      </c>
      <c r="G1" s="5" t="s">
        <v>2233</v>
      </c>
      <c r="H1" s="5" t="s">
        <v>2160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1</v>
      </c>
      <c r="E30" s="15" t="n">
        <f aca="false">IF(C30=0,0,D30/C30)</f>
        <v>0.111111111111111</v>
      </c>
      <c r="F30" s="6" t="n">
        <f aca="false">COUNTIFS(Mundarija!$C$2:$C$254,B30,Mundarija!$H$2:$H$254,"Yetishmaydi")</f>
        <v>8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2234</v>
      </c>
      <c r="C35" s="16" t="n">
        <f aca="false">SUM(C2:C34)</f>
        <v>253</v>
      </c>
      <c r="D35" s="16" t="n">
        <f aca="false">SUM(D2:D34)</f>
        <v>179</v>
      </c>
      <c r="E35" s="17" t="n">
        <f aca="false">IF(C35=0,0,D35/C35)</f>
        <v>0.707509881422925</v>
      </c>
      <c r="F35" s="16" t="n">
        <f aca="false">SUM(F2:F34)</f>
        <v>70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2235</v>
      </c>
    </row>
    <row r="38" customFormat="false" ht="15" hidden="false" customHeight="false" outlineLevel="0" collapsed="false">
      <c r="A38" s="10" t="s">
        <v>2236</v>
      </c>
      <c r="B38" s="10" t="s">
        <v>2237</v>
      </c>
      <c r="C38" s="10" t="s">
        <v>2238</v>
      </c>
    </row>
    <row r="39" customFormat="false" ht="23.85" hidden="false" customHeight="false" outlineLevel="0" collapsed="false">
      <c r="A39" s="6" t="s">
        <v>2239</v>
      </c>
      <c r="B39" s="6" t="s">
        <v>2240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2241</v>
      </c>
      <c r="B40" s="6" t="s">
        <v>2242</v>
      </c>
      <c r="C40" s="15" t="n">
        <f aca="false">E35</f>
        <v>0.707509881422925</v>
      </c>
    </row>
    <row r="41" customFormat="false" ht="23.85" hidden="false" customHeight="false" outlineLevel="0" collapsed="false">
      <c r="A41" s="6" t="s">
        <v>2243</v>
      </c>
      <c r="B41" s="6" t="s">
        <v>2244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2245</v>
      </c>
      <c r="B42" s="6" t="s">
        <v>2246</v>
      </c>
      <c r="C42" s="15" t="n">
        <f aca="false">(COUNTIF(Katalog!$Q$2:$Q$285,"Havola tekshirilgan*")+COUNTIF(Katalog!$Q$2:$Q$285,"Metadata tekshirilgan*"))/COUNTA(Katalog!$A$2:$A$285)</f>
        <v>0.98943661971831</v>
      </c>
    </row>
    <row r="43" customFormat="false" ht="23.85" hidden="false" customHeight="false" outlineLevel="0" collapsed="false">
      <c r="A43" s="6" t="s">
        <v>2247</v>
      </c>
      <c r="B43" s="6" t="s">
        <v>2248</v>
      </c>
      <c r="C43" s="15" t="n">
        <f aca="false">COUNT(Katalog!$X$2:$X$285)/COUNTA(Katalog!$A$2:$A$285)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2249</v>
      </c>
      <c r="B1" s="5" t="s">
        <v>2250</v>
      </c>
      <c r="C1" s="5" t="s">
        <v>2251</v>
      </c>
      <c r="D1" s="5" t="s">
        <v>41</v>
      </c>
      <c r="E1" s="5" t="s">
        <v>2252</v>
      </c>
    </row>
    <row r="2" customFormat="false" ht="23.85" hidden="false" customHeight="false" outlineLevel="0" collapsed="false">
      <c r="A2" s="6" t="s">
        <v>2253</v>
      </c>
      <c r="B2" s="6" t="s">
        <v>2254</v>
      </c>
      <c r="C2" s="6" t="s">
        <v>2255</v>
      </c>
      <c r="D2" s="6" t="s">
        <v>2256</v>
      </c>
      <c r="E2" s="6" t="s">
        <v>2257</v>
      </c>
    </row>
    <row r="3" customFormat="false" ht="23.85" hidden="false" customHeight="false" outlineLevel="0" collapsed="false">
      <c r="A3" s="6" t="s">
        <v>2258</v>
      </c>
      <c r="B3" s="6" t="s">
        <v>2259</v>
      </c>
      <c r="C3" s="6" t="s">
        <v>2260</v>
      </c>
      <c r="D3" s="6" t="s">
        <v>2261</v>
      </c>
      <c r="E3" s="6" t="s">
        <v>2262</v>
      </c>
    </row>
    <row r="4" customFormat="false" ht="35.05" hidden="false" customHeight="false" outlineLevel="0" collapsed="false">
      <c r="A4" s="6" t="s">
        <v>2263</v>
      </c>
      <c r="B4" s="6" t="s">
        <v>2264</v>
      </c>
      <c r="C4" s="6" t="s">
        <v>2265</v>
      </c>
      <c r="D4" s="6" t="s">
        <v>2266</v>
      </c>
      <c r="E4" s="6" t="s">
        <v>2267</v>
      </c>
    </row>
    <row r="5" customFormat="false" ht="23.85" hidden="false" customHeight="false" outlineLevel="0" collapsed="false">
      <c r="A5" s="6" t="s">
        <v>2268</v>
      </c>
      <c r="B5" s="6" t="s">
        <v>2269</v>
      </c>
      <c r="C5" s="6" t="s">
        <v>2270</v>
      </c>
      <c r="D5" s="6" t="s">
        <v>2266</v>
      </c>
      <c r="E5" s="6" t="s">
        <v>2271</v>
      </c>
    </row>
    <row r="6" customFormat="false" ht="23.85" hidden="false" customHeight="false" outlineLevel="0" collapsed="false">
      <c r="A6" s="6" t="s">
        <v>2272</v>
      </c>
      <c r="B6" s="6" t="s">
        <v>2273</v>
      </c>
      <c r="C6" s="6" t="s">
        <v>2274</v>
      </c>
      <c r="D6" s="6" t="s">
        <v>2266</v>
      </c>
      <c r="E6" s="6" t="s">
        <v>2275</v>
      </c>
    </row>
    <row r="7" customFormat="false" ht="23.85" hidden="false" customHeight="false" outlineLevel="0" collapsed="false">
      <c r="A7" s="6" t="s">
        <v>2276</v>
      </c>
      <c r="B7" s="6" t="s">
        <v>2277</v>
      </c>
      <c r="C7" s="6" t="s">
        <v>2278</v>
      </c>
      <c r="D7" s="6" t="s">
        <v>2266</v>
      </c>
      <c r="E7" s="6" t="s">
        <v>2279</v>
      </c>
    </row>
    <row r="8" customFormat="false" ht="23.85" hidden="false" customHeight="false" outlineLevel="0" collapsed="false">
      <c r="A8" s="6" t="s">
        <v>2280</v>
      </c>
      <c r="B8" s="6" t="s">
        <v>2281</v>
      </c>
      <c r="C8" s="6" t="s">
        <v>2282</v>
      </c>
      <c r="D8" s="6" t="s">
        <v>2283</v>
      </c>
      <c r="E8" s="6" t="s">
        <v>2284</v>
      </c>
    </row>
    <row r="9" customFormat="false" ht="23.85" hidden="false" customHeight="false" outlineLevel="0" collapsed="false">
      <c r="A9" s="6" t="s">
        <v>2285</v>
      </c>
      <c r="B9" s="6" t="s">
        <v>2286</v>
      </c>
      <c r="C9" s="6" t="s">
        <v>2287</v>
      </c>
      <c r="D9" s="6" t="s">
        <v>2288</v>
      </c>
      <c r="E9" s="6" t="s">
        <v>2289</v>
      </c>
    </row>
    <row r="11" customFormat="false" ht="15" hidden="false" customHeight="false" outlineLevel="0" collapsed="false">
      <c r="A11" s="9" t="s">
        <v>2290</v>
      </c>
    </row>
    <row r="12" customFormat="false" ht="15" hidden="false" customHeight="false" outlineLevel="0" collapsed="false">
      <c r="A12" s="10" t="s">
        <v>2291</v>
      </c>
      <c r="B12" s="10" t="s">
        <v>2292</v>
      </c>
      <c r="C12" s="10" t="s">
        <v>2118</v>
      </c>
      <c r="D12" s="10" t="s">
        <v>2293</v>
      </c>
    </row>
    <row r="13" customFormat="false" ht="15" hidden="false" customHeight="false" outlineLevel="0" collapsed="false">
      <c r="A13" s="6" t="s">
        <v>2294</v>
      </c>
      <c r="B13" s="6" t="s">
        <v>2295</v>
      </c>
      <c r="C13" s="6" t="s">
        <v>2296</v>
      </c>
      <c r="D13" s="6" t="s">
        <v>2297</v>
      </c>
    </row>
    <row r="14" customFormat="false" ht="35.05" hidden="false" customHeight="false" outlineLevel="0" collapsed="false">
      <c r="A14" s="6" t="s">
        <v>2294</v>
      </c>
      <c r="B14" s="6" t="s">
        <v>2298</v>
      </c>
      <c r="C14" s="6" t="s">
        <v>2299</v>
      </c>
      <c r="D14" s="6" t="s">
        <v>2300</v>
      </c>
    </row>
    <row r="15" customFormat="false" ht="23.85" hidden="false" customHeight="false" outlineLevel="0" collapsed="false">
      <c r="A15" s="6" t="s">
        <v>2294</v>
      </c>
      <c r="B15" s="6" t="s">
        <v>2301</v>
      </c>
      <c r="C15" s="6" t="s">
        <v>2302</v>
      </c>
      <c r="D15" s="6" t="s">
        <v>2303</v>
      </c>
    </row>
    <row r="16" customFormat="false" ht="23.85" hidden="false" customHeight="false" outlineLevel="0" collapsed="false">
      <c r="A16" s="6" t="s">
        <v>2294</v>
      </c>
      <c r="B16" s="6" t="s">
        <v>2304</v>
      </c>
      <c r="C16" s="6" t="s">
        <v>2305</v>
      </c>
      <c r="D16" s="6" t="s">
        <v>2306</v>
      </c>
    </row>
    <row r="17" customFormat="false" ht="23.85" hidden="false" customHeight="false" outlineLevel="0" collapsed="false">
      <c r="A17" s="6" t="s">
        <v>2294</v>
      </c>
      <c r="B17" s="6" t="s">
        <v>2307</v>
      </c>
      <c r="C17" s="6" t="s">
        <v>2308</v>
      </c>
      <c r="D17" s="6" t="s">
        <v>2309</v>
      </c>
    </row>
    <row r="18" customFormat="false" ht="23.85" hidden="false" customHeight="false" outlineLevel="0" collapsed="false">
      <c r="A18" s="6" t="s">
        <v>2294</v>
      </c>
      <c r="B18" s="6" t="s">
        <v>2310</v>
      </c>
      <c r="C18" s="6" t="s">
        <v>2311</v>
      </c>
      <c r="D18" s="6" t="s">
        <v>2312</v>
      </c>
    </row>
    <row r="19" customFormat="false" ht="35.05" hidden="false" customHeight="false" outlineLevel="0" collapsed="false">
      <c r="A19" s="6" t="s">
        <v>2313</v>
      </c>
      <c r="B19" s="6" t="s">
        <v>95</v>
      </c>
      <c r="C19" s="6" t="s">
        <v>2314</v>
      </c>
      <c r="D19" s="6" t="s">
        <v>2315</v>
      </c>
    </row>
    <row r="20" customFormat="false" ht="15" hidden="false" customHeight="false" outlineLevel="0" collapsed="false">
      <c r="A20" s="6" t="s">
        <v>2316</v>
      </c>
      <c r="B20" s="6" t="s">
        <v>63</v>
      </c>
      <c r="C20" s="6" t="s">
        <v>2317</v>
      </c>
      <c r="D20" s="6" t="s">
        <v>2318</v>
      </c>
    </row>
    <row r="21" customFormat="false" ht="35.05" hidden="false" customHeight="false" outlineLevel="0" collapsed="false">
      <c r="A21" s="6" t="s">
        <v>2316</v>
      </c>
      <c r="B21" s="6" t="s">
        <v>68</v>
      </c>
      <c r="C21" s="6" t="s">
        <v>2319</v>
      </c>
      <c r="D21" s="6" t="s">
        <v>2320</v>
      </c>
    </row>
    <row r="22" customFormat="false" ht="23.85" hidden="false" customHeight="false" outlineLevel="0" collapsed="false">
      <c r="A22" s="6" t="s">
        <v>2316</v>
      </c>
      <c r="B22" s="6" t="s">
        <v>2321</v>
      </c>
      <c r="C22" s="6" t="s">
        <v>2322</v>
      </c>
      <c r="D22" s="6" t="s">
        <v>2323</v>
      </c>
    </row>
    <row r="23" customFormat="false" ht="23.85" hidden="false" customHeight="false" outlineLevel="0" collapsed="false">
      <c r="A23" s="6" t="s">
        <v>2316</v>
      </c>
      <c r="B23" s="6" t="s">
        <v>2324</v>
      </c>
      <c r="C23" s="6" t="s">
        <v>2325</v>
      </c>
      <c r="D23" s="6" t="s">
        <v>2326</v>
      </c>
    </row>
    <row r="24" customFormat="false" ht="23.85" hidden="false" customHeight="false" outlineLevel="0" collapsed="false">
      <c r="A24" s="6" t="s">
        <v>2232</v>
      </c>
      <c r="B24" s="6" t="s">
        <v>185</v>
      </c>
      <c r="C24" s="6" t="s">
        <v>2327</v>
      </c>
      <c r="D24" s="6" t="s">
        <v>2328</v>
      </c>
    </row>
    <row r="25" customFormat="false" ht="23.85" hidden="false" customHeight="false" outlineLevel="0" collapsed="false">
      <c r="A25" s="6" t="s">
        <v>2232</v>
      </c>
      <c r="B25" s="6" t="s">
        <v>201</v>
      </c>
      <c r="C25" s="6" t="s">
        <v>2329</v>
      </c>
      <c r="D25" s="6" t="s">
        <v>2330</v>
      </c>
    </row>
    <row r="26" customFormat="false" ht="15" hidden="false" customHeight="false" outlineLevel="0" collapsed="false">
      <c r="A26" s="6" t="s">
        <v>2232</v>
      </c>
      <c r="B26" s="6" t="s">
        <v>354</v>
      </c>
      <c r="C26" s="6" t="s">
        <v>2331</v>
      </c>
      <c r="D26" s="6" t="s">
        <v>2332</v>
      </c>
    </row>
    <row r="27" customFormat="false" ht="35.05" hidden="false" customHeight="false" outlineLevel="0" collapsed="false">
      <c r="A27" s="6" t="s">
        <v>2333</v>
      </c>
      <c r="B27" s="6" t="s">
        <v>482</v>
      </c>
      <c r="C27" s="6" t="s">
        <v>2334</v>
      </c>
      <c r="D27" s="6" t="s">
        <v>2335</v>
      </c>
    </row>
    <row r="29" customFormat="false" ht="15" hidden="false" customHeight="false" outlineLevel="0" collapsed="false">
      <c r="A29" s="9" t="s">
        <v>2336</v>
      </c>
    </row>
    <row r="30" customFormat="false" ht="15" hidden="false" customHeight="false" outlineLevel="0" collapsed="false">
      <c r="A30" s="10" t="s">
        <v>2337</v>
      </c>
      <c r="B30" s="10" t="s">
        <v>2338</v>
      </c>
      <c r="C30" s="10" t="s">
        <v>2339</v>
      </c>
      <c r="D30" s="10" t="s">
        <v>41</v>
      </c>
    </row>
    <row r="31" customFormat="false" ht="46.25" hidden="false" customHeight="false" outlineLevel="0" collapsed="false">
      <c r="A31" s="6" t="s">
        <v>2340</v>
      </c>
      <c r="B31" s="6" t="s">
        <v>2341</v>
      </c>
      <c r="C31" s="6" t="s">
        <v>2342</v>
      </c>
      <c r="D31" s="6" t="s">
        <v>2343</v>
      </c>
    </row>
    <row r="32" customFormat="false" ht="23.85" hidden="false" customHeight="false" outlineLevel="0" collapsed="false">
      <c r="A32" s="6" t="s">
        <v>2344</v>
      </c>
      <c r="B32" s="6" t="s">
        <v>2345</v>
      </c>
      <c r="C32" s="6" t="s">
        <v>2346</v>
      </c>
      <c r="D32" s="6" t="s">
        <v>2343</v>
      </c>
    </row>
    <row r="33" customFormat="false" ht="35.05" hidden="false" customHeight="false" outlineLevel="0" collapsed="false">
      <c r="A33" s="6" t="s">
        <v>2347</v>
      </c>
      <c r="B33" s="6" t="s">
        <v>2348</v>
      </c>
      <c r="C33" s="6" t="s">
        <v>2349</v>
      </c>
      <c r="D33" s="6" t="s">
        <v>2350</v>
      </c>
    </row>
    <row r="34" customFormat="false" ht="23.85" hidden="false" customHeight="false" outlineLevel="0" collapsed="false">
      <c r="A34" s="6" t="s">
        <v>2351</v>
      </c>
      <c r="B34" s="6" t="s">
        <v>2352</v>
      </c>
      <c r="C34" s="6" t="s">
        <v>2353</v>
      </c>
      <c r="D34" s="6" t="s">
        <v>2354</v>
      </c>
    </row>
    <row r="35" customFormat="false" ht="23.85" hidden="false" customHeight="false" outlineLevel="0" collapsed="false">
      <c r="A35" s="6" t="s">
        <v>2355</v>
      </c>
      <c r="B35" s="6" t="s">
        <v>2356</v>
      </c>
      <c r="C35" s="6" t="s">
        <v>2357</v>
      </c>
      <c r="D35" s="6" t="s">
        <v>2358</v>
      </c>
    </row>
    <row r="36" customFormat="false" ht="35.05" hidden="false" customHeight="false" outlineLevel="0" collapsed="false">
      <c r="A36" s="6" t="s">
        <v>2359</v>
      </c>
      <c r="B36" s="6" t="s">
        <v>2360</v>
      </c>
      <c r="C36" s="6" t="s">
        <v>2361</v>
      </c>
      <c r="D36" s="6" t="s">
        <v>2362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2026-10-17T12:01:56Z</dcterms:created>
  <dc:creator>openpyxl</dc:creator>
  <dc:description/>
  <dc:language>en-US</dc:language>
  <cp:lastModifiedBy/>
  <dcterms:modified xsi:type="dcterms:W3CDTF">2026-10-17T12:01:56Z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