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Katalog!$A$1:$Y$292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<sst xmlns="http://schemas.openxmlformats.org/spreadsheetml/2006/main" count="6809" uniqueCount="2379">
  <si>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</si>
  <si>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</si>
  <si>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</si>
  <si>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</si>
  <si>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</si>
  <si>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</si>
  <si>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</si>
  <si>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</si>
  <si>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</si>
  <si>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</si>
  <si>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</si>
  <si>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</si>
  <si>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</si>
  <si>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</si>
  <si>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</si>
  <si>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</si>
  <si>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</si>
  <si>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</si>
  <si>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</si>
  <si>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</si>
  <si>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</si>
  <si>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</si>
  <si>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</si>
  <si>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</si>
  <si>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</si>
  <si>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</si>
  <si>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</si>
  <si>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</si>
  <si>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</si>
  <si>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</si>
  <si>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</si>
  <si>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</si>
  <si>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</si>
  <si>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</si>
  <si>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</si>
  <si>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</si>
  <si>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</si>
  <si>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</si>
  <si>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</si>
  <si>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</si>
  <si>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</si>
  <si>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</si>
  <si>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</si>
  <si>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</si>
  <si>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</si>
  <si>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</si>
  <si>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</si>
  <si>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</si>
  <si>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</si>
  <si>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</si>
  <si>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</si>
  <si>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</si>
  <si>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</si>
  <si>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</si>
  <si>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</si>
  <si>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</si>
  <si>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</si>
  <si>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</si>
  <si>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</si>
  <si>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</si>
  <si>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</si>
  <si>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</si>
  <si>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</si>
  <si>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</si>
  <si>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</si>
  <si>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</si>
  <si>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</si>
  <si>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</si>
  <si>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</si>
  <si>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</si>
  <si>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</si>
  <si>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</si>
  <si>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</si>
  <si>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</si>
  <si>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</si>
  <si>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</si>
  <si>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</si>
  <si>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</si>
  <si>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</si>
  <si>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</si>
  <si>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</si>
  <si>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</si>
  <si>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</si>
  <si>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</si>
  <si>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</si>
  <si>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</si>
  <si>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</si>
  <si>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</si>
  <si>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</si>
  <si>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</si>
  <si>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</si>
  <si>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</si>
  <si>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</si>
  <si>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</si>
  <si>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</si>
  <si>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</si>
  <si>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</si>
  <si>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</si>
  <si>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</si>
  <si>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</si>
  <si>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</si>
  <si>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</si>
  <si>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</si>
  <si>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</si>
  <si>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</si>
  <si>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</si>
  <si>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</si>
  <si>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</si>
  <si>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</si>
  <si>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</si>
  <si>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</si>
  <si>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</si>
  <si>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</si>
  <si>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</si>
  <si>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</si>
  <si>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</si>
  <si>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</si>
  <si>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</si>
  <si>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</si>
  <si>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</si>
  <si>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</si>
  <si>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</si>
  <si>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</si>
  <si>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</si>
  <si>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</si>
  <si>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</si>
  <si>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</si>
  <si>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</si>
  <si>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</si>
  <si>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</si>
  <si>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</si>
  <si>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</si>
  <si>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</si>
  <si>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</si>
  <si>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</si>
  <si>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</si>
  <si>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</si>
  <si>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</si>
  <si>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</si>
  <si>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</si>
  <si>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</si>
  <si>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</si>
  <si>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</si>
  <si>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</si>
  <si>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</si>
  <si>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</si>
  <si>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</si>
  <si>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</si>
  <si>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</si>
  <si>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</si>
  <si>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</si>
  <si>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</si>
  <si>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</si>
  <si>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</si>
  <si>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</si>
  <si>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</si>
  <si>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</si>
  <si>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</si>
  <si>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</si>
  <si>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</si>
  <si>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</si>
  <si>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</si>
  <si>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</si>
  <si>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</si>
  <si>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</si>
  <si>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</si>
  <si>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</si>
  <si>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</si>
  <si>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</si>
  <si>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</si>
  <si>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</si>
  <si>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</si>
  <si>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</si>
  <si>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</si>
  <si>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</si>
  <si>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</si>
  <si>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</si>
  <si>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</si>
  <si>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</si>
  <si>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</si>
  <si>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</si>
  <si>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</si>
  <si>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</si>
  <si>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</si>
  <si>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</si>
  <si>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</si>
  <si>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</si>
  <si>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</si>
  <si>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</si>
  <si>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</si>
  <si>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</si>
  <si>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</si>
  <si>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</si>
  <si>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</si>
  <si>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</si>
  <si>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</si>
  <si>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</si>
  <si>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</si>
  <si>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</si>
  <si>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</si>
  <si>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</si>
  <si>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</si>
  <si>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</si>
  <si>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</si>
  <si>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</si>
  <si>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</si>
  <si>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</si>
  <si>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</si>
  <si>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</si>
  <si>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</si>
  <si>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</si>
  <si>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</si>
  <si>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</si>
  <si>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</si>
  <si>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</si>
  <si>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</si>
  <si>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</si>
  <si>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</si>
  <si>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</si>
  <si>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</si>
  <si>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</si>
  <si>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</si>
  <si>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</si>
  <si>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</si>
  <si>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</si>
  <si>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</si>
  <si>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</si>
  <si>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</si>
  <si>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</si>
  <si>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</si>
  <si>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</si>
  <si>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</si>
  <si>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</si>
  <si>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</si>
  <si>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</si>
  <si>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</si>
  <si>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</si>
  <si>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</si>
  <si>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</si>
  <si>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</si>
  <si>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</si>
  <si>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</si>
  <si>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</si>
  <si>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</si>
  <si>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</si>
  <si>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</si>
  <si>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</si>
  <si>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</si>
  <si>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</si>
  <si>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</si>
  <si>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</si>
  <si>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</si>
  <si>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</si>
  <si>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</si>
  <si>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</si>
  <si>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</si>
  <si>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</si>
  <si>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</si>
  <si>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</si>
  <si>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</si>
  <si>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</si>
  <si>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</si>
  <si>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</si>
  <si>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</si>
  <si>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</si>
  <si>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</si>
  <si>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</si>
  <si>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</si>
  <si>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</si>
  <si>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</si>
  <si>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</si>
  <si>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</si>
  <si>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</si>
  <si>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</si>
  <si>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</si>
  <si>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</si>
  <si>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</si>
  <si>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</si>
  <si>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</si>
  <si>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</si>
  <si>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</si>
  <si>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</si>
  <si>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</si>
  <si>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</si>
  <si>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</si>
  <si>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</si>
  <si>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</si>
  <si>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</si>
  <si>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</si>
  <si>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</si>
  <si>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</si>
  <si>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</si>
  <si>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</si>
  <si>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</si>
  <si>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</si>
  <si>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</si>
  <si>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</si>
  <si>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</si>
  <si>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</si>
  <si>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</si>
  <si>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</si>
  <si>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</si>
  <si>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</si>
  <si>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</si>
  <si>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</si>
  <si>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</si>
  <si>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</si>
  <si>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</si>
  <si>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</si>
  <si>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</si>
  <si>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</si>
  <si>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</si>
  <si>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</si>
  <si>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</si>
  <si>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</si>
  <si>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</si>
  <si>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</si>
  <si>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</si>
  <si>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</si>
  <si>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</si>
  <si>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</si>
  <si>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</si>
  <si>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</si>
  <si>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</si>
  <si>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</si>
  <si>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</si>
  <si>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</si>
  <si>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</si>
  <si>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</si>
  <si>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</si>
  <si>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</si>
  <si>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</si>
  <si>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</si>
  <si>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</si>
  <si>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</si>
  <si>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</si>
  <si>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</si>
  <si>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</si>
  <si>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</si>
  <si>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</si>
  <si>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</si>
  <si>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</si>
  <si>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</si>
  <si>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</si>
  <si>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</si>
  <si>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</si>
  <si>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</si>
  <si>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</si>
  <si>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</si>
  <si>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</si>
  <si>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</si>
  <si>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</si>
  <si>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</si>
  <si>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</si>
  <si>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</si>
  <si>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</si>
  <si>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</si>
  <si>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</si>
  <si>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</si>
  <si>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</si>
  <si>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</si>
  <si>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</si>
  <si>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</si>
  <si>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</si>
  <si>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</si>
  <si>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</si>
  <si>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</si>
  <si>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</si>
  <si>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</si>
  <si>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</si>
  <si>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</si>
  <si>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</si>
  <si>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</si>
  <si>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</si>
  <si>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</si>
  <si>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</si>
  <si>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</si>
  <si>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</si>
  <si>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</si>
  <si>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</si>
  <si>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</si>
  <si>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</si>
  <si>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</si>
  <si>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</si>
  <si>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</si>
  <si>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</si>
  <si>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</si>
  <si>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</si>
  <si>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</si>
  <si>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</si>
  <si>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</si>
  <si>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</si>
  <si>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</si>
  <si>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</si>
  <si>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</si>
  <si>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</si>
  <si>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</si>
  <si>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</si>
  <si>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</si>
  <si>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</si>
  <si>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</si>
  <si>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</si>
  <si>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</si>
  <si>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</si>
  <si>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</si>
  <si>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</si>
  <si>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</si>
  <si>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</si>
  <si>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</si>
  <si>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</si>
  <si>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</si>
  <si>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</si>
  <si>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</si>
  <si>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</si>
  <si>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</si>
  <si>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</si>
  <si>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</si>
  <si>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</si>
  <si>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</si>
  <si>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</si>
  <si>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</si>
  <si>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</si>
  <si>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</si>
  <si>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</si>
  <si>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</si>
  <si>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</si>
  <si>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</si>
  <si>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</si>
  <si>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</si>
  <si>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</si>
  <si>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</si>
  <si>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</si>
  <si>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</si>
  <si>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</si>
  <si>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</si>
  <si>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</si>
  <si>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</si>
  <si>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</si>
  <si>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</si>
  <si>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</si>
  <si>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</si>
  <si>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</si>
  <si>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</si>
  <si>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</si>
  <si>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</si>
  <si>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</si>
  <si>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</si>
  <si>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</si>
  <si>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</si>
  <si>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</si>
  <si>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</si>
  <si>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</si>
  <si>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</si>
  <si>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</si>
  <si>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</si>
  <si>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</si>
  <si>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</si>
  <si>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</si>
  <si>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</si>
  <si>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</si>
  <si>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</si>
  <si>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</si>
  <si>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</si>
  <si>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</si>
  <si>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</si>
  <si>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</si>
  <si>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</si>
  <si>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</si>
  <si>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</si>
  <si>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</si>
  <si>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</si>
  <si>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</si>
  <si>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</si>
  <si>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</si>
  <si>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</si>
  <si>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</si>
  <si>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</si>
  <si>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</si>
  <si>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</si>
  <si>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</si>
  <si>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</si>
  <si>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</si>
  <si>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</si>
  <si>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</si>
  <si>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</si>
  <si>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</si>
  <si>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</si>
  <si>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</si>
  <si>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</si>
  <si>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</si>
  <si>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</si>
  <si>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</si>
  <si>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</si>
  <si>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</si>
  <si>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</si>
  <si>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</si>
  <si>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</si>
  <si>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</si>
  <si>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</si>
  <si>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</si>
  <si>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</si>
  <si>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</si>
  <si>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</si>
  <si>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</si>
  <si>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</si>
  <si>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</si>
  <si>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</si>
  <si>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</si>
  <si>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</si>
  <si>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</si>
  <si>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</si>
  <si>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</si>
  <si>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</si>
  <si>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</si>
  <si>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</si>
  <si>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</si>
  <si>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</si>
  <si>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</si>
  <si>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</si>
  <si>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</si>
  <si>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</si>
  <si>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</si>
  <si>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</si>
  <si>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</si>
  <si>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</si>
  <si>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</si>
  <si>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</si>
  <si>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</si>
  <si>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</si>
  <si>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</si>
  <si>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</si>
  <si>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</si>
  <si>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</si>
  <si>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</si>
  <si>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</si>
  <si>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</si>
  <si>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</si>
  <si>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</si>
  <si>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</si>
  <si>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</si>
  <si>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</si>
  <si>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</si>
  <si>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</si>
  <si>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</si>
  <si>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</si>
  <si>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</si>
  <si>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</si>
  <si>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</si>
  <si>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</si>
  <si>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</si>
  <si>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</si>
  <si>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</si>
  <si>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</si>
  <si>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</si>
  <si>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</si>
  <si>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</si>
  <si>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</si>
  <si>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</si>
  <si>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</si>
  <si>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</si>
  <si>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</si>
  <si>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</si>
  <si>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</si>
  <si>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</si>
  <si>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</si>
  <si>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</si>
  <si>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</si>
  <si>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</si>
  <si>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</si>
  <si>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</si>
  <si>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</si>
  <si>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</si>
  <si>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</si>
  <si>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</si>
  <si>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</si>
  <si>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</si>
  <si>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</si>
  <si>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</si>
  <si>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</si>
  <si>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</si>
  <si>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</si>
  <si>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</si>
  <si>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</si>
  <si>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</si>
  <si>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</si>
  <si>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</si>
  <si>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</si>
  <si>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</si>
  <si>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</si>
  <si>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</si>
  <si>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</si>
  <si>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</si>
  <si>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</si>
  <si>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</si>
  <si>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</si>
  <si>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</si>
  <si>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</si>
  <si>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</si>
  <si>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</si>
  <si>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</si>
  <si>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</si>
  <si>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</si>
  <si>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</si>
  <si>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</si>
  <si>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</si>
  <si>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</si>
  <si>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</si>
  <si>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</si>
  <si>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</si>
  <si>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</si>
  <si>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</si>
  <si>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</si>
  <si>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</si>
  <si>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</si>
  <si>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</si>
  <si>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</si>
  <si>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</si>
  <si>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</si>
  <si>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</si>
  <si>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</si>
  <si>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</si>
  <si>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</si>
  <si>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</si>
  <si>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</si>
  <si>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</si>
  <si>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</si>
  <si>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</si>
  <si>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</si>
  <si>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</si>
  <si>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</si>
  <si>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</si>
  <si>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</si>
  <si>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</si>
  <si>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</si>
  <si>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</si>
  <si>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</si>
  <si>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</si>
  <si>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</si>
  <si>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</si>
  <si>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</si>
  <si>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</si>
  <si>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</si>
  <si>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</si>
  <si>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</si>
  <si>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</si>
  <si>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</si>
  <si>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</si>
  <si>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</si>
  <si>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</si>
  <si>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</si>
  <si>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</si>
  <si>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</si>
  <si>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</si>
  <si>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</si>
  <si>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</si>
  <si>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</si>
  <si>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</si>
  <si>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</si>
  <si>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</si>
  <si>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</si>
  <si>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</si>
  <si>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</si>
  <si>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</si>
  <si>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</si>
  <si>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</si>
  <si>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</si>
  <si>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</si>
  <si>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</si>
  <si>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</si>
  <si>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</si>
  <si>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</si>
  <si>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</si>
  <si>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</si>
  <si>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</si>
  <si>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</si>
  <si>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</si>
  <si>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</si>
  <si>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</si>
  <si>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</si>
  <si>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</si>
  <si>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</si>
  <si>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</si>
  <si>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</si>
  <si>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</si>
  <si>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</si>
  <si>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</si>
  <si>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</si>
  <si>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</si>
  <si>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</si>
  <si>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</si>
  <si>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</si>
  <si>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</si>
  <si>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</si>
  <si>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</si>
  <si>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</si>
  <si>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</si>
  <si>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</si>
  <si>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</si>
  <si>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</si>
  <si>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</si>
  <si>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</si>
  <si>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</si>
  <si>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</si>
  <si>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</si>
  <si>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</si>
  <si>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</si>
  <si>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</si>
  <si>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</si>
  <si>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</si>
  <si>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</si>
  <si>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</si>
  <si>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</si>
  <si>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</si>
  <si>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</si>
  <si>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</si>
  <si>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</si>
  <si>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</si>
  <si>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</si>
  <si>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</si>
  <si>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</si>
  <si>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</si>
  <si>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</si>
  <si>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</si>
  <si>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</si>
  <si>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</si>
  <si>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</si>
  <si>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</si>
  <si>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</si>
  <si>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</si>
  <si>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</si>
  <si>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</si>
  <si>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</si>
  <si>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</si>
  <si>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</si>
  <si>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</si>
  <si>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</si>
  <si>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</si>
  <si>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</si>
  <si>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</si>
  <si>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</si>
  <si>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</si>
  <si>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</si>
  <si>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</si>
  <si>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</si>
  <si>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</si>
  <si>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</si>
  <si>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</si>
  <si>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</si>
  <si>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</si>
  <si>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</si>
  <si>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</si>
  <si>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</si>
  <si>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</si>
  <si>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</si>
  <si>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</si>
  <si>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</si>
  <si>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</si>
  <si>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</si>
  <si>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</si>
  <si>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</si>
  <si>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</si>
  <si>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</si>
  <si>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</si>
  <si>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</si>
  <si>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</si>
  <si>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</si>
  <si>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</si>
  <si>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</si>
  <si>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</si>
  <si>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</si>
  <si>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</si>
  <si>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</si>
  <si>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</si>
  <si>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</si>
  <si>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</si>
  <si>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</si>
  <si>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</si>
  <si>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</si>
  <si>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</si>
  <si>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</si>
  <si>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</si>
  <si>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</si>
  <si>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</si>
  <si>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</si>
  <si>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</si>
  <si>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</si>
  <si>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</si>
  <si>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</si>
  <si>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</si>
  <si>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</si>
  <si>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</si>
  <si>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</si>
  <si>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</si>
  <si>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</si>
  <si>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</si>
  <si>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</si>
  <si>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</si>
  <si>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</si>
  <si>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</si>
  <si>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</si>
  <si>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</si>
  <si>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</si>
  <si>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</si>
  <si>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</si>
  <si>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</si>
  <si>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</si>
  <si>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</si>
  <si>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</si>
  <si>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</si>
  <si>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</si>
  <si>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</si>
  <si>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</si>
  <si>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</si>
  <si>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</si>
  <si>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</si>
  <si>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</si>
  <si>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</si>
  <si>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</si>
  <si>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</si>
  <si>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</si>
  <si>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</si>
  <si>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</si>
  <si>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</si>
  <si>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</si>
  <si>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</si>
  <si>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</si>
  <si>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</si>
  <si>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</si>
  <si>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</si>
  <si>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</si>
  <si>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</si>
  <si>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</si>
  <si>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</si>
  <si>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</si>
  <si>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</si>
  <si>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</si>
  <si>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</si>
  <si>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</si>
  <si>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</si>
  <si>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</si>
  <si>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</si>
  <si>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</si>
  <si>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</si>
  <si>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</si>
  <si>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</si>
  <si>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</si>
  <si>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</si>
  <si>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</si>
  <si>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</si>
  <si>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</si>
  <si>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</si>
  <si>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</si>
  <si>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</si>
  <si>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</si>
  <si>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</si>
  <si>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</si>
  <si>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</si>
  <si>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</si>
  <si>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</si>
  <si>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</si>
  <si>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</si>
  <si>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</si>
  <si>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</si>
  <si>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</si>
  <si>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</si>
  <si>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</si>
  <si>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</si>
  <si>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</si>
  <si>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</si>
  <si>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</si>
  <si>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</si>
  <si>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</si>
  <si>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</si>
  <si>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</si>
  <si>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</si>
  <si>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</si>
  <si>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</si>
  <si>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</si>
  <si>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</si>
  <si>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</si>
  <si>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</si>
  <si>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</si>
  <si>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</si>
  <si>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</si>
  <si>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</si>
  <si>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</si>
  <si>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</si>
  <si>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</si>
  <si>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</si>
  <si>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</si>
  <si>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</si>
  <si>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</si>
  <si>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</si>
  <si>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</si>
  <si>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</si>
  <si>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</si>
  <si>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</si>
  <si>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</si>
  <si>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</si>
  <si>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</si>
  <si>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</si>
  <si>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</si>
  <si>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</si>
  <si>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</si>
  <si>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</si>
  <si>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</si>
  <si>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</si>
  <si>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</si>
  <si>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</si>
  <si>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</si>
  <si>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</si>
  <si>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</si>
  <si>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</si>
  <si>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</si>
  <si>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</si>
  <si>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</si>
  <si>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</si>
  <si>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</si>
  <si>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</si>
  <si>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</si>
  <si>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</si>
  <si>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</si>
  <si>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</si>
  <si>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</si>
  <si>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</si>
  <si>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</si>
  <si>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</si>
  <si>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</si>
  <si>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</si>
  <si>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</si>
  <si>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</si>
  <si>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</si>
  <si>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</si>
  <si>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</si>
  <si>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</si>
  <si>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</si>
  <si>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</si>
  <si>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</si>
  <si>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</si>
  <si>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</si>
  <si>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</si>
  <si>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</si>
  <si>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</si>
  <si>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</si>
  <si>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</si>
  <si>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</si>
  <si>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</si>
  <si>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</si>
  <si>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</si>
  <si>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</si>
  <si>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</si>
  <si>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</si>
  <si>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</si>
  <si>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</si>
  <si>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</si>
  <si>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</si>
  <si>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</si>
  <si>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</si>
  <si>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</si>
  <si>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</si>
  <si>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</si>
  <si>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</si>
  <si>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</si>
  <si>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</si>
  <si>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</si>
  <si>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</si>
  <si>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</si>
  <si>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</si>
  <si>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</si>
  <si>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</si>
  <si>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</si>
  <si>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</si>
  <si>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</si>
  <si>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</si>
  <si>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</si>
  <si>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</si>
  <si>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</si>
  <si>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</si>
  <si>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</si>
  <si>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</si>
  <si>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</si>
  <si>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</si>
  <si>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</si>
  <si>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</si>
  <si>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</si>
  <si>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</si>
  <si>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</si>
  <si>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</si>
  <si>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</si>
  <si>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</si>
  <si>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</si>
  <si>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</si>
  <si>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</si>
  <si>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</si>
  <si>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</si>
  <si>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</si>
  <si>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</si>
  <si>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</si>
  <si>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</si>
  <si>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</si>
  <si>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</si>
  <si>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</si>
  <si>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</si>
  <si>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</si>
  <si>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</si>
  <si>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</si>
  <si>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</si>
  <si>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</si>
  <si>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</si>
  <si>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</si>
  <si>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</si>
  <si>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</si>
  <si>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</si>
  <si>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</si>
  <si>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</si>
  <si>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</si>
  <si>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</si>
  <si>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</si>
  <si>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</si>
  <si>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</si>
  <si>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</si>
  <si>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</si>
  <si>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</si>
  <si>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</si>
  <si>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</si>
  <si>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</si>
  <si>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</si>
  <si>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</si>
  <si>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</si>
  <si>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</si>
  <si>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</si>
  <si>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</si>
  <si>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</si>
  <si>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</si>
  <si>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</si>
  <si>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</si>
  <si>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</si>
  <si>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</si>
  <si>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</si>
  <si>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</si>
  <si>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</si>
  <si>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</si>
  <si>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</si>
  <si>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</si>
  <si>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</si>
  <si>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</si>
  <si>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</si>
  <si>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</si>
  <si>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</si>
  <si>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</si>
  <si>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</si>
  <si>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</si>
  <si>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</si>
  <si>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</si>
  <si>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</si>
  <si>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</si>
  <si>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</si>
  <si>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</si>
  <si>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</si>
  <si>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</si>
  <si>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</si>
  <si>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</si>
  <si>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</si>
  <si>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</si>
  <si>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</si>
  <si>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</si>
  <si>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</si>
  <si>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</si>
  <si>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</si>
  <si>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</si>
  <si>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</si>
  <si>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</si>
  <si>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</si>
  <si>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</si>
  <si>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</si>
  <si>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</si>
  <si>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</si>
  <si>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</si>
  <si>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</si>
  <si>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</si>
  <si>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</si>
  <si>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</si>
  <si>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</si>
  <si>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</si>
  <si>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</si>
  <si>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</si>
  <si>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</si>
  <si>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</si>
  <si>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</si>
  <si>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</si>
  <si>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</si>
  <si>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</si>
  <si>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</si>
  <si>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</si>
  <si>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</si>
  <si>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</si>
  <si>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</si>
  <si>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</si>
  <si>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</si>
  <si>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</si>
  <si>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</si>
  <si>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</si>
  <si>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</si>
  <si>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</si>
  <si>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</si>
  <si>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</si>
  <si>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</si>
  <si>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</si>
  <si>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</si>
  <si>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</si>
  <si>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</si>
  <si>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</si>
  <si>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</si>
  <si>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</si>
  <si>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</si>
  <si>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</si>
  <si>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</si>
  <si>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</si>
  <si>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</si>
  <si>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</si>
  <si>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</si>
  <si>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</si>
  <si>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</si>
  <si>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</si>
  <si>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</si>
  <si>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</si>
  <si>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</si>
  <si>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</si>
  <si>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</si>
  <si>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</si>
  <si>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</si>
  <si>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</si>
  <si>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</si>
  <si>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</si>
  <si>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</si>
  <si>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</si>
  <si>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</si>
  <si>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</si>
  <si>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</si>
  <si>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</si>
  <si>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</si>
  <si>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</si>
  <si>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</si>
  <si>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</si>
  <si>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</si>
  <si>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</si>
  <si>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</si>
  <si>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</si>
  <si>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</si>
  <si>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</si>
  <si>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</si>
  <si>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</si>
  <si>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</si>
  <si>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</si>
  <si>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</si>
  <si>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</si>
  <si>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</si>
  <si>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</si>
  <si>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</si>
  <si>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</si>
  <si>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</si>
  <si>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</si>
  <si>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</si>
  <si>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</si>
  <si>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</si>
  <si>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</si>
  <si>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</si>
  <si>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</si>
  <si>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</si>
  <si>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</si>
  <si>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</si>
  <si>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</si>
  <si>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</si>
  <si>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</si>
  <si>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</si>
  <si>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</si>
  <si>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</si>
  <si>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</si>
  <si>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</si>
  <si>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</si>
  <si>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</si>
  <si>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</si>
  <si>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</si>
  <si>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</si>
  <si>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</si>
  <si>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</si>
  <si>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</si>
  <si>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</si>
  <si>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</si>
  <si>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</si>
  <si>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</si>
  <si>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</si>
  <si>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</si>
  <si>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</si>
  <si>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</si>
  <si>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</si>
  <si>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</si>
  <si>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</si>
  <si>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</si>
  <si>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</si>
  <si>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</si>
  <si>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</si>
  <si>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</si>
  <si>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</si>
  <si>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</si>
  <si>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</si>
  <si>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</si>
  <si>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</si>
  <si>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</si>
  <si>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</si>
  <si>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</si>
  <si>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</si>
  <si>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</si>
  <si>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</si>
  <si>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</si>
  <si>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</si>
  <si>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</si>
  <si>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</si>
  <si>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</si>
  <si>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</si>
  <si>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</si>
  <si>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</si>
  <si>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</si>
  <si>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</si>
  <si>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</si>
  <si>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</si>
  <si>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</si>
  <si>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</si>
  <si>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</si>
  <si>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</si>
  <si>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</si>
  <si>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</si>
  <si>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</si>
  <si>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</si>
  <si>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</si>
  <si>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</si>
  <si>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</si>
  <si>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</si>
  <si>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</si>
  <si>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</si>
  <si>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</si>
  <si>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</si>
  <si>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</si>
  <si>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</si>
  <si>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</si>
  <si>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</si>
  <si>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</si>
  <si>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</si>
  <si>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</si>
  <si>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</si>
  <si>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</si>
  <si>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</si>
  <si>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</si>
  <si>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</si>
  <si>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</si>
  <si>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</si>
  <si>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</si>
  <si>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</si>
  <si>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</si>
  <si>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</si>
  <si>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</si>
  <si>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</si>
  <si>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</si>
  <si>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</si>
  <si>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</si>
  <si>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</si>
  <si>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</si>
  <si>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</si>
  <si>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</si>
  <si>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</si>
  <si>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</si>
  <si>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</si>
  <si>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</si>
  <si>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</si>
  <si>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</si>
  <si>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</si>
  <si>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</si>
  <si>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</si>
  <si>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</si>
  <si>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</si>
  <si>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</si>
  <si>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</si>
  <si>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</si>
  <si>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</si>
  <si>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</si>
  <si>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</si>
  <si>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</si>
  <si>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</si>
  <si>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</si>
  <si>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</si>
  <si>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</si>
  <si>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</si>
  <si>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</si>
  <si>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</si>
  <si>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</si>
  <si>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</si>
  <si>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</si>
  <si>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</si>
  <si>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</si>
  <si>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</si>
  <si>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</si>
  <si>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</si>
  <si>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</si>
  <si>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</si>
  <si>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</si>
  <si>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</si>
  <si>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</si>
  <si>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</si>
  <si>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</si>
  <si>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</si>
  <si>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</si>
  <si>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</si>
  <si>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</si>
  <si>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</si>
  <si>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</si>
  <si>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</si>
  <si>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</si>
  <si>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</si>
  <si>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</si>
  <si>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</si>
  <si>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</si>
  <si>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</si>
  <si>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</si>
  <si>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</si>
  <si>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</si>
  <si>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</si>
  <si>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</si>
  <si>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</si>
  <si>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</si>
  <si>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</si>
  <si>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</si>
  <si>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</si>
  <si>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</si>
  <si>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</si>
  <si>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</si>
  <si>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</si>
  <si>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</si>
  <si>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</si>
  <si>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</si>
  <si>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</si>
  <si>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</si>
  <si>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</si>
  <si>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</si>
  <si>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</si>
  <si>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</si>
  <si>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</si>
  <si>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</si>
  <si>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</si>
  <si>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</si>
  <si>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</si>
  <si>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</si>
  <si>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</si>
  <si>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</si>
  <si>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</si>
  <si>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</si>
  <si>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</si>
  <si>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</si>
  <si>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</si>
  <si>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</si>
  <si>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</si>
  <si>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</si>
  <si>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</si>
  <si>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</si>
  <si>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</si>
  <si>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</si>
  <si>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</si>
  <si>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</si>
  <si>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</si>
  <si>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</si>
  <si>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</si>
  <si>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</si>
  <si>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</si>
  <si>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</si>
  <si>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</si>
  <si>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</si>
  <si>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</si>
  <si>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</si>
  <si>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</si>
  <si>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</si>
  <si>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</si>
  <si>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</si>
  <si>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</si>
  <si>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</si>
  <si>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</si>
  <si>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</si>
  <si>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</si>
  <si>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</si>
  <si>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</si>
  <si>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</si>
  <si>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</si>
  <si>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</si>
  <si>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</si>
  <si>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</si>
  <si>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</si>
  <si>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</si>
  <si>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</si>
  <si>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</si>
  <si>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</si>
  <si>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</si>
  <si>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</si>
  <si>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</si>
  <si>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</si>
  <si>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</si>
  <si>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</si>
  <si>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</si>
  <si>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</si>
  <si>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</si>
  <si>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</si>
  <si>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</si>
  <si>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</si>
  <si>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</si>
  <si>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</si>
  <si>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</si>
  <si>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</si>
  <si>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</si>
  <si>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</si>
  <si>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</si>
  <si>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</si>
  <si>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</si>
  <si>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</si>
  <si>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</si>
  <si>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</si>
  <si>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</si>
  <si>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</si>
  <si>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</si>
  <si>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</si>
  <si>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</si>
  <si>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</si>
  <si>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</si>
  <si>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</si>
  <si>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</si>
  <si>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</si>
  <si>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</si>
  <si>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</si>
  <si>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</si>
  <si>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</si>
  <si>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</si>
  <si>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</si>
  <si>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</si>
  <si>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</si>
  <si>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</si>
  <si>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</si>
  <si>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</si>
  <si>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</si>
  <si>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</si>
  <si>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</si>
  <si>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</si>
  <si>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</si>
  <si>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</si>
  <si>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</si>
  <si>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</si>
  <si>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</si>
  <si>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</si>
  <si>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</si>
  <si>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</si>
  <si>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</si>
  <si>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</si>
  <si>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</si>
  <si>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</si>
  <si>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</si>
  <si>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</si>
  <si>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</si>
  <si>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</si>
  <si>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</si>
  <si>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</si>
  <si>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</si>
  <si>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</si>
  <si>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</si>
  <si>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</si>
  <si>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</si>
  <si>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</si>
  <si>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</si>
  <si>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</si>
  <si>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</si>
  <si>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</si>
  <si>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</si>
  <si>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</si>
  <si>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</si>
  <si>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</si>
  <si>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</si>
  <si>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</si>
  <si>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</si>
  <si>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</si>
  <si>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</si>
  <si>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</si>
  <si>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</si>
  <si>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</si>
  <si>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</si>
  <si>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</si>
  <si>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</si>
  <si>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</si>
  <si>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</si>
  <si>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</si>
  <si>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</si>
  <si>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</si>
  <si>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</si>
  <si>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</si>
  <si>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</si>
  <si>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</si>
  <si>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</si>
  <si>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</si>
  <si>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</si>
  <si>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</si>
  <si>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</si>
  <si>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</si>
  <si>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</si>
  <si>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</si>
  <si>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</si>
  <si>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</si>
  <si>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</si>
  <si>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</si>
  <si>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</si>
  <si>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</si>
  <si>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</si>
  <si>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</si>
  <si>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</si>
  <si>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</si>
  <si>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</si>
  <si>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</si>
  <si>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</si>
  <si>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</si>
  <si>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</si>
  <si>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</si>
  <si>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</si>
  <si>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</si>
  <si>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</si>
  <si>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</si>
  <si>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</si>
  <si>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</si>
  <si>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</si>
  <si>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</si>
  <si>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</si>
  <si>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</si>
  <si>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</si>
  <si>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</si>
  <si>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</si>
  <si>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</si>
  <si>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</si>
  <si>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</si>
  <si>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</si>
  <si>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</si>
  <si>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</si>
  <si>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</si>
  <si>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</si>
  <si>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</si>
  <si>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</si>
  <si>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</si>
  <si>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</si>
  <si>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</si>
  <si>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</si>
  <si>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</si>
  <si>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</si>
  <si>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</si>
  <si>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</si>
  <si>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</si>
  <si>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</si>
  <si>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</si>
  <si>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</si>
  <si>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</si>
  <si>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</si>
  <si>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</si>
  <si>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</si>
  <si>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</si>
  <si>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</si>
  <si>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</si>
  <si>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</si>
  <si>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</si>
  <si>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</si>
  <si>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</si>
  <si>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</si>
  <si>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</si>
  <si>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</si>
  <si>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</si>
  <si>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</si>
  <si>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</si>
  <si>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</si>
  <si>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</si>
  <si>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</si>
  <si>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</si>
  <si>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</si>
  <si>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</si>
  <si>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</si>
  <si>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</si>
  <si>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</si>
  <si>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</si>
  <si>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</si>
  <si>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</si>
  <si>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</si>
  <si>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</si>
  <si>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</si>
  <si>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</si>
  <si>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</si>
  <si>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</si>
  <si>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</si>
  <si>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</si>
  <si>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</si>
  <si>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</si>
  <si>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</si>
  <si>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</si>
  <si>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</si>
  <si>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</si>
  <si>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</si>
  <si>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</si>
  <si>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</si>
  <si>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</si>
  <si>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</si>
  <si>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</si>
  <si>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</si>
  <si>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</si>
  <si>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</si>
  <si>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</si>
  <si>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</si>
  <si>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</si>
  <si>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</si>
  <si>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</si>
  <si>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</si>
  <si>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</si>
  <si>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</si>
  <si>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</si>
  <si>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</si>
  <si>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</si>
  <si>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</si>
  <si>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</si>
  <si>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</si>
  <si>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</si>
  <si>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</si>
  <si>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</si>
  <si>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</si>
  <si>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</si>
  <si>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</si>
  <si>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</si>
  <si>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</si>
  <si>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</si>
  <si>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</si>
  <si>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</si>
  <si>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</si>
  <si>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</si>
  <si>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</si>
  <si>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</si>
  <si>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</si>
  <si>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</si>
  <si>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</si>
  <si>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</si>
  <si>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</si>
  <si>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</si>
  <si>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</si>
  <si>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</si>
  <si>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</si>
  <si>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</si>
  <si>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</si>
  <si>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</si>
  <si>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</si>
  <si>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</si>
  <si>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</si>
  <si>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</si>
  <si>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</si>
  <si>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</si>
  <si>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</si>
  <si>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</si>
  <si>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</si>
  <si>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</si>
  <si>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</si>
  <si>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</si>
  <si>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</si>
  <si>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</si>
  <si>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</si>
  <si>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</si>
  <si>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</si>
  <si>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</si>
  <si>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</si>
  <si>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</si>
  <si>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</si>
  <si>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</si>
  <si>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</si>
  <si>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</si>
  <si>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</si>
  <si>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</si>
  <si>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</si>
  <si>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</si>
  <si>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</si>
  <si>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</si>
  <si>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</si>
  <si>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</si>
  <si>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</si>
  <si>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</si>
  <si>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</si>
  <si>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</si>
  <si>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</si>
  <si>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</si>
  <si>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</si>
  <si>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</si>
  <si>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</si>
  <si>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</si>
  <si>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</si>
  <si>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</si>
  <si>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</si>
  <si>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</si>
  <si>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</si>
  <si>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</si>
  <si>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</si>
  <si>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</si>
  <si>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</si>
  <si>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</si>
  <si>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</si>
  <si>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</si>
  <si>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</si>
  <si>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</si>
  <si>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</si>
  <si>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</si>
  <si>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</si>
  <si>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</si>
  <si>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</si>
  <si>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</si>
  <si>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</si>
  <si>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</si>
  <si>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</si>
  <si>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</si>
  <si>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</si>
  <si>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</si>
  <si>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</si>
  <si>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</si>
  <si>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</si>
  <si>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</si>
  <si>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</si>
  <si>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</si>
  <si>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</si>
  <si>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</si>
  <si>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</si>
  <si>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</si>
  <si>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</si>
  <si>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</si>
  <si>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</si>
  <si>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</si>
  <si>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</si>
  <si>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</si>
  <si>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</si>
  <si>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</si>
  <si>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</si>
  <si>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</si>
  <si>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</si>
  <si>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</si>
  <si>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</si>
  <si>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</si>
  <si>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</si>
  <si>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</si>
  <si>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</si>
  <si>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</si>
  <si>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</si>
  <si>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</si>
  <si>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</si>
  <si>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</si>
  <si>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</si>
  <si>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</si>
  <si>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</si>
  <si>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</si>
  <si>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</si>
  <si>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</si>
  <si>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</si>
  <si>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</si>
  <si>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</si>
  <si>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</si>
  <si>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</si>
  <si>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</si>
  <si>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</si>
  <si>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</si>
  <si>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</si>
  <si>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</si>
  <si>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</si>
  <si>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</si>
  <si>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</si>
  <si>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</si>
  <si>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</si>
  <si>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</si>
  <si>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</si>
  <si>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</si>
  <si>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</si>
  <si>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</si>
  <si>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</si>
  <si>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</si>
  <si>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</si>
  <si>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</si>
  <si>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</si>
  <si>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</si>
  <si>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</si>
  <si>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</si>
  <si>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</si>
  <si>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</si>
  <si>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</si>
  <si>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</si>
  <si>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</si>
  <si>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</si>
  <si>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</si>
  <si>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</si>
  <si>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</si>
  <si>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</si>
  <si>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</si>
  <si>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</si>
  <si>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</si>
  <si>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</si>
  <si>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</si>
  <si>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</si>
  <si>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</si>
  <si>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</si>
  <si>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</si>
  <si>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</si>
  <si>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</si>
  <si>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</si>
  <si>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</si>
  <si>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</si>
  <si>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</si>
  <si>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</si>
  <si>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</si>
  <si>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</si>
  <si>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</si>
  <si>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</si>
  <si>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</si>
  <si>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</si>
  <si>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</si>
  <si>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</si>
  <si>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</si>
  <si>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</si>
  <si>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</si>
  <si>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</si>
  <si>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</si>
  <si>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</si>
  <si>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</si>
  <si>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</si>
  <si>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</si>
  <si>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</si>
  <si>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</si>
  <si>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</si>
  <si>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</si>
  <si>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</si>
  <si>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</si>
  <si>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</si>
  <si>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</si>
  <si>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</si>
  <si>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</si>
  <si>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</si>
  <si>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</si>
  <si>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</si>
  <si>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</si>
  <si>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</si>
  <si>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</si>
  <si>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</si>
  <si>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</si>
  <si>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</si>
  <si>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</si>
  <si>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</si>
  <si>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</si>
  <si>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</si>
  <si>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</si>
  <si>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</si>
  <si>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</si>
  <si>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</si>
  <si>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</si>
  <si>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</si>
  <si>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</si>
  <si>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</si>
  <si>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</si>
  <si>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</si>
  <si>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</si>
  <si>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</si>
  <si>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</si>
  <si>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</si>
  <si>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</si>
  <si>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</si>
  <si>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</si>
  <si>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</si>
  <si>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</si>
  <si>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</si>
  <si>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</si>
  <si>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</si>
  <si>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</si>
  <si>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</si>
  <si>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</si>
  <si>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</si>
  <si>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</si>
  <si>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</si>
  <si>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</si>
  <si>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</si>
  <si>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</si>
  <si>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</si>
  <si>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</si>
  <si>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</si>
  <si>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</si>
  <si>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</si>
  <si>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</si>
  <si>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</si>
  <si>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</si>
  <si>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</si>
  <si>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</si>
  <si>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</si>
  <si>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</si>
  <si>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</si>
  <si>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</si>
  <si>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</si>
  <si>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</si>
  <si>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</si>
  <si>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</si>
  <si>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</si>
  <si>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</si>
  <si>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</si>
  <si>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</si>
  <si>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</si>
  <si>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</si>
  <si>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</si>
  <si>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</si>
  <si>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</si>
  <si>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</si>
  <si>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</si>
  <si>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</si>
  <si>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</si>
  <si>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</si>
  <si>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</si>
  <si>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</si>
  <si>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</si>
  <si>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</si>
  <si>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</si>
  <si>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</si>
  <si>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</si>
  <si>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</si>
  <si>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</si>
  <si>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</si>
  <si>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</si>
  <si>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</si>
  <si>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</si>
  <si>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</si>
  <si>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</si>
  <si>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</si>
  <si>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</si>
  <si>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</si>
  <si>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</si>
  <si>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</si>
  <si>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</si>
  <si>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</si>
  <si>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</si>
  <si>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</si>
  <si>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</si>
  <si>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</si>
  <si>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</si>
  <si>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</si>
  <si>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</si>
  <si>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</si>
  <si>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</si>
  <si>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</si>
  <si>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</si>
  <si>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</si>
  <si>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</si>
  <si>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</si>
  <si>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</si>
  <si>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</si>
  <si>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</si>
  <si>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</si>
  <si>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</si>
  <si>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</si>
  <si>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</si>
  <si>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</si>
  <si>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</si>
  <si>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</si>
  <si>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</si>
  <si>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</si>
  <si>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</si>
  <si>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</si>
  <si>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</si>
  <si>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</si>
  <si>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</si>
  <si>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</si>
  <si>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</si>
  <si>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</si>
  <si>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</si>
  <si>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</si>
  <si>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</si>
  <si>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</si>
  <si>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</si>
  <si>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</si>
  <si>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</si>
  <si>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</si>
  <si>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</si>
  <si>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</si>
  <si>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</si>
  <si>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</si>
  <si>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</si>
  <si>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</si>
  <si>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</si>
  <si>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</si>
  <si>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</si>
  <si>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</si>
  <si>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</si>
  <si>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</si>
  <si>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</si>
  <si>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</si>
  <si>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</si>
  <si>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</si>
  <si>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</si>
  <si>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</si>
  <si>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</si>
  <si>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</si>
  <si>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</si>
  <si>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</si>
  <si>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</si>
  <si>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</si>
  <si>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</si>
  <si>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</si>
  <si>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</si>
  <si>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</si>
  <si>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</si>
  <si>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</si>
  <si>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</si>
  <si>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</si>
  <si>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</si>
  <si>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</si>
  <si>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</si>
  <si>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</si>
  <si>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</si>
  <si>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</si>
  <si>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</si>
  <si>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</si>
  <si>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</si>
  <si>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</si>
  <si>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</si>
  <si>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</si>
  <si>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</si>
  <si>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</si>
  <si>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</si>
  <si>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</si>
  <si>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</si>
  <si>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</si>
  <si>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</si>
  <si>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</si>
  <si>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</si>
  <si>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</si>
  <si>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</si>
  <si>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</si>
  <si>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</si>
  <si>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</si>
  <si>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</si>
  <si>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</si>
  <si>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</si>
  <si>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</si>
  <si>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</si>
  <si>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</si>
  <si>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</si>
  <si>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</si>
  <si>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</si>
  <si>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</si>
  <si>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</si>
  <si>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</si>
  <si>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</si>
  <si>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</si>
  <si>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</si>
  <si>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</si>
  <si>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</si>
  <si>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</si>
  <si>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</si>
  <si>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</si>
  <si>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</si>
  <si>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</si>
  <si>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</si>
  <si>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</si>
  <si>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</si>
  <si>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</si>
  <si>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</si>
  <si>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</si>
  <si>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</si>
  <si>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</si>
  <si>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</si>
  <si>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</si>
  <si>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</si>
  <si>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</si>
  <si>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</si>
  <si>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</si>
  <si>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</si>
  <si>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</si>
  <si>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</si>
  <si>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</si>
  <si>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</si>
  <si>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</si>
  <si>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</si>
  <si>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</si>
  <si>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</si>
  <si>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</si>
  <si>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</si>
  <si>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</si>
  <si>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</si>
  <si>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</si>
  <si>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</si>
  <si>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</si>
  <si>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</si>
  <si>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</si>
  <si>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</si>
  <si>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</si>
  <si>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</si>
  <si>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</si>
  <si>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</si>
  <si>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</si>
  <si>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</si>
  <si>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</si>
  <si>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</si>
  <si>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</si>
  <si>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</si>
  <si>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</si>
  <si>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</si>
  <si>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</si>
  <si>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</si>
  <si>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</si>
  <si>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</si>
  <si>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</si>
  <si>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</si>
  <si>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</si>
  <si>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</si>
  <si>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</si>
  <si>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</si>
  <si>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</si>
  <si>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</si>
  <si>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</si>
  <si>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</si>
  <si>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</si>
  <si>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</si>
  <si>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</si>
  <si>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</si>
  <si>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</si>
  <si>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</si>
  <si>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</si>
  <si>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</si>
  <si>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</si>
  <si>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</si>
  <si>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</si>
  <si>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</si>
  <si>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</si>
  <si>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</si>
  <si>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</si>
  <si>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</si>
  <si>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</si>
  <si>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</si>
  <si>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</si>
  <si>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</si>
  <si>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</si>
  <si>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</si>
  <si>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</si>
  <si>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</si>
  <si>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</si>
  <si>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</si>
  <si>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</si>
  <si>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</si>
  <si>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</si>
  <si>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</si>
  <si>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</si>
  <si>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</si>
  <si>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</si>
  <si>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</si>
  <si>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</si>
  <si>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</si>
  <si>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</si>
  <si>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</si>
  <si>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</si>
  <si>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</si>
  <si>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</si>
  <si>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</si>
  <si>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</si>
  <si>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</si>
  <si>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</si>
  <si>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</si>
  <si>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</si>
  <si>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</si>
  <si>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</si>
  <si>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</si>
  <si>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</si>
  <si>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</si>
  <si>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</si>
  <si>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</si>
  <si>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</si>
  <si>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</si>
  <si>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</si>
  <si>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</si>
  <si>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</si>
  <si>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</si>
  <si>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</si>
  <si>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</si>
  <si>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</si>
  <si>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</si>
  <si>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</si>
  <si>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</si>
  <si>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</si>
  <si>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</si>
  <si>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</si>
  <si>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</si>
  <si>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</si>
  <si>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</si>
  <si>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</si>
  <si>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</si>
  <si>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</si>
  <si>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</si>
  <si>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</si>
  <si>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</si>
  <si>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</si>
  <si>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</si>
  <si>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</si>
  <si>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</si>
  <si>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</si>
  <si>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</si>
  <si>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</si>
  <si>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</si>
  <si>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</si>
  <si>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</si>
  <si>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</si>
  <si>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</si>
  <si>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</si>
  <si>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</si>
  <si>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</si>
  <si>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</si>
  <si>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</si>
  <si>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</si>
  <si>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</si>
  <si>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</si>
  <si>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</si>
  <si>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</si>
  <si>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</si>
  <si>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</si>
  <si>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</si>
  <si>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</si>
  <si>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</si>
  <si>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</si>
  <si>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</si>
  <si>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</si>
  <si>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</si>
  <si>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</si>
  <si>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</si>
  <si>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</si>
  <si>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</si>
  <si>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</si>
  <si>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</si>
  <si>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</si>
  <si>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Vascular ultrasound made simple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</si>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</sst>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2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3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3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4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4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3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4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3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4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4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0</v>
      </c>
      <c r="F220" s="6"/>
      <c r="G220" s="6"/>
      <c r="H220" s="6" t="str">
        <f aca="false">IF(G220&lt;&gt;"","Takroriy",IF(E220=0,"Yetishmaydi",IF(F220="ha","Qisman to‘ldirilgan","Mavjud, lekin tekshirilmagan")))</f>
        <v>Yetishmaydi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4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4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3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4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3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4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4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2044</v>
      </c>
      <c r="H269" s="6" t="s">
        <v>2045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847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2046</v>
      </c>
      <c r="B270" s="6" t="s">
        <v>428</v>
      </c>
      <c r="C270" s="6" t="s">
        <v>111</v>
      </c>
      <c r="D270" s="6" t="str">
        <f aca="false">IFERROR(INDEX(Mundarija!$D:$D,MATCH(B270,Mundarija!$A:$A,0)),"kod topilmadi")</f>
        <v>25.1. Qon tomirlarning normal sonografik anatomiyasi.</v>
      </c>
      <c r="E270" s="6" t="s">
        <v>2047</v>
      </c>
      <c r="F270" s="11" t="s">
        <v>2048</v>
      </c>
      <c r="G270" s="6" t="s">
        <v>1194</v>
      </c>
      <c r="H270" s="6" t="s">
        <v>895</v>
      </c>
      <c r="I270" s="6" t="s">
        <v>812</v>
      </c>
      <c r="J270" s="6" t="s">
        <v>812</v>
      </c>
      <c r="K270" s="6" t="s">
        <v>813</v>
      </c>
      <c r="L270" s="6" t="s">
        <v>814</v>
      </c>
      <c r="M270" s="6" t="s">
        <v>897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46.25" hidden="false" customHeight="false" outlineLevel="0" collapsed="false">
      <c r="A271" s="6" t="s">
        <v>2049</v>
      </c>
      <c r="B271" s="6" t="s">
        <v>428</v>
      </c>
      <c r="C271" s="6" t="s">
        <v>107</v>
      </c>
      <c r="D271" s="6" t="str">
        <f aca="false">IFERROR(INDEX(Mundarija!$D:$D,MATCH(B271,Mundarija!$A:$A,0)),"kod topilmadi")</f>
        <v>25.1. Qon tomirlarning normal sonografik anatomiyasi.</v>
      </c>
      <c r="E271" s="6" t="s">
        <v>2050</v>
      </c>
      <c r="F271" s="11" t="s">
        <v>2051</v>
      </c>
      <c r="G271" s="6" t="s">
        <v>2052</v>
      </c>
      <c r="H271" s="6" t="s">
        <v>2053</v>
      </c>
      <c r="I271" s="6" t="s">
        <v>812</v>
      </c>
      <c r="J271" s="6" t="s">
        <v>812</v>
      </c>
      <c r="K271" s="6" t="s">
        <v>813</v>
      </c>
      <c r="L271" s="6" t="s">
        <v>839</v>
      </c>
      <c r="M271" s="6" t="s">
        <v>847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2054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2055</v>
      </c>
      <c r="F272" s="11" t="s">
        <v>2056</v>
      </c>
      <c r="G272" s="6" t="s">
        <v>1534</v>
      </c>
      <c r="H272" s="6" t="s">
        <v>1592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826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2057</v>
      </c>
      <c r="B273" s="6" t="s">
        <v>432</v>
      </c>
      <c r="C273" s="6"/>
      <c r="D273" s="6" t="str">
        <f aca="false">IFERROR(INDEX(Mundarija!$D:$D,MATCH(B273,Mundarija!$A:$A,0)),"kod topilmadi")</f>
        <v>25.2. Karotid va vertebral arteriyalar.</v>
      </c>
      <c r="E273" s="6" t="s">
        <v>2058</v>
      </c>
      <c r="F273" s="11" t="s">
        <v>2059</v>
      </c>
      <c r="G273" s="6" t="s">
        <v>2060</v>
      </c>
      <c r="H273" s="6" t="s">
        <v>2061</v>
      </c>
      <c r="I273" s="6" t="s">
        <v>812</v>
      </c>
      <c r="J273" s="6" t="s">
        <v>812</v>
      </c>
      <c r="K273" s="6" t="s">
        <v>813</v>
      </c>
      <c r="L273" s="6" t="s">
        <v>1683</v>
      </c>
      <c r="M273" s="6" t="s">
        <v>847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2062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2063</v>
      </c>
      <c r="F274" s="11" t="s">
        <v>2064</v>
      </c>
      <c r="G274" s="6" t="s">
        <v>2065</v>
      </c>
      <c r="H274" s="6" t="s">
        <v>2066</v>
      </c>
      <c r="I274" s="6" t="s">
        <v>812</v>
      </c>
      <c r="J274" s="6" t="s">
        <v>812</v>
      </c>
      <c r="K274" s="6" t="s">
        <v>813</v>
      </c>
      <c r="L274" s="6" t="s">
        <v>1683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2067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2068</v>
      </c>
      <c r="F275" s="11" t="s">
        <v>2069</v>
      </c>
      <c r="G275" s="6" t="s">
        <v>2044</v>
      </c>
      <c r="H275" s="6" t="s">
        <v>2045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847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2070</v>
      </c>
      <c r="B276" s="6" t="s">
        <v>436</v>
      </c>
      <c r="C276" s="6"/>
      <c r="D276" s="6" t="str">
        <f aca="false">IFERROR(INDEX(Mundarija!$D:$D,MATCH(B276,Mundarija!$A:$A,0)),"kod topilmadi")</f>
        <v>25.4. Yuqori va pastki ekstremita arteriyalari.</v>
      </c>
      <c r="E276" s="6" t="s">
        <v>2071</v>
      </c>
      <c r="F276" s="11" t="s">
        <v>2072</v>
      </c>
      <c r="G276" s="6" t="s">
        <v>1563</v>
      </c>
      <c r="H276" s="6" t="s">
        <v>1115</v>
      </c>
      <c r="I276" s="6" t="s">
        <v>812</v>
      </c>
      <c r="J276" s="6" t="s">
        <v>812</v>
      </c>
      <c r="K276" s="6" t="s">
        <v>813</v>
      </c>
      <c r="L276" s="6" t="s">
        <v>839</v>
      </c>
      <c r="M276" s="6" t="s">
        <v>847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2073</v>
      </c>
      <c r="B277" s="6" t="s">
        <v>436</v>
      </c>
      <c r="C277" s="6"/>
      <c r="D277" s="6" t="str">
        <f aca="false">IFERROR(INDEX(Mundarija!$D:$D,MATCH(B277,Mundarija!$A:$A,0)),"kod topilmadi")</f>
        <v>25.4. Yuqori va pastki ekstremita arteriyalari.</v>
      </c>
      <c r="E277" s="6" t="s">
        <v>2074</v>
      </c>
      <c r="F277" s="11" t="s">
        <v>2075</v>
      </c>
      <c r="G277" s="6" t="s">
        <v>822</v>
      </c>
      <c r="H277" s="6" t="s">
        <v>2037</v>
      </c>
      <c r="I277" s="6" t="s">
        <v>812</v>
      </c>
      <c r="J277" s="6" t="s">
        <v>812</v>
      </c>
      <c r="K277" s="6" t="s">
        <v>813</v>
      </c>
      <c r="L277" s="6" t="s">
        <v>814</v>
      </c>
      <c r="M277" s="6" t="s">
        <v>826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2076</v>
      </c>
      <c r="B278" s="6" t="s">
        <v>436</v>
      </c>
      <c r="C278" s="6" t="s">
        <v>428</v>
      </c>
      <c r="D278" s="6" t="str">
        <f aca="false">IFERROR(INDEX(Mundarija!$D:$D,MATCH(B278,Mundarija!$A:$A,0)),"kod topilmadi")</f>
        <v>25.4. Yuqori va pastki ekstremita arteriyalari.</v>
      </c>
      <c r="E278" s="6" t="s">
        <v>2077</v>
      </c>
      <c r="F278" s="11" t="s">
        <v>2078</v>
      </c>
      <c r="G278" s="6" t="s">
        <v>1158</v>
      </c>
      <c r="H278" s="6" t="s">
        <v>1777</v>
      </c>
      <c r="I278" s="6" t="s">
        <v>812</v>
      </c>
      <c r="J278" s="6" t="s">
        <v>812</v>
      </c>
      <c r="K278" s="6" t="s">
        <v>813</v>
      </c>
      <c r="L278" s="6" t="s">
        <v>839</v>
      </c>
      <c r="M278" s="6" t="s">
        <v>847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2079</v>
      </c>
      <c r="B279" s="6" t="s">
        <v>440</v>
      </c>
      <c r="C279" s="6"/>
      <c r="D279" s="6" t="str">
        <f aca="false">IFERROR(INDEX(Mundarija!$D:$D,MATCH(B279,Mundarija!$A:$A,0)),"kod topilmadi")</f>
        <v>25.6. Yuzaki venalar va varikoz.</v>
      </c>
      <c r="E279" s="6" t="s">
        <v>2080</v>
      </c>
      <c r="F279" s="11" t="s">
        <v>2081</v>
      </c>
      <c r="G279" s="6" t="s">
        <v>2044</v>
      </c>
      <c r="H279" s="6" t="s">
        <v>2045</v>
      </c>
      <c r="I279" s="6" t="s">
        <v>812</v>
      </c>
      <c r="J279" s="6" t="s">
        <v>812</v>
      </c>
      <c r="K279" s="6" t="s">
        <v>813</v>
      </c>
      <c r="L279" s="6" t="s">
        <v>839</v>
      </c>
      <c r="M279" s="6" t="s">
        <v>826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2082</v>
      </c>
      <c r="B280" s="6" t="s">
        <v>440</v>
      </c>
      <c r="C280" s="6"/>
      <c r="D280" s="6" t="str">
        <f aca="false">IFERROR(INDEX(Mundarija!$D:$D,MATCH(B280,Mundarija!$A:$A,0)),"kod topilmadi")</f>
        <v>25.6. Yuzaki venalar va varikoz.</v>
      </c>
      <c r="E280" s="6" t="s">
        <v>2083</v>
      </c>
      <c r="F280" s="11" t="s">
        <v>2084</v>
      </c>
      <c r="G280" s="6" t="s">
        <v>2044</v>
      </c>
      <c r="H280" s="6" t="s">
        <v>2045</v>
      </c>
      <c r="I280" s="6" t="s">
        <v>812</v>
      </c>
      <c r="J280" s="6" t="s">
        <v>812</v>
      </c>
      <c r="K280" s="6" t="s">
        <v>813</v>
      </c>
      <c r="L280" s="6" t="s">
        <v>839</v>
      </c>
      <c r="M280" s="6" t="s">
        <v>826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46.25" hidden="false" customHeight="false" outlineLevel="0" collapsed="false">
      <c r="A281" s="6" t="s">
        <v>2085</v>
      </c>
      <c r="B281" s="6" t="s">
        <v>440</v>
      </c>
      <c r="C281" s="6" t="s">
        <v>438</v>
      </c>
      <c r="D281" s="6" t="str">
        <f aca="false">IFERROR(INDEX(Mundarija!$D:$D,MATCH(B281,Mundarija!$A:$A,0)),"kod topilmadi")</f>
        <v>25.6. Yuzaki venalar va varikoz.</v>
      </c>
      <c r="E281" s="6" t="s">
        <v>2086</v>
      </c>
      <c r="F281" s="11" t="s">
        <v>2087</v>
      </c>
      <c r="G281" s="6" t="s">
        <v>2052</v>
      </c>
      <c r="H281" s="6" t="s">
        <v>2053</v>
      </c>
      <c r="I281" s="6" t="s">
        <v>812</v>
      </c>
      <c r="J281" s="6" t="s">
        <v>812</v>
      </c>
      <c r="K281" s="6" t="s">
        <v>813</v>
      </c>
      <c r="L281" s="6" t="s">
        <v>839</v>
      </c>
      <c r="M281" s="6" t="s">
        <v>847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2088</v>
      </c>
      <c r="B282" s="6" t="s">
        <v>442</v>
      </c>
      <c r="C282" s="6" t="s">
        <v>251</v>
      </c>
      <c r="D282" s="6" t="str">
        <f aca="false">IFERROR(INDEX(Mundarija!$D:$D,MATCH(B282,Mundarija!$A:$A,0)),"kod topilmadi")</f>
        <v>25.7. Qorin aortasi va pastki kava vena.</v>
      </c>
      <c r="E282" s="6" t="s">
        <v>2089</v>
      </c>
      <c r="F282" s="11" t="s">
        <v>2090</v>
      </c>
      <c r="G282" s="6" t="s">
        <v>1253</v>
      </c>
      <c r="H282" s="6" t="s">
        <v>1575</v>
      </c>
      <c r="I282" s="6" t="s">
        <v>812</v>
      </c>
      <c r="J282" s="6" t="s">
        <v>812</v>
      </c>
      <c r="K282" s="6" t="s">
        <v>813</v>
      </c>
      <c r="L282" s="6" t="s">
        <v>814</v>
      </c>
      <c r="M282" s="6" t="s">
        <v>826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2091</v>
      </c>
      <c r="B283" s="6" t="s">
        <v>442</v>
      </c>
      <c r="C283" s="6" t="s">
        <v>251</v>
      </c>
      <c r="D283" s="6" t="str">
        <f aca="false">IFERROR(INDEX(Mundarija!$D:$D,MATCH(B283,Mundarija!$A:$A,0)),"kod topilmadi")</f>
        <v>25.7. Qorin aortasi va pastki kava vena.</v>
      </c>
      <c r="E283" s="6" t="s">
        <v>2092</v>
      </c>
      <c r="F283" s="11" t="s">
        <v>2093</v>
      </c>
      <c r="G283" s="6" t="s">
        <v>2094</v>
      </c>
      <c r="H283" s="6" t="s">
        <v>2095</v>
      </c>
      <c r="I283" s="6" t="s">
        <v>812</v>
      </c>
      <c r="J283" s="6" t="s">
        <v>812</v>
      </c>
      <c r="K283" s="6" t="s">
        <v>813</v>
      </c>
      <c r="L283" s="6" t="s">
        <v>814</v>
      </c>
      <c r="M283" s="6" t="s">
        <v>826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2096</v>
      </c>
      <c r="B284" s="6" t="s">
        <v>442</v>
      </c>
      <c r="C284" s="6" t="s">
        <v>255</v>
      </c>
      <c r="D284" s="6" t="str">
        <f aca="false">IFERROR(INDEX(Mundarija!$D:$D,MATCH(B284,Mundarija!$A:$A,0)),"kod topilmadi")</f>
        <v>25.7. Qorin aortasi va pastki kava vena.</v>
      </c>
      <c r="E284" s="6" t="s">
        <v>2097</v>
      </c>
      <c r="F284" s="11" t="s">
        <v>2098</v>
      </c>
      <c r="G284" s="6" t="s">
        <v>2094</v>
      </c>
      <c r="H284" s="6" t="s">
        <v>2095</v>
      </c>
      <c r="I284" s="6" t="s">
        <v>812</v>
      </c>
      <c r="J284" s="6" t="s">
        <v>812</v>
      </c>
      <c r="K284" s="6" t="s">
        <v>813</v>
      </c>
      <c r="L284" s="6" t="s">
        <v>814</v>
      </c>
      <c r="M284" s="6" t="s">
        <v>826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2099</v>
      </c>
      <c r="B285" s="6" t="s">
        <v>444</v>
      </c>
      <c r="C285" s="6"/>
      <c r="D285" s="6" t="str">
        <f aca="false">IFERROR(INDEX(Mundarija!$D:$D,MATCH(B285,Mundarija!$A:$A,0)),"kod topilmadi")</f>
        <v>25.8. Gemodializ arteriovenoz kirish yo‘llari.</v>
      </c>
      <c r="E285" s="6" t="s">
        <v>2100</v>
      </c>
      <c r="F285" s="11" t="s">
        <v>2101</v>
      </c>
      <c r="G285" s="6" t="s">
        <v>1344</v>
      </c>
      <c r="H285" s="6" t="s">
        <v>2102</v>
      </c>
      <c r="I285" s="6" t="s">
        <v>812</v>
      </c>
      <c r="J285" s="6" t="s">
        <v>812</v>
      </c>
      <c r="K285" s="6" t="s">
        <v>813</v>
      </c>
      <c r="L285" s="6" t="s">
        <v>1683</v>
      </c>
      <c r="M285" s="6" t="s">
        <v>847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  <row r="286" customFormat="false" ht="46.25" hidden="false" customHeight="false" outlineLevel="0" collapsed="false">
      <c r="A286" s="6" t="s">
        <v>2103</v>
      </c>
      <c r="B286" s="6" t="s">
        <v>444</v>
      </c>
      <c r="C286" s="6"/>
      <c r="D286" s="6" t="str">
        <f aca="false">IFERROR(INDEX(Mundarija!$D:$D,MATCH(B286,Mundarija!$A:$A,0)),"kod topilmadi")</f>
        <v>25.8. Gemodializ arteriovenoz kirish yo‘llari.</v>
      </c>
      <c r="E286" s="6" t="s">
        <v>2104</v>
      </c>
      <c r="F286" s="11" t="s">
        <v>2105</v>
      </c>
      <c r="G286" s="6" t="s">
        <v>2052</v>
      </c>
      <c r="H286" s="6" t="s">
        <v>2053</v>
      </c>
      <c r="I286" s="6" t="s">
        <v>812</v>
      </c>
      <c r="J286" s="6" t="s">
        <v>812</v>
      </c>
      <c r="K286" s="6" t="s">
        <v>813</v>
      </c>
      <c r="L286" s="6" t="s">
        <v>839</v>
      </c>
      <c r="M286" s="6" t="s">
        <v>847</v>
      </c>
      <c r="N286" s="12" t="s">
        <v>816</v>
      </c>
      <c r="O286" s="6" t="s">
        <v>817</v>
      </c>
      <c r="P286" s="6" t="s">
        <v>2</v>
      </c>
      <c r="Q286" s="6" t="s">
        <v>20</v>
      </c>
      <c r="R286" s="12"/>
      <c r="S286" s="12"/>
      <c r="T286" s="12"/>
      <c r="U286" s="12"/>
      <c r="V286" s="12"/>
      <c r="W286" s="12"/>
      <c r="X286" s="6" t="str">
        <f aca="false">IF(COUNT(R286:W286)=6,SUM(R286:W286),"ko‘rilmagan")</f>
        <v>ko‘rilmagan</v>
      </c>
      <c r="Y286" s="12"/>
    </row>
    <row r="287" customFormat="false" ht="23.85" hidden="false" customHeight="false" outlineLevel="0" collapsed="false">
      <c r="A287" s="6" t="s">
        <v>2106</v>
      </c>
      <c r="B287" s="6" t="s">
        <v>444</v>
      </c>
      <c r="C287" s="6"/>
      <c r="D287" s="6" t="str">
        <f aca="false">IFERROR(INDEX(Mundarija!$D:$D,MATCH(B287,Mundarija!$A:$A,0)),"kod topilmadi")</f>
        <v>25.8. Gemodializ arteriovenoz kirish yo‘llari.</v>
      </c>
      <c r="E287" s="6" t="s">
        <v>2107</v>
      </c>
      <c r="F287" s="11" t="s">
        <v>2108</v>
      </c>
      <c r="G287" s="6" t="s">
        <v>1601</v>
      </c>
      <c r="H287" s="6" t="s">
        <v>1602</v>
      </c>
      <c r="I287" s="6" t="s">
        <v>812</v>
      </c>
      <c r="J287" s="6" t="s">
        <v>812</v>
      </c>
      <c r="K287" s="6" t="s">
        <v>813</v>
      </c>
      <c r="L287" s="6" t="s">
        <v>839</v>
      </c>
      <c r="M287" s="6" t="s">
        <v>826</v>
      </c>
      <c r="N287" s="12" t="s">
        <v>816</v>
      </c>
      <c r="O287" s="6" t="s">
        <v>817</v>
      </c>
      <c r="P287" s="6" t="s">
        <v>2</v>
      </c>
      <c r="Q287" s="6" t="s">
        <v>20</v>
      </c>
      <c r="R287" s="12"/>
      <c r="S287" s="12"/>
      <c r="T287" s="12"/>
      <c r="U287" s="12"/>
      <c r="V287" s="12"/>
      <c r="W287" s="12"/>
      <c r="X287" s="6" t="str">
        <f aca="false">IF(COUNT(R287:W287)=6,SUM(R287:W287),"ko‘rilmagan")</f>
        <v>ko‘rilmagan</v>
      </c>
      <c r="Y287" s="12"/>
    </row>
    <row r="288" customFormat="false" ht="23.85" hidden="false" customHeight="false" outlineLevel="0" collapsed="false">
      <c r="A288" s="6" t="s">
        <v>2109</v>
      </c>
      <c r="B288" s="6" t="s">
        <v>446</v>
      </c>
      <c r="C288" s="6" t="s">
        <v>245</v>
      </c>
      <c r="D288" s="6" t="str">
        <f aca="false">IFERROR(INDEX(Mundarija!$D:$D,MATCH(B288,Mundarija!$A:$A,0)),"kod topilmadi")</f>
        <v>25.9. Transplantat tomirlari.</v>
      </c>
      <c r="E288" s="6" t="s">
        <v>2110</v>
      </c>
      <c r="F288" s="11" t="s">
        <v>2111</v>
      </c>
      <c r="G288" s="6" t="s">
        <v>822</v>
      </c>
      <c r="H288" s="6" t="s">
        <v>2037</v>
      </c>
      <c r="I288" s="6" t="s">
        <v>812</v>
      </c>
      <c r="J288" s="6" t="s">
        <v>812</v>
      </c>
      <c r="K288" s="6" t="s">
        <v>813</v>
      </c>
      <c r="L288" s="6" t="s">
        <v>839</v>
      </c>
      <c r="M288" s="6" t="s">
        <v>826</v>
      </c>
      <c r="N288" s="12" t="s">
        <v>816</v>
      </c>
      <c r="O288" s="6" t="s">
        <v>817</v>
      </c>
      <c r="P288" s="6" t="s">
        <v>2</v>
      </c>
      <c r="Q288" s="6" t="s">
        <v>20</v>
      </c>
      <c r="R288" s="12"/>
      <c r="S288" s="12"/>
      <c r="T288" s="12"/>
      <c r="U288" s="12"/>
      <c r="V288" s="12"/>
      <c r="W288" s="12"/>
      <c r="X288" s="6" t="str">
        <f aca="false">IF(COUNT(R288:W288)=6,SUM(R288:W288),"ko‘rilmagan")</f>
        <v>ko‘rilmagan</v>
      </c>
      <c r="Y288" s="12"/>
    </row>
    <row r="289" customFormat="false" ht="23.85" hidden="false" customHeight="false" outlineLevel="0" collapsed="false">
      <c r="A289" s="6" t="s">
        <v>2112</v>
      </c>
      <c r="B289" s="6" t="s">
        <v>446</v>
      </c>
      <c r="C289" s="6" t="s">
        <v>245</v>
      </c>
      <c r="D289" s="6" t="str">
        <f aca="false">IFERROR(INDEX(Mundarija!$D:$D,MATCH(B289,Mundarija!$A:$A,0)),"kod topilmadi")</f>
        <v>25.9. Transplantat tomirlari.</v>
      </c>
      <c r="E289" s="6" t="s">
        <v>2113</v>
      </c>
      <c r="F289" s="11" t="s">
        <v>2114</v>
      </c>
      <c r="G289" s="6" t="s">
        <v>844</v>
      </c>
      <c r="H289" s="6" t="s">
        <v>1784</v>
      </c>
      <c r="I289" s="6" t="s">
        <v>812</v>
      </c>
      <c r="J289" s="6" t="s">
        <v>812</v>
      </c>
      <c r="K289" s="6" t="s">
        <v>813</v>
      </c>
      <c r="L289" s="6" t="s">
        <v>1683</v>
      </c>
      <c r="M289" s="6" t="s">
        <v>847</v>
      </c>
      <c r="N289" s="12" t="s">
        <v>816</v>
      </c>
      <c r="O289" s="6" t="s">
        <v>817</v>
      </c>
      <c r="P289" s="6" t="s">
        <v>2</v>
      </c>
      <c r="Q289" s="6" t="s">
        <v>20</v>
      </c>
      <c r="R289" s="12"/>
      <c r="S289" s="12"/>
      <c r="T289" s="12"/>
      <c r="U289" s="12"/>
      <c r="V289" s="12"/>
      <c r="W289" s="12"/>
      <c r="X289" s="6" t="str">
        <f aca="false">IF(COUNT(R289:W289)=6,SUM(R289:W289),"ko‘rilmagan")</f>
        <v>ko‘rilmagan</v>
      </c>
      <c r="Y289" s="12"/>
    </row>
    <row r="290" customFormat="false" ht="23.85" hidden="false" customHeight="false" outlineLevel="0" collapsed="false">
      <c r="A290" s="6" t="s">
        <v>2115</v>
      </c>
      <c r="B290" s="6" t="s">
        <v>432</v>
      </c>
      <c r="C290" s="6"/>
      <c r="D290" s="6" t="str">
        <f aca="false">IFERROR(INDEX(Mundarija!$D:$D,MATCH(B290,Mundarija!$A:$A,0)),"kod topilmadi")</f>
        <v>25.2. Karotid va vertebral arteriyalar.</v>
      </c>
      <c r="E290" s="6" t="s">
        <v>2116</v>
      </c>
      <c r="F290" s="11" t="s">
        <v>2117</v>
      </c>
      <c r="G290" s="6" t="s">
        <v>2118</v>
      </c>
      <c r="H290" s="6" t="s">
        <v>823</v>
      </c>
      <c r="I290" s="6" t="s">
        <v>812</v>
      </c>
      <c r="J290" s="6" t="s">
        <v>812</v>
      </c>
      <c r="K290" s="6" t="s">
        <v>813</v>
      </c>
      <c r="L290" s="6" t="s">
        <v>839</v>
      </c>
      <c r="M290" s="6" t="s">
        <v>847</v>
      </c>
      <c r="N290" s="12" t="s">
        <v>816</v>
      </c>
      <c r="O290" s="6" t="s">
        <v>817</v>
      </c>
      <c r="P290" s="6" t="s">
        <v>2</v>
      </c>
      <c r="Q290" s="6" t="s">
        <v>20</v>
      </c>
      <c r="R290" s="12"/>
      <c r="S290" s="12"/>
      <c r="T290" s="12"/>
      <c r="U290" s="12"/>
      <c r="V290" s="12"/>
      <c r="W290" s="12"/>
      <c r="X290" s="6" t="str">
        <f aca="false">IF(COUNT(R290:W290)=6,SUM(R290:W290),"ko‘rilmagan")</f>
        <v>ko‘rilmagan</v>
      </c>
      <c r="Y290" s="12"/>
    </row>
    <row r="291" customFormat="false" ht="23.85" hidden="false" customHeight="false" outlineLevel="0" collapsed="false">
      <c r="A291" s="6" t="s">
        <v>2119</v>
      </c>
      <c r="B291" s="6" t="s">
        <v>446</v>
      </c>
      <c r="C291" s="6" t="s">
        <v>190</v>
      </c>
      <c r="D291" s="6" t="str">
        <f aca="false">IFERROR(INDEX(Mundarija!$D:$D,MATCH(B291,Mundarija!$A:$A,0)),"kod topilmadi")</f>
        <v>25.9. Transplantat tomirlari.</v>
      </c>
      <c r="E291" s="6" t="s">
        <v>2120</v>
      </c>
      <c r="F291" s="11" t="s">
        <v>2121</v>
      </c>
      <c r="G291" s="6" t="s">
        <v>1170</v>
      </c>
      <c r="H291" s="6" t="s">
        <v>845</v>
      </c>
      <c r="I291" s="6" t="s">
        <v>812</v>
      </c>
      <c r="J291" s="6" t="s">
        <v>812</v>
      </c>
      <c r="K291" s="6" t="s">
        <v>813</v>
      </c>
      <c r="L291" s="6" t="s">
        <v>1683</v>
      </c>
      <c r="M291" s="6" t="s">
        <v>847</v>
      </c>
      <c r="N291" s="12" t="s">
        <v>816</v>
      </c>
      <c r="O291" s="6" t="s">
        <v>817</v>
      </c>
      <c r="P291" s="6" t="s">
        <v>2</v>
      </c>
      <c r="Q291" s="6" t="s">
        <v>20</v>
      </c>
      <c r="R291" s="12"/>
      <c r="S291" s="12"/>
      <c r="T291" s="12"/>
      <c r="U291" s="12"/>
      <c r="V291" s="12"/>
      <c r="W291" s="12"/>
      <c r="X291" s="6" t="str">
        <f aca="false">IF(COUNT(R291:W291)=6,SUM(R291:W291),"ko‘rilmagan")</f>
        <v>ko‘rilmagan</v>
      </c>
      <c r="Y291" s="12"/>
    </row>
    <row r="292" customFormat="false" ht="23.85" hidden="false" customHeight="false" outlineLevel="0" collapsed="false">
      <c r="A292" s="6" t="s">
        <v>2122</v>
      </c>
      <c r="B292" s="6" t="s">
        <v>190</v>
      </c>
      <c r="C292" s="6" t="s">
        <v>446</v>
      </c>
      <c r="D292" s="6" t="str">
        <f aca="false">IFERROR(INDEX(Mundarija!$D:$D,MATCH(B292,Mundarija!$A:$A,0)),"kod topilmadi")</f>
        <v>10.8. Jigar transplantatini tekshirish.</v>
      </c>
      <c r="E292" s="6" t="s">
        <v>2123</v>
      </c>
      <c r="F292" s="11" t="s">
        <v>2124</v>
      </c>
      <c r="G292" s="6" t="s">
        <v>1170</v>
      </c>
      <c r="H292" s="6" t="s">
        <v>845</v>
      </c>
      <c r="I292" s="6" t="s">
        <v>812</v>
      </c>
      <c r="J292" s="6" t="s">
        <v>812</v>
      </c>
      <c r="K292" s="6" t="s">
        <v>813</v>
      </c>
      <c r="L292" s="6" t="s">
        <v>1683</v>
      </c>
      <c r="M292" s="6" t="s">
        <v>847</v>
      </c>
      <c r="N292" s="12" t="s">
        <v>816</v>
      </c>
      <c r="O292" s="6" t="s">
        <v>817</v>
      </c>
      <c r="P292" s="6" t="s">
        <v>2</v>
      </c>
      <c r="Q292" s="6" t="s">
        <v>20</v>
      </c>
      <c r="R292" s="12"/>
      <c r="S292" s="12"/>
      <c r="T292" s="12"/>
      <c r="U292" s="12"/>
      <c r="V292" s="12"/>
      <c r="W292" s="12"/>
      <c r="X292" s="6" t="str">
        <f aca="false">IF(COUNT(R292:W292)=6,SUM(R292:W292),"ko‘rilmagan")</f>
        <v>ko‘rilmagan</v>
      </c>
      <c r="Y292" s="12"/>
    </row>
  </sheetData>
  <autoFilter ref="A1:Y292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2125</v>
      </c>
      <c r="C1" s="5" t="s">
        <v>2126</v>
      </c>
      <c r="D1" s="5" t="s">
        <v>2127</v>
      </c>
    </row>
    <row r="2" customFormat="false" ht="23.85" hidden="false" customHeight="false" outlineLevel="0" collapsed="false">
      <c r="A2" s="11" t="s">
        <v>2128</v>
      </c>
      <c r="B2" s="6" t="s">
        <v>2129</v>
      </c>
      <c r="C2" s="6" t="s">
        <v>2130</v>
      </c>
      <c r="D2" s="6" t="s">
        <v>2131</v>
      </c>
    </row>
    <row r="3" customFormat="false" ht="15" hidden="false" customHeight="false" outlineLevel="0" collapsed="false">
      <c r="A3" s="11" t="s">
        <v>2132</v>
      </c>
      <c r="B3" s="6" t="s">
        <v>2133</v>
      </c>
      <c r="C3" s="6" t="s">
        <v>2134</v>
      </c>
      <c r="D3" s="6" t="s">
        <v>2131</v>
      </c>
    </row>
    <row r="4" customFormat="false" ht="15" hidden="false" customHeight="false" outlineLevel="0" collapsed="false">
      <c r="A4" s="11" t="s">
        <v>2135</v>
      </c>
      <c r="B4" s="6" t="s">
        <v>2136</v>
      </c>
      <c r="C4" s="6" t="s">
        <v>2137</v>
      </c>
      <c r="D4" s="6" t="s">
        <v>2131</v>
      </c>
    </row>
    <row r="5" customFormat="false" ht="23.85" hidden="false" customHeight="false" outlineLevel="0" collapsed="false">
      <c r="A5" s="11" t="s">
        <v>2138</v>
      </c>
      <c r="B5" s="6" t="s">
        <v>2139</v>
      </c>
      <c r="C5" s="6" t="s">
        <v>2140</v>
      </c>
      <c r="D5" s="6" t="s">
        <v>2131</v>
      </c>
    </row>
    <row r="6" customFormat="false" ht="23.85" hidden="false" customHeight="false" outlineLevel="0" collapsed="false">
      <c r="A6" s="11" t="s">
        <v>2141</v>
      </c>
      <c r="B6" s="6" t="s">
        <v>2142</v>
      </c>
      <c r="C6" s="6" t="s">
        <v>2143</v>
      </c>
      <c r="D6" s="6" t="s">
        <v>2144</v>
      </c>
    </row>
    <row r="7" customFormat="false" ht="23.85" hidden="false" customHeight="false" outlineLevel="0" collapsed="false">
      <c r="A7" s="11" t="s">
        <v>2145</v>
      </c>
      <c r="B7" s="6" t="s">
        <v>2146</v>
      </c>
      <c r="C7" s="6" t="s">
        <v>2147</v>
      </c>
      <c r="D7" s="6" t="s">
        <v>2148</v>
      </c>
    </row>
    <row r="8" customFormat="false" ht="15" hidden="false" customHeight="false" outlineLevel="0" collapsed="false">
      <c r="A8" s="11" t="s">
        <v>2149</v>
      </c>
      <c r="B8" s="6" t="s">
        <v>2150</v>
      </c>
      <c r="C8" s="6" t="s">
        <v>2151</v>
      </c>
      <c r="D8" s="6" t="s">
        <v>2148</v>
      </c>
    </row>
    <row r="9" customFormat="false" ht="15" hidden="false" customHeight="false" outlineLevel="0" collapsed="false">
      <c r="A9" s="11" t="s">
        <v>2152</v>
      </c>
      <c r="B9" s="6" t="s">
        <v>2153</v>
      </c>
      <c r="C9" s="6" t="s">
        <v>2154</v>
      </c>
      <c r="D9" s="6" t="s">
        <v>2155</v>
      </c>
    </row>
    <row r="10" customFormat="false" ht="15" hidden="false" customHeight="false" outlineLevel="0" collapsed="false">
      <c r="A10" s="11" t="s">
        <v>2156</v>
      </c>
      <c r="B10" s="6" t="s">
        <v>2157</v>
      </c>
      <c r="C10" s="6" t="s">
        <v>2158</v>
      </c>
      <c r="D10" s="6" t="s">
        <v>2155</v>
      </c>
    </row>
    <row r="11" customFormat="false" ht="15" hidden="false" customHeight="false" outlineLevel="0" collapsed="false">
      <c r="A11" s="11" t="s">
        <v>2159</v>
      </c>
      <c r="B11" s="6" t="s">
        <v>2160</v>
      </c>
      <c r="C11" s="6" t="s">
        <v>2161</v>
      </c>
      <c r="D11" s="6" t="s">
        <v>2155</v>
      </c>
    </row>
    <row r="12" customFormat="false" ht="15" hidden="false" customHeight="false" outlineLevel="0" collapsed="false">
      <c r="A12" s="11" t="s">
        <v>2162</v>
      </c>
      <c r="B12" s="6" t="s">
        <v>2163</v>
      </c>
      <c r="C12" s="6" t="s">
        <v>2164</v>
      </c>
      <c r="D12" s="6" t="s">
        <v>2144</v>
      </c>
    </row>
    <row r="13" customFormat="false" ht="23.85" hidden="false" customHeight="false" outlineLevel="0" collapsed="false">
      <c r="A13" s="11" t="s">
        <v>2165</v>
      </c>
      <c r="B13" s="6" t="s">
        <v>2166</v>
      </c>
      <c r="C13" s="6" t="s">
        <v>2167</v>
      </c>
      <c r="D13" s="6" t="s">
        <v>2168</v>
      </c>
    </row>
    <row r="14" customFormat="false" ht="15" hidden="false" customHeight="false" outlineLevel="0" collapsed="false">
      <c r="A14" s="11" t="s">
        <v>2169</v>
      </c>
      <c r="B14" s="6" t="s">
        <v>2170</v>
      </c>
      <c r="C14" s="6" t="s">
        <v>2171</v>
      </c>
      <c r="D14" s="6" t="s">
        <v>2148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2172</v>
      </c>
      <c r="D15" s="6" t="s">
        <v>2173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2172</v>
      </c>
      <c r="D16" s="6" t="s">
        <v>2173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2172</v>
      </c>
      <c r="D17" s="6" t="s">
        <v>2173</v>
      </c>
    </row>
    <row r="18" customFormat="false" ht="15" hidden="false" customHeight="false" outlineLevel="0" collapsed="false">
      <c r="A18" s="11" t="s">
        <v>2174</v>
      </c>
      <c r="B18" s="6" t="s">
        <v>2175</v>
      </c>
      <c r="C18" s="6" t="s">
        <v>2154</v>
      </c>
      <c r="D18" s="6" t="s">
        <v>2155</v>
      </c>
    </row>
    <row r="19" customFormat="false" ht="15" hidden="false" customHeight="false" outlineLevel="0" collapsed="false">
      <c r="A19" s="11" t="s">
        <v>2176</v>
      </c>
      <c r="B19" s="6" t="s">
        <v>2177</v>
      </c>
      <c r="C19" s="6" t="s">
        <v>2158</v>
      </c>
      <c r="D19" s="6" t="s">
        <v>2155</v>
      </c>
    </row>
    <row r="20" customFormat="false" ht="23.85" hidden="false" customHeight="false" outlineLevel="0" collapsed="false">
      <c r="A20" s="11" t="s">
        <v>2178</v>
      </c>
      <c r="B20" s="6" t="s">
        <v>2179</v>
      </c>
      <c r="C20" s="6" t="s">
        <v>2180</v>
      </c>
      <c r="D20" s="6" t="s">
        <v>2148</v>
      </c>
    </row>
    <row r="21" customFormat="false" ht="23.85" hidden="false" customHeight="false" outlineLevel="0" collapsed="false">
      <c r="A21" s="11" t="s">
        <v>2181</v>
      </c>
      <c r="B21" s="6" t="s">
        <v>2182</v>
      </c>
      <c r="C21" s="6" t="s">
        <v>2183</v>
      </c>
      <c r="D21" s="6" t="s">
        <v>2148</v>
      </c>
    </row>
    <row r="22" customFormat="false" ht="15" hidden="false" customHeight="false" outlineLevel="0" collapsed="false">
      <c r="A22" s="11" t="s">
        <v>2184</v>
      </c>
      <c r="B22" s="6" t="s">
        <v>2185</v>
      </c>
      <c r="C22" s="6" t="s">
        <v>2186</v>
      </c>
      <c r="D22" s="6" t="s">
        <v>2155</v>
      </c>
    </row>
    <row r="23" customFormat="false" ht="23.85" hidden="false" customHeight="false" outlineLevel="0" collapsed="false">
      <c r="A23" s="11" t="s">
        <v>2187</v>
      </c>
      <c r="B23" s="6" t="s">
        <v>2188</v>
      </c>
      <c r="C23" s="6" t="s">
        <v>2186</v>
      </c>
      <c r="D23" s="6" t="s">
        <v>2155</v>
      </c>
    </row>
    <row r="24" customFormat="false" ht="15" hidden="false" customHeight="false" outlineLevel="0" collapsed="false">
      <c r="A24" s="11" t="s">
        <v>2189</v>
      </c>
      <c r="B24" s="6" t="s">
        <v>2190</v>
      </c>
      <c r="C24" s="6" t="s">
        <v>2186</v>
      </c>
      <c r="D24" s="6" t="s">
        <v>2155</v>
      </c>
    </row>
    <row r="25" customFormat="false" ht="15" hidden="false" customHeight="false" outlineLevel="0" collapsed="false">
      <c r="A25" s="11" t="s">
        <v>2191</v>
      </c>
      <c r="B25" s="6" t="s">
        <v>2192</v>
      </c>
      <c r="C25" s="6" t="s">
        <v>2193</v>
      </c>
      <c r="D25" s="6" t="s">
        <v>2155</v>
      </c>
    </row>
    <row r="26" customFormat="false" ht="15" hidden="false" customHeight="false" outlineLevel="0" collapsed="false">
      <c r="A26" s="11" t="s">
        <v>2194</v>
      </c>
      <c r="B26" s="6" t="s">
        <v>2195</v>
      </c>
      <c r="C26" s="6" t="s">
        <v>2196</v>
      </c>
      <c r="D26" s="6" t="s">
        <v>2155</v>
      </c>
    </row>
    <row r="27" customFormat="false" ht="15" hidden="false" customHeight="false" outlineLevel="0" collapsed="false">
      <c r="A27" s="11" t="s">
        <v>2197</v>
      </c>
      <c r="B27" s="6" t="s">
        <v>2198</v>
      </c>
      <c r="C27" s="6" t="s">
        <v>2199</v>
      </c>
      <c r="D27" s="6" t="s">
        <v>2148</v>
      </c>
    </row>
    <row r="28" customFormat="false" ht="15" hidden="false" customHeight="false" outlineLevel="0" collapsed="false">
      <c r="A28" s="11" t="s">
        <v>2200</v>
      </c>
      <c r="B28" s="6" t="s">
        <v>2201</v>
      </c>
      <c r="C28" s="6" t="s">
        <v>2202</v>
      </c>
      <c r="D28" s="6" t="s">
        <v>2148</v>
      </c>
    </row>
    <row r="29" customFormat="false" ht="15" hidden="false" customHeight="false" outlineLevel="0" collapsed="false">
      <c r="A29" s="11" t="s">
        <v>2203</v>
      </c>
      <c r="B29" s="6" t="s">
        <v>2204</v>
      </c>
      <c r="C29" s="6" t="s">
        <v>2205</v>
      </c>
      <c r="D29" s="6" t="s">
        <v>2148</v>
      </c>
    </row>
    <row r="30" customFormat="false" ht="15" hidden="false" customHeight="false" outlineLevel="0" collapsed="false">
      <c r="A30" s="11" t="s">
        <v>2206</v>
      </c>
      <c r="B30" s="6" t="s">
        <v>2207</v>
      </c>
      <c r="C30" s="6" t="s">
        <v>2193</v>
      </c>
      <c r="D30" s="6" t="s">
        <v>2155</v>
      </c>
    </row>
    <row r="31" customFormat="false" ht="15" hidden="false" customHeight="false" outlineLevel="0" collapsed="false">
      <c r="A31" s="11" t="s">
        <v>2208</v>
      </c>
      <c r="B31" s="6" t="s">
        <v>2209</v>
      </c>
      <c r="C31" s="6" t="s">
        <v>2186</v>
      </c>
      <c r="D31" s="6" t="s">
        <v>2155</v>
      </c>
    </row>
    <row r="32" customFormat="false" ht="15" hidden="false" customHeight="false" outlineLevel="0" collapsed="false">
      <c r="A32" s="11" t="s">
        <v>2210</v>
      </c>
      <c r="B32" s="6" t="s">
        <v>2211</v>
      </c>
      <c r="C32" s="6" t="s">
        <v>2186</v>
      </c>
      <c r="D32" s="6" t="s">
        <v>2155</v>
      </c>
    </row>
    <row r="33" customFormat="false" ht="15" hidden="false" customHeight="false" outlineLevel="0" collapsed="false">
      <c r="A33" s="11" t="s">
        <v>2212</v>
      </c>
      <c r="B33" s="6" t="s">
        <v>2213</v>
      </c>
      <c r="C33" s="6" t="s">
        <v>2193</v>
      </c>
      <c r="D33" s="6" t="s">
        <v>2155</v>
      </c>
    </row>
    <row r="34" customFormat="false" ht="15" hidden="false" customHeight="false" outlineLevel="0" collapsed="false">
      <c r="A34" s="11" t="s">
        <v>2214</v>
      </c>
      <c r="B34" s="6" t="s">
        <v>2215</v>
      </c>
      <c r="C34" s="6" t="s">
        <v>2186</v>
      </c>
      <c r="D34" s="6" t="s">
        <v>2155</v>
      </c>
    </row>
    <row r="35" customFormat="false" ht="23.85" hidden="false" customHeight="false" outlineLevel="0" collapsed="false">
      <c r="A35" s="11" t="s">
        <v>2216</v>
      </c>
      <c r="B35" s="6" t="s">
        <v>2217</v>
      </c>
      <c r="C35" s="6" t="s">
        <v>2193</v>
      </c>
      <c r="D35" s="6" t="s">
        <v>2155</v>
      </c>
    </row>
    <row r="36" customFormat="false" ht="15" hidden="false" customHeight="false" outlineLevel="0" collapsed="false">
      <c r="A36" s="11" t="s">
        <v>2218</v>
      </c>
      <c r="B36" s="6" t="s">
        <v>2219</v>
      </c>
      <c r="C36" s="6" t="s">
        <v>2193</v>
      </c>
      <c r="D36" s="6" t="s">
        <v>2155</v>
      </c>
    </row>
    <row r="37" customFormat="false" ht="15" hidden="false" customHeight="false" outlineLevel="0" collapsed="false">
      <c r="A37" s="11" t="s">
        <v>2220</v>
      </c>
      <c r="B37" s="6" t="s">
        <v>2221</v>
      </c>
      <c r="C37" s="6" t="s">
        <v>2193</v>
      </c>
      <c r="D37" s="6" t="s">
        <v>2155</v>
      </c>
    </row>
    <row r="38" customFormat="false" ht="15" hidden="false" customHeight="false" outlineLevel="0" collapsed="false">
      <c r="A38" s="11" t="s">
        <v>2222</v>
      </c>
      <c r="B38" s="6" t="s">
        <v>2223</v>
      </c>
      <c r="C38" s="6" t="s">
        <v>2196</v>
      </c>
      <c r="D38" s="6" t="s">
        <v>2155</v>
      </c>
    </row>
    <row r="39" customFormat="false" ht="15" hidden="false" customHeight="false" outlineLevel="0" collapsed="false">
      <c r="A39" s="11" t="s">
        <v>2224</v>
      </c>
      <c r="B39" s="6" t="s">
        <v>2225</v>
      </c>
      <c r="C39" s="6" t="s">
        <v>2226</v>
      </c>
      <c r="D39" s="6" t="s">
        <v>2148</v>
      </c>
    </row>
    <row r="40" customFormat="false" ht="15" hidden="false" customHeight="false" outlineLevel="0" collapsed="false">
      <c r="A40" s="11" t="s">
        <v>2227</v>
      </c>
      <c r="B40" s="6" t="s">
        <v>2228</v>
      </c>
      <c r="C40" s="6" t="s">
        <v>2229</v>
      </c>
      <c r="D40" s="6" t="s">
        <v>2148</v>
      </c>
    </row>
    <row r="41" customFormat="false" ht="15" hidden="false" customHeight="false" outlineLevel="0" collapsed="false">
      <c r="A41" s="11" t="s">
        <v>2230</v>
      </c>
      <c r="B41" s="6" t="s">
        <v>2231</v>
      </c>
      <c r="C41" s="6" t="s">
        <v>2186</v>
      </c>
      <c r="D41" s="6" t="s">
        <v>2155</v>
      </c>
    </row>
    <row r="42" customFormat="false" ht="15" hidden="false" customHeight="false" outlineLevel="0" collapsed="false">
      <c r="A42" s="11" t="s">
        <v>2232</v>
      </c>
      <c r="B42" s="6" t="s">
        <v>2233</v>
      </c>
      <c r="C42" s="6" t="s">
        <v>2234</v>
      </c>
      <c r="D42" s="6" t="s">
        <v>2148</v>
      </c>
    </row>
    <row r="43" customFormat="false" ht="15" hidden="false" customHeight="false" outlineLevel="0" collapsed="false">
      <c r="A43" s="11" t="s">
        <v>2235</v>
      </c>
      <c r="B43" s="6" t="s">
        <v>2236</v>
      </c>
      <c r="C43" s="6" t="s">
        <v>2234</v>
      </c>
      <c r="D43" s="6" t="s">
        <v>2148</v>
      </c>
    </row>
    <row r="44" customFormat="false" ht="23.85" hidden="false" customHeight="false" outlineLevel="0" collapsed="false">
      <c r="A44" s="11" t="s">
        <v>2237</v>
      </c>
      <c r="B44" s="6" t="s">
        <v>2238</v>
      </c>
      <c r="C44" s="6" t="s">
        <v>2234</v>
      </c>
      <c r="D44" s="6" t="s">
        <v>2148</v>
      </c>
    </row>
    <row r="45" customFormat="false" ht="15" hidden="false" customHeight="false" outlineLevel="0" collapsed="false">
      <c r="A45" s="11" t="s">
        <v>2239</v>
      </c>
      <c r="B45" s="6" t="s">
        <v>2240</v>
      </c>
      <c r="C45" s="6" t="s">
        <v>2234</v>
      </c>
      <c r="D45" s="6" t="s">
        <v>2148</v>
      </c>
    </row>
    <row r="46" customFormat="false" ht="15" hidden="false" customHeight="false" outlineLevel="0" collapsed="false">
      <c r="A46" s="11" t="s">
        <v>2241</v>
      </c>
      <c r="B46" s="6" t="s">
        <v>2242</v>
      </c>
      <c r="C46" s="6" t="s">
        <v>2234</v>
      </c>
      <c r="D46" s="6" t="s">
        <v>2148</v>
      </c>
    </row>
    <row r="47" customFormat="false" ht="15" hidden="false" customHeight="false" outlineLevel="0" collapsed="false">
      <c r="A47" s="11" t="s">
        <v>2243</v>
      </c>
      <c r="B47" s="6" t="s">
        <v>2244</v>
      </c>
      <c r="C47" s="6" t="s">
        <v>2234</v>
      </c>
      <c r="D47" s="6" t="s">
        <v>2148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2245</v>
      </c>
      <c r="D1" s="5" t="s">
        <v>2246</v>
      </c>
      <c r="E1" s="5" t="s">
        <v>2247</v>
      </c>
      <c r="F1" s="5" t="s">
        <v>2248</v>
      </c>
      <c r="G1" s="5" t="s">
        <v>2249</v>
      </c>
      <c r="H1" s="5" t="s">
        <v>2168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0</v>
      </c>
      <c r="E30" s="15" t="n">
        <f aca="false">IF(C30=0,0,D30/C30)</f>
        <v>0</v>
      </c>
      <c r="F30" s="6" t="n">
        <f aca="false">COUNTIFS(Mundarija!$C$2:$C$254,B30,Mundarija!$H$2:$H$254,"Yetishmaydi")</f>
        <v>9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2250</v>
      </c>
      <c r="C35" s="16" t="n">
        <f aca="false">SUM(C2:C34)</f>
        <v>253</v>
      </c>
      <c r="D35" s="16" t="n">
        <f aca="false">SUM(D2:D34)</f>
        <v>178</v>
      </c>
      <c r="E35" s="17" t="n">
        <f aca="false">IF(C35=0,0,D35/C35)</f>
        <v>0.703557312252965</v>
      </c>
      <c r="F35" s="16" t="n">
        <f aca="false">SUM(F2:F34)</f>
        <v>71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2251</v>
      </c>
    </row>
    <row r="38" customFormat="false" ht="15" hidden="false" customHeight="false" outlineLevel="0" collapsed="false">
      <c r="A38" s="10" t="s">
        <v>2252</v>
      </c>
      <c r="B38" s="10" t="s">
        <v>2253</v>
      </c>
      <c r="C38" s="10" t="s">
        <v>2254</v>
      </c>
    </row>
    <row r="39" customFormat="false" ht="23.85" hidden="false" customHeight="false" outlineLevel="0" collapsed="false">
      <c r="A39" s="6" t="s">
        <v>2255</v>
      </c>
      <c r="B39" s="6" t="s">
        <v>2256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2257</v>
      </c>
      <c r="B40" s="6" t="s">
        <v>2258</v>
      </c>
      <c r="C40" s="15" t="n">
        <f aca="false">E35</f>
        <v>0.703557312252965</v>
      </c>
    </row>
    <row r="41" customFormat="false" ht="23.85" hidden="false" customHeight="false" outlineLevel="0" collapsed="false">
      <c r="A41" s="6" t="s">
        <v>2259</v>
      </c>
      <c r="B41" s="6" t="s">
        <v>2260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2261</v>
      </c>
      <c r="B42" s="6" t="s">
        <v>2262</v>
      </c>
      <c r="C42" s="15" t="n">
        <f aca="false">(COUNTIF(Katalog!$Q$2:$Q$292,"Havola tekshirilgan*")+COUNTIF(Katalog!$Q$2:$Q$292,"Metadata tekshirilgan*"))/COUNTA(Katalog!$A$2:$A$292)</f>
        <v>0.989690721649485</v>
      </c>
    </row>
    <row r="43" customFormat="false" ht="23.85" hidden="false" customHeight="false" outlineLevel="0" collapsed="false">
      <c r="A43" s="6" t="s">
        <v>2263</v>
      </c>
      <c r="B43" s="6" t="s">
        <v>2264</v>
      </c>
      <c r="C43" s="15" t="n">
        <f aca="false">COUNT(Katalog!$X$2:$X$292)/COUNTA(Katalog!$A$2:$A$292)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2265</v>
      </c>
      <c r="B1" s="5" t="s">
        <v>2266</v>
      </c>
      <c r="C1" s="5" t="s">
        <v>2267</v>
      </c>
      <c r="D1" s="5" t="s">
        <v>41</v>
      </c>
      <c r="E1" s="5" t="s">
        <v>2268</v>
      </c>
    </row>
    <row r="2" customFormat="false" ht="23.85" hidden="false" customHeight="false" outlineLevel="0" collapsed="false">
      <c r="A2" s="6" t="s">
        <v>2269</v>
      </c>
      <c r="B2" s="6" t="s">
        <v>2270</v>
      </c>
      <c r="C2" s="6" t="s">
        <v>2271</v>
      </c>
      <c r="D2" s="6" t="s">
        <v>2272</v>
      </c>
      <c r="E2" s="6" t="s">
        <v>2273</v>
      </c>
    </row>
    <row r="3" customFormat="false" ht="23.85" hidden="false" customHeight="false" outlineLevel="0" collapsed="false">
      <c r="A3" s="6" t="s">
        <v>2274</v>
      </c>
      <c r="B3" s="6" t="s">
        <v>2275</v>
      </c>
      <c r="C3" s="6" t="s">
        <v>2276</v>
      </c>
      <c r="D3" s="6" t="s">
        <v>2277</v>
      </c>
      <c r="E3" s="6" t="s">
        <v>2278</v>
      </c>
    </row>
    <row r="4" customFormat="false" ht="35.05" hidden="false" customHeight="false" outlineLevel="0" collapsed="false">
      <c r="A4" s="6" t="s">
        <v>2279</v>
      </c>
      <c r="B4" s="6" t="s">
        <v>2280</v>
      </c>
      <c r="C4" s="6" t="s">
        <v>2281</v>
      </c>
      <c r="D4" s="6" t="s">
        <v>2282</v>
      </c>
      <c r="E4" s="6" t="s">
        <v>2283</v>
      </c>
    </row>
    <row r="5" customFormat="false" ht="23.85" hidden="false" customHeight="false" outlineLevel="0" collapsed="false">
      <c r="A5" s="6" t="s">
        <v>2284</v>
      </c>
      <c r="B5" s="6" t="s">
        <v>2285</v>
      </c>
      <c r="C5" s="6" t="s">
        <v>2286</v>
      </c>
      <c r="D5" s="6" t="s">
        <v>2282</v>
      </c>
      <c r="E5" s="6" t="s">
        <v>2287</v>
      </c>
    </row>
    <row r="6" customFormat="false" ht="23.85" hidden="false" customHeight="false" outlineLevel="0" collapsed="false">
      <c r="A6" s="6" t="s">
        <v>2288</v>
      </c>
      <c r="B6" s="6" t="s">
        <v>2289</v>
      </c>
      <c r="C6" s="6" t="s">
        <v>2290</v>
      </c>
      <c r="D6" s="6" t="s">
        <v>2282</v>
      </c>
      <c r="E6" s="6" t="s">
        <v>2291</v>
      </c>
    </row>
    <row r="7" customFormat="false" ht="23.85" hidden="false" customHeight="false" outlineLevel="0" collapsed="false">
      <c r="A7" s="6" t="s">
        <v>2292</v>
      </c>
      <c r="B7" s="6" t="s">
        <v>2293</v>
      </c>
      <c r="C7" s="6" t="s">
        <v>2294</v>
      </c>
      <c r="D7" s="6" t="s">
        <v>2282</v>
      </c>
      <c r="E7" s="6" t="s">
        <v>2295</v>
      </c>
    </row>
    <row r="8" customFormat="false" ht="23.85" hidden="false" customHeight="false" outlineLevel="0" collapsed="false">
      <c r="A8" s="6" t="s">
        <v>2296</v>
      </c>
      <c r="B8" s="6" t="s">
        <v>2297</v>
      </c>
      <c r="C8" s="6" t="s">
        <v>2298</v>
      </c>
      <c r="D8" s="6" t="s">
        <v>2299</v>
      </c>
      <c r="E8" s="6" t="s">
        <v>2300</v>
      </c>
    </row>
    <row r="9" customFormat="false" ht="23.85" hidden="false" customHeight="false" outlineLevel="0" collapsed="false">
      <c r="A9" s="6" t="s">
        <v>2301</v>
      </c>
      <c r="B9" s="6" t="s">
        <v>2302</v>
      </c>
      <c r="C9" s="6" t="s">
        <v>2303</v>
      </c>
      <c r="D9" s="6" t="s">
        <v>2304</v>
      </c>
      <c r="E9" s="6" t="s">
        <v>2305</v>
      </c>
    </row>
    <row r="11" customFormat="false" ht="15" hidden="false" customHeight="false" outlineLevel="0" collapsed="false">
      <c r="A11" s="9" t="s">
        <v>2306</v>
      </c>
    </row>
    <row r="12" customFormat="false" ht="15" hidden="false" customHeight="false" outlineLevel="0" collapsed="false">
      <c r="A12" s="10" t="s">
        <v>2307</v>
      </c>
      <c r="B12" s="10" t="s">
        <v>2308</v>
      </c>
      <c r="C12" s="10" t="s">
        <v>2126</v>
      </c>
      <c r="D12" s="10" t="s">
        <v>2309</v>
      </c>
    </row>
    <row r="13" customFormat="false" ht="15" hidden="false" customHeight="false" outlineLevel="0" collapsed="false">
      <c r="A13" s="6" t="s">
        <v>2310</v>
      </c>
      <c r="B13" s="6" t="s">
        <v>2311</v>
      </c>
      <c r="C13" s="6" t="s">
        <v>2312</v>
      </c>
      <c r="D13" s="6" t="s">
        <v>2313</v>
      </c>
    </row>
    <row r="14" customFormat="false" ht="35.05" hidden="false" customHeight="false" outlineLevel="0" collapsed="false">
      <c r="A14" s="6" t="s">
        <v>2310</v>
      </c>
      <c r="B14" s="6" t="s">
        <v>2314</v>
      </c>
      <c r="C14" s="6" t="s">
        <v>2315</v>
      </c>
      <c r="D14" s="6" t="s">
        <v>2316</v>
      </c>
    </row>
    <row r="15" customFormat="false" ht="23.85" hidden="false" customHeight="false" outlineLevel="0" collapsed="false">
      <c r="A15" s="6" t="s">
        <v>2310</v>
      </c>
      <c r="B15" s="6" t="s">
        <v>2317</v>
      </c>
      <c r="C15" s="6" t="s">
        <v>2318</v>
      </c>
      <c r="D15" s="6" t="s">
        <v>2319</v>
      </c>
    </row>
    <row r="16" customFormat="false" ht="23.85" hidden="false" customHeight="false" outlineLevel="0" collapsed="false">
      <c r="A16" s="6" t="s">
        <v>2310</v>
      </c>
      <c r="B16" s="6" t="s">
        <v>2320</v>
      </c>
      <c r="C16" s="6" t="s">
        <v>2321</v>
      </c>
      <c r="D16" s="6" t="s">
        <v>2322</v>
      </c>
    </row>
    <row r="17" customFormat="false" ht="23.85" hidden="false" customHeight="false" outlineLevel="0" collapsed="false">
      <c r="A17" s="6" t="s">
        <v>2310</v>
      </c>
      <c r="B17" s="6" t="s">
        <v>2323</v>
      </c>
      <c r="C17" s="6" t="s">
        <v>2324</v>
      </c>
      <c r="D17" s="6" t="s">
        <v>2325</v>
      </c>
    </row>
    <row r="18" customFormat="false" ht="23.85" hidden="false" customHeight="false" outlineLevel="0" collapsed="false">
      <c r="A18" s="6" t="s">
        <v>2310</v>
      </c>
      <c r="B18" s="6" t="s">
        <v>2326</v>
      </c>
      <c r="C18" s="6" t="s">
        <v>2327</v>
      </c>
      <c r="D18" s="6" t="s">
        <v>2328</v>
      </c>
    </row>
    <row r="19" customFormat="false" ht="35.05" hidden="false" customHeight="false" outlineLevel="0" collapsed="false">
      <c r="A19" s="6" t="s">
        <v>2329</v>
      </c>
      <c r="B19" s="6" t="s">
        <v>95</v>
      </c>
      <c r="C19" s="6" t="s">
        <v>2330</v>
      </c>
      <c r="D19" s="6" t="s">
        <v>2331</v>
      </c>
    </row>
    <row r="20" customFormat="false" ht="15" hidden="false" customHeight="false" outlineLevel="0" collapsed="false">
      <c r="A20" s="6" t="s">
        <v>2332</v>
      </c>
      <c r="B20" s="6" t="s">
        <v>63</v>
      </c>
      <c r="C20" s="6" t="s">
        <v>2333</v>
      </c>
      <c r="D20" s="6" t="s">
        <v>2334</v>
      </c>
    </row>
    <row r="21" customFormat="false" ht="35.05" hidden="false" customHeight="false" outlineLevel="0" collapsed="false">
      <c r="A21" s="6" t="s">
        <v>2332</v>
      </c>
      <c r="B21" s="6" t="s">
        <v>68</v>
      </c>
      <c r="C21" s="6" t="s">
        <v>2335</v>
      </c>
      <c r="D21" s="6" t="s">
        <v>2336</v>
      </c>
    </row>
    <row r="22" customFormat="false" ht="23.85" hidden="false" customHeight="false" outlineLevel="0" collapsed="false">
      <c r="A22" s="6" t="s">
        <v>2332</v>
      </c>
      <c r="B22" s="6" t="s">
        <v>2337</v>
      </c>
      <c r="C22" s="6" t="s">
        <v>2338</v>
      </c>
      <c r="D22" s="6" t="s">
        <v>2339</v>
      </c>
    </row>
    <row r="23" customFormat="false" ht="23.85" hidden="false" customHeight="false" outlineLevel="0" collapsed="false">
      <c r="A23" s="6" t="s">
        <v>2332</v>
      </c>
      <c r="B23" s="6" t="s">
        <v>2340</v>
      </c>
      <c r="C23" s="6" t="s">
        <v>2341</v>
      </c>
      <c r="D23" s="6" t="s">
        <v>2342</v>
      </c>
    </row>
    <row r="24" customFormat="false" ht="23.85" hidden="false" customHeight="false" outlineLevel="0" collapsed="false">
      <c r="A24" s="6" t="s">
        <v>2248</v>
      </c>
      <c r="B24" s="6" t="s">
        <v>185</v>
      </c>
      <c r="C24" s="6" t="s">
        <v>2343</v>
      </c>
      <c r="D24" s="6" t="s">
        <v>2344</v>
      </c>
    </row>
    <row r="25" customFormat="false" ht="23.85" hidden="false" customHeight="false" outlineLevel="0" collapsed="false">
      <c r="A25" s="6" t="s">
        <v>2248</v>
      </c>
      <c r="B25" s="6" t="s">
        <v>201</v>
      </c>
      <c r="C25" s="6" t="s">
        <v>2345</v>
      </c>
      <c r="D25" s="6" t="s">
        <v>2346</v>
      </c>
    </row>
    <row r="26" customFormat="false" ht="15" hidden="false" customHeight="false" outlineLevel="0" collapsed="false">
      <c r="A26" s="6" t="s">
        <v>2248</v>
      </c>
      <c r="B26" s="6" t="s">
        <v>354</v>
      </c>
      <c r="C26" s="6" t="s">
        <v>2347</v>
      </c>
      <c r="D26" s="6" t="s">
        <v>2348</v>
      </c>
    </row>
    <row r="27" customFormat="false" ht="35.05" hidden="false" customHeight="false" outlineLevel="0" collapsed="false">
      <c r="A27" s="6" t="s">
        <v>2349</v>
      </c>
      <c r="B27" s="6" t="s">
        <v>482</v>
      </c>
      <c r="C27" s="6" t="s">
        <v>2350</v>
      </c>
      <c r="D27" s="6" t="s">
        <v>2351</v>
      </c>
    </row>
    <row r="29" customFormat="false" ht="15" hidden="false" customHeight="false" outlineLevel="0" collapsed="false">
      <c r="A29" s="9" t="s">
        <v>2352</v>
      </c>
    </row>
    <row r="30" customFormat="false" ht="15" hidden="false" customHeight="false" outlineLevel="0" collapsed="false">
      <c r="A30" s="10" t="s">
        <v>2353</v>
      </c>
      <c r="B30" s="10" t="s">
        <v>2354</v>
      </c>
      <c r="C30" s="10" t="s">
        <v>2355</v>
      </c>
      <c r="D30" s="10" t="s">
        <v>41</v>
      </c>
    </row>
    <row r="31" customFormat="false" ht="46.25" hidden="false" customHeight="false" outlineLevel="0" collapsed="false">
      <c r="A31" s="6" t="s">
        <v>2356</v>
      </c>
      <c r="B31" s="6" t="s">
        <v>2357</v>
      </c>
      <c r="C31" s="6" t="s">
        <v>2358</v>
      </c>
      <c r="D31" s="6" t="s">
        <v>2359</v>
      </c>
    </row>
    <row r="32" customFormat="false" ht="23.85" hidden="false" customHeight="false" outlineLevel="0" collapsed="false">
      <c r="A32" s="6" t="s">
        <v>2360</v>
      </c>
      <c r="B32" s="6" t="s">
        <v>2361</v>
      </c>
      <c r="C32" s="6" t="s">
        <v>2362</v>
      </c>
      <c r="D32" s="6" t="s">
        <v>2359</v>
      </c>
    </row>
    <row r="33" customFormat="false" ht="35.05" hidden="false" customHeight="false" outlineLevel="0" collapsed="false">
      <c r="A33" s="6" t="s">
        <v>2363</v>
      </c>
      <c r="B33" s="6" t="s">
        <v>2364</v>
      </c>
      <c r="C33" s="6" t="s">
        <v>2365</v>
      </c>
      <c r="D33" s="6" t="s">
        <v>2366</v>
      </c>
    </row>
    <row r="34" customFormat="false" ht="23.85" hidden="false" customHeight="false" outlineLevel="0" collapsed="false">
      <c r="A34" s="6" t="s">
        <v>2367</v>
      </c>
      <c r="B34" s="6" t="s">
        <v>2368</v>
      </c>
      <c r="C34" s="6" t="s">
        <v>2369</v>
      </c>
      <c r="D34" s="6" t="s">
        <v>2370</v>
      </c>
    </row>
    <row r="35" customFormat="false" ht="23.85" hidden="false" customHeight="false" outlineLevel="0" collapsed="false">
      <c r="A35" s="6" t="s">
        <v>2371</v>
      </c>
      <c r="B35" s="6" t="s">
        <v>2372</v>
      </c>
      <c r="C35" s="6" t="s">
        <v>2373</v>
      </c>
      <c r="D35" s="6" t="s">
        <v>2374</v>
      </c>
    </row>
    <row r="36" customFormat="false" ht="35.05" hidden="false" customHeight="false" outlineLevel="0" collapsed="false">
      <c r="A36" s="6" t="s">
        <v>2375</v>
      </c>
      <c r="B36" s="6" t="s">
        <v>2376</v>
      </c>
      <c r="C36" s="6" t="s">
        <v>2377</v>
      </c>
      <c r="D36" s="6" t="s">
        <v>2378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2026-10-17T09:48:27Z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