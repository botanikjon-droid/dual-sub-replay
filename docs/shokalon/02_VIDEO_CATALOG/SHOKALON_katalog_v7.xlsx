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_rels/sheet6.xml.rels" ContentType="application/vnd.openxmlformats-package.relationships+xml"/>
  <Override PartName="/xl/worksheets/_rels/sheet5.xml.rels" ContentType="application/vnd.openxmlformats-package.relationships+xml"/>
  <Override PartName="/xl/worksheets/_rels/sheet4.xml.rels" ContentType="application/vnd.openxmlformats-package.relationship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8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Qo‘llanma" sheetId="1" state="visible" r:id="rId3"/>
    <sheet name="Mundarija" sheetId="2" state="visible" r:id="rId4"/>
    <sheet name="Qidiruv navbati" sheetId="3" state="visible" r:id="rId5"/>
    <sheet name="Boshqa til zaxirasi" sheetId="4" state="visible" r:id="rId6"/>
    <sheet name="Katalog" sheetId="5" state="visible" r:id="rId7"/>
    <sheet name="Rad va ziddiyat" sheetId="6" state="visible" r:id="rId8"/>
    <sheet name="Qamrov" sheetId="7" state="visible" r:id="rId9"/>
    <sheet name="Audit" sheetId="8" state="visible" r:id="rId10"/>
  </sheets>
  <definedNames>
    <definedName function="false" hidden="true" localSheetId="4" name="_xlnm._FilterDatabase" vbProcedure="false">Katalog!$A$1:$Y$284</definedName>
    <definedName function="false" hidden="true" localSheetId="1" name="_xlnm._FilterDatabase" vbProcedure="false">Mundarija!$A$1:$I$254</definedName>
    <definedName function="false" hidden="true" localSheetId="2" name="_xlnm._FilterDatabase" vbProcedure="false">'Qidiruv navbati'!$A$1:$F$118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<sst xmlns="http://schemas.openxmlformats.org/spreadsheetml/2006/main" count="6690" uniqueCount="2359">
  <si>
    <t xml:space="preserve">SHOKALON — videodarslar katalogi, 7-versiya</t>
  </si>
  <si>
    <t xml:space="preserve">Tayyorlangan sana</t>
  </si>
  <si>
    <t xml:space="preserve">2026-10-17</t>
  </si>
  <si>
    <t xml:space="preserve">Nima bor</t>
  </si>
  <si>
    <t xml:space="preserve">33 bob, 253 kichik mavzu (Mundarija); 283 ta video (Katalog) — ilovadagi barcha darslar shu yerda kod va Video ID bilan; rad etilgan havolalar; bob bo‘yicha qamrov; audit va loyihadan chetga chiqishlar.</t>
  </si>
  <si>
    <t xml:space="preserve">Mavzu kodi</t>
  </si>
  <si>
    <t xml:space="preserve">BB.CC.TT — BB: bo‘lim (01–13), CC: bob (01–33, butun kurs bo‘yicha), TT: kichik mavzu. Masalan 03.11.06 = III bo‘lim, 11-bob, 6-mavzu (CBD). Kodlar mundarija matni o‘zgarsa ham o‘zgarmaydi.</t>
  </si>
  <si>
    <t xml:space="preserve">Video ID</t>
  </si>
  <si>
    <t xml:space="preserve">V001, V002 … — topilish tartibida beriladi va hech qachon almashtirilmaydi. V001–V013 — 2026-10-11 dagi oldingi ish (saqlandi).</t>
  </si>
  <si>
    <t xml:space="preserve">Fayl nomi</t>
  </si>
  <si>
    <t xml:space="preserve">SHK_{kod nuqtasiz}_{Video ID}_{variant}.srt. Masalan: SHK_031106_V004_ORIGINAL.srt va SHK_031106_V004_UZ-LATIN.srt. Bir video bir nechta mavzuga tegsa, fayl faqat asosiy kod bilan nomlanadi.</t>
  </si>
  <si>
    <t xml:space="preserve">Subtitr variantlari</t>
  </si>
  <si>
    <t xml:space="preserve">ORIGINAL (muallif subtitri), ASR-EN (YouTube avtomatik), UZ-LATIN, UZ-LATIN-v2 … Versiya raqami faqat oshadi.</t>
  </si>
  <si>
    <t xml:space="preserve">Tekshiruv holatlari</t>
  </si>
  <si>
    <t xml:space="preserve">Metadata tekshirilgan (YouTube sahifasi)</t>
  </si>
  <si>
    <t xml:space="preserve">Nomi, kanali va nashr sanasi YouTube sahifasidan olindi va qidiruv natijasidagi nom bilan mos keldi. Video ko‘rilmagan.</t>
  </si>
  <si>
    <t xml:space="preserve">Metadata tekshirilgan (ikkilamchi sahifa)</t>
  </si>
  <si>
    <t xml:space="preserve">Ma’lumot Tom Wade MD saytidagi joylashtirilgan video sahifasidan olingan. Video ko‘rilmagan.</t>
  </si>
  <si>
    <t xml:space="preserve">Metadata qisman</t>
  </si>
  <si>
    <t xml:space="preserve">Faqat qidiruv natijasi bor; kanal yoki mazmun tasdiqlanmagan.</t>
  </si>
  <si>
    <t xml:space="preserve">Havola tekshirilgan (oEmbed, GitHub serveri)</t>
  </si>
  <si>
    <t xml:space="preserve">Video mavjud, ochiq; nomi va kanali YouTube’ning rasmiy oEmbed javobidan. Subtitr va O‘zbekistonda ochilishi tekshirilmagan. Video ko‘rilmagan.</t>
  </si>
  <si>
    <t xml:space="preserve">Ishlamaydi</t>
  </si>
  <si>
    <t xml:space="preserve">Server tekshiruvida video ochilmadi. Qator saqlanadi (ID o‘zgarmasin), lekin qamrovga kirmaydi.</t>
  </si>
  <si>
    <t xml:space="preserve">Mundarija holatlari</t>
  </si>
  <si>
    <t xml:space="preserve">Mavjud va tekshirilgan · Mavjud, lekin tekshirilmagan · Qisman to‘ldirilgan · Yetishmaydi · Takroriy · Yangilash kerak. Hech bir video hali to‘liq ko‘rilmagani uchun “Mavjud va tekshirilgan” holati hozircha yo‘q.</t>
  </si>
  <si>
    <t xml:space="preserve">Siz to‘ldiradigan kataklar</t>
  </si>
  <si>
    <t xml:space="preserve">Sariq kataklar: Katalogdagi 6 ta baho ustuni (0–5), Subtitr turi va Izoh. Ballni faqat videoni ko‘rgach qo‘ying; 6 tasi to‘lsa, jami avtomatik hisoblanadi.</t>
  </si>
  <si>
    <t xml:space="preserve">Baho mezonlari (0–5)</t>
  </si>
  <si>
    <t xml:space="preserve">Mavzuga moslik · Tibbiy ishonchlilik · Amaliy demonstratsiya · Tushuntirish sifati · O‘quv darajasi · Vizual aniqlik. Jami 30.</t>
  </si>
  <si>
    <t xml:space="preserve">Cheklovlar</t>
  </si>
  <si>
    <t xml:space="preserve">Davomiylik bo‘sh yoki “&gt;” bilan yozilgan joylarda YouTube sahifasi davomiylikni bermadi; “&gt;” = oxirgi bob belgisigacha bo‘lgan vaqt. Subtitr borligi hech bir video uchun tekshirilmadi (sahifa ko‘rsatmadi). Litsenziya turi tekshirilmadi.</t>
  </si>
  <si>
    <t xml:space="preserve">Papka tuzilmasi (taklif)</t>
  </si>
  <si>
    <t xml:space="preserve">01_CURRICULUM · 02_VIDEO_CATALOG (shu fayl) · 03_SUBTITLES_ORIGINAL · 04_SUBTITLES_TRANSLATED · 05_SUBTITLE_QA · 06_ULTRASOUND_ATLAS · 07_TESTS · 08_PRESENTATIONS · 09_REFERENCES · 10_RELEASES. Ilovaga (Dual Replay) katalog keyinroq shu fayldan avtomatik yasaladigan JSON sifatida kiradi.</t>
  </si>
  <si>
    <t xml:space="preserve">Kod</t>
  </si>
  <si>
    <t xml:space="preserve">Bo‘lim</t>
  </si>
  <si>
    <t xml:space="preserve">Bob</t>
  </si>
  <si>
    <t xml:space="preserve">Kichik mavzu</t>
  </si>
  <si>
    <t xml:space="preserve">Videolar soni</t>
  </si>
  <si>
    <t xml:space="preserve">Qisman (audit)</t>
  </si>
  <si>
    <t xml:space="preserve">Takror (audit)</t>
  </si>
  <si>
    <t xml:space="preserve">Holat</t>
  </si>
  <si>
    <t xml:space="preserve">Audit izohi</t>
  </si>
  <si>
    <t xml:space="preserve">01.01.01</t>
  </si>
  <si>
    <t xml:space="preserve">I. ULTRATOVUSH FIZIKASI VA APPARAT BILAN ISHLASH</t>
  </si>
  <si>
    <t xml:space="preserve">1-bob. Ultratovush fizikasi</t>
  </si>
  <si>
    <t xml:space="preserve">1.1. Tovush va ultratovushning tabiati, chastota, davr, amplituda va to‘lqin uzunligi.</t>
  </si>
  <si>
    <t xml:space="preserve">01.01.02</t>
  </si>
  <si>
    <t xml:space="preserve">1.2. Tovush tezligi, akustik impedans va to‘qimalar chegarasida aks etish.</t>
  </si>
  <si>
    <t xml:space="preserve">01.01.03</t>
  </si>
  <si>
    <t xml:space="preserve">1.3. Refleksiya, refraksiya, sochilish, diffraksiya va absorbsiya.</t>
  </si>
  <si>
    <t xml:space="preserve">01.01.04</t>
  </si>
  <si>
    <t xml:space="preserve">1.4. Attenuatsiya, chuqurlik va chastota o‘rtasidagi bog‘liqlik.</t>
  </si>
  <si>
    <t xml:space="preserve">01.01.05</t>
  </si>
  <si>
    <t xml:space="preserve">1.5. Echogenlik, akustik interfeyslar va tasvir hosil bo‘lishining fizik asoslari.</t>
  </si>
  <si>
    <t xml:space="preserve">ha</t>
  </si>
  <si>
    <t xml:space="preserve">01.02.01</t>
  </si>
  <si>
    <t xml:space="preserve">2-bob. UZI apparati va datchiklar</t>
  </si>
  <si>
    <t xml:space="preserve">2.1. Pyezoelektrik effekt va transduserning ishlash prinsipi.</t>
  </si>
  <si>
    <t xml:space="preserve">01.02.02</t>
  </si>
  <si>
    <t xml:space="preserve">2.2. Konveks, chiziqli, sektor/fazalangan va endokavitar datchiklar.</t>
  </si>
  <si>
    <t xml:space="preserve">01.02.03</t>
  </si>
  <si>
    <t xml:space="preserve">2.3. Datchik chastotasi va tekshiruvga mos datchikni tanlash.</t>
  </si>
  <si>
    <t xml:space="preserve">01.02.04</t>
  </si>
  <si>
    <t xml:space="preserve">2.4. Eksenel, lateral va elevatsion rezolyutsiya.</t>
  </si>
  <si>
    <t xml:space="preserve">Atama: “eksenel” → “aksial” rezolyutsiya</t>
  </si>
  <si>
    <t xml:space="preserve">01.02.05</t>
  </si>
  <si>
    <t xml:space="preserve">2.5. B-rejim, M-rejim va tasvirni qayta ishlash.</t>
  </si>
  <si>
    <t xml:space="preserve">01.02.06</t>
  </si>
  <si>
    <t xml:space="preserve">2.6. Panoramik tasvir, compound imaging, harmonic imaging va speklni kamaytirish.</t>
  </si>
  <si>
    <t xml:space="preserve">Atama: compound/harmonic imaging → kompaund va garmonik tasvirlash</t>
  </si>
  <si>
    <t xml:space="preserve">01.02.07</t>
  </si>
  <si>
    <t xml:space="preserve">2.7. Datchiklarni tozalash, dezinfeksiya va infeksiya nazorati.</t>
  </si>
  <si>
    <t xml:space="preserve">01.03.01</t>
  </si>
  <si>
    <t xml:space="preserve">3-bob. Tasvirni optimallashtirish</t>
  </si>
  <si>
    <t xml:space="preserve">3.1. Gain va TGC.</t>
  </si>
  <si>
    <t xml:space="preserve">01.03.02</t>
  </si>
  <si>
    <t xml:space="preserve">3.2. Depth, fokus va ko‘rish maydoni.</t>
  </si>
  <si>
    <t xml:space="preserve">01.03.03</t>
  </si>
  <si>
    <t xml:space="preserve">3.3. Dynamic range, chastota, frame rate va tasvir tezligi.</t>
  </si>
  <si>
    <t xml:space="preserve">01.03.04</t>
  </si>
  <si>
    <t xml:space="preserve">3.4. Zoom, cine-loop, o‘lchash va tasvirni saqlash.</t>
  </si>
  <si>
    <t xml:space="preserve">01.03.05</t>
  </si>
  <si>
    <t xml:space="preserve">3.5. Turli a’zolar uchun boshlang‘ich sozlamalar.</t>
  </si>
  <si>
    <t xml:space="preserve">01.03.06</t>
  </si>
  <si>
    <t xml:space="preserve">3.6. Texnik xatolar va tasvir sifatini nazorat qilish.</t>
  </si>
  <si>
    <t xml:space="preserve">01.04.01</t>
  </si>
  <si>
    <t xml:space="preserve">4-bob. Ultratovush artefaktlari</t>
  </si>
  <si>
    <t xml:space="preserve">4.1. Akustik soya va posterior akustik kuchayish.</t>
  </si>
  <si>
    <t xml:space="preserve">01.04.02</t>
  </si>
  <si>
    <t xml:space="preserve">4.2. Reverberatsiya, kometa dumi va ring-down.</t>
  </si>
  <si>
    <t xml:space="preserve">01.04.03</t>
  </si>
  <si>
    <t xml:space="preserve">4.3. Ko‘zgu artefakti va refraksiya.</t>
  </si>
  <si>
    <t xml:space="preserve">01.04.04</t>
  </si>
  <si>
    <t xml:space="preserve">4.4. Yon lob, qalin kesim va anizotropiya artefaktlari.</t>
  </si>
  <si>
    <t xml:space="preserve">01.04.05</t>
  </si>
  <si>
    <t xml:space="preserve">4.5. Doppler aliasing va boshqa Doppler artefaktlari.</t>
  </si>
  <si>
    <t xml:space="preserve">Tartib: Doppler artefakti 5-bob (Doppler asoslari)dan oldin keladi; 5-bob oxiriga ko‘chirish taklif etiladi</t>
  </si>
  <si>
    <t xml:space="preserve">01.04.06</t>
  </si>
  <si>
    <t xml:space="preserve">4.6. Artefaktlarni patologiyadan farqlash va diagnostik ahamiyati.</t>
  </si>
  <si>
    <t xml:space="preserve">01.05.01</t>
  </si>
  <si>
    <t xml:space="preserve">5-bob. Doppler ultratovush asoslari</t>
  </si>
  <si>
    <t xml:space="preserve">5.1. Doppler effekti va Doppler tenglamasi.</t>
  </si>
  <si>
    <t xml:space="preserve">01.05.02</t>
  </si>
  <si>
    <t xml:space="preserve">5.2. Color Doppler va Power Doppler.</t>
  </si>
  <si>
    <t xml:space="preserve">01.05.03</t>
  </si>
  <si>
    <t xml:space="preserve">5.3. Pulsli spektral Doppler va uzluksiz to‘lqinli Doppler.</t>
  </si>
  <si>
    <t xml:space="preserve">01.05.04</t>
  </si>
  <si>
    <t xml:space="preserve">5.4. PRF, scale, wall filter, gain va sample volume.</t>
  </si>
  <si>
    <t xml:space="preserve">01.05.05</t>
  </si>
  <si>
    <t xml:space="preserve">5.5. Doppler burchagi va burchak korreksiyasi.</t>
  </si>
  <si>
    <t xml:space="preserve">01.05.06</t>
  </si>
  <si>
    <t xml:space="preserve">5.6. Tezlik, RI, PI va boshqa gemodinamik ko‘rsatkichlar.</t>
  </si>
  <si>
    <t xml:space="preserve">01.05.07</t>
  </si>
  <si>
    <t xml:space="preserve">5.7. Past oqimli qon tomirlarini tekshirish va Doppler xatolari.</t>
  </si>
  <si>
    <t xml:space="preserve">01.04.05 bilan qisman takror (Doppler xatolari)</t>
  </si>
  <si>
    <t xml:space="preserve">01.06.01</t>
  </si>
  <si>
    <t xml:space="preserve">6-bob. Biologik xavfsizlik</t>
  </si>
  <si>
    <t xml:space="preserve">6.1. Ultratovushning termal va mexanik bioeffektlari.</t>
  </si>
  <si>
    <t xml:space="preserve">01.06.02</t>
  </si>
  <si>
    <t xml:space="preserve">6.2. Thermal Index (TI) va Mechanical Index (MI).</t>
  </si>
  <si>
    <t xml:space="preserve">01.06.03</t>
  </si>
  <si>
    <t xml:space="preserve">6.3. ALARA tamoyili va tekshiruv davomiyligi.</t>
  </si>
  <si>
    <t xml:space="preserve">01.06.04</t>
  </si>
  <si>
    <t xml:space="preserve">6.4. Homiladorlar va bolalarda xavfsiz tekshiruv.</t>
  </si>
  <si>
    <t xml:space="preserve">01.06.05</t>
  </si>
  <si>
    <t xml:space="preserve">6.5. Datchik gigiyenasi va infeksiya profilaktikasi.</t>
  </si>
  <si>
    <t xml:space="preserve">01.02.07 bilan takror (datchik gigiyenasi). Bittasida qoldirib, ikkinchisida havola berish taklif etiladi</t>
  </si>
  <si>
    <t xml:space="preserve">01.06.06</t>
  </si>
  <si>
    <t xml:space="preserve">6.6. Kontrastli UZI xavfsizligi va maxsus tayyorgarlik talablari.</t>
  </si>
  <si>
    <t xml:space="preserve">Kontrast fizikasi 31-bobda; o‘zaro havola kerak</t>
  </si>
  <si>
    <t xml:space="preserve">02.07.01</t>
  </si>
  <si>
    <t xml:space="preserve">II. TEKSHIRUV METODIKASI VA DIAGNOSTIK TAFAKKUR</t>
  </si>
  <si>
    <t xml:space="preserve">7-bob. Bemorni tekshiruvga tayyorlash</t>
  </si>
  <si>
    <t xml:space="preserve">7.1. Anamnez, klinik savol va yo‘llanmani tahlil qilish.</t>
  </si>
  <si>
    <t xml:space="preserve">02.07.02</t>
  </si>
  <si>
    <t xml:space="preserve">7.2. Qorin bo‘shlig‘i tekshiruvi uchun tayyorgarlik.</t>
  </si>
  <si>
    <t xml:space="preserve">02.07.03</t>
  </si>
  <si>
    <t xml:space="preserve">7.3. Siydik pufagi va chanoq a’zolariga tayyorgarlik.</t>
  </si>
  <si>
    <t xml:space="preserve">02.07.04</t>
  </si>
  <si>
    <t xml:space="preserve">7.4. Transvaginal va transrektal tekshiruvga tayyorgarlik, rozilik va maxfiylik.</t>
  </si>
  <si>
    <t xml:space="preserve">02.07.05</t>
  </si>
  <si>
    <t xml:space="preserve">7.5. Bolalar va shoshilinch bemorlarni tekshirish.</t>
  </si>
  <si>
    <t xml:space="preserve">02.07.06</t>
  </si>
  <si>
    <t xml:space="preserve">7.6. Tekshiruv cheklovlari va yetarli bo‘lmagan vizualizatsiyani qayd etish.</t>
  </si>
  <si>
    <t xml:space="preserve">02.08.01</t>
  </si>
  <si>
    <t xml:space="preserve">8-bob. Skanerlash texnikasi va ergonomika</t>
  </si>
  <si>
    <t xml:space="preserve">8.1. Datchikni ushlash, bosimni boshqarish va harakatlantirish.</t>
  </si>
  <si>
    <t xml:space="preserve">02.08.02</t>
  </si>
  <si>
    <t xml:space="preserve">8.2. Bo‘ylama, ko‘ndalang va qiya tekisliklar.</t>
  </si>
  <si>
    <t xml:space="preserve">02.08.03</t>
  </si>
  <si>
    <t xml:space="preserve">8.3. Anatomik orientatsiya va ekranda tasvirni yo‘naltirish.</t>
  </si>
  <si>
    <t xml:space="preserve">02.08.04</t>
  </si>
  <si>
    <t xml:space="preserve">8.4. Standart kesimlar va to‘liq tekshiruv protokollari.</t>
  </si>
  <si>
    <t xml:space="preserve">02.08.05</t>
  </si>
  <si>
    <t xml:space="preserve">8.5. O‘lchash xatolari va takrorlanuvchanlik.</t>
  </si>
  <si>
    <t xml:space="preserve">02.08.06</t>
  </si>
  <si>
    <t xml:space="preserve">8.6. Sonografist ergonomikasi va kasbiy shikastlanishlarning oldini olish.</t>
  </si>
  <si>
    <t xml:space="preserve">02.09.01</t>
  </si>
  <si>
    <t xml:space="preserve">9-bob. Sonografik diagnostika va xulosa yozish</t>
  </si>
  <si>
    <t xml:space="preserve">9.1. Normal anatomiyani patologiyadan farqlash.</t>
  </si>
  <si>
    <t xml:space="preserve">02.09.02</t>
  </si>
  <si>
    <t xml:space="preserve">9.2. O‘lcham, shakl, kontur, echogenlik va qon oqimini tavsiflash.</t>
  </si>
  <si>
    <t xml:space="preserve">02.09.03</t>
  </si>
  <si>
    <t xml:space="preserve">9.3. Fokal va diffuz o‘zgarishlarni baholash.</t>
  </si>
  <si>
    <t xml:space="preserve">02.09.04</t>
  </si>
  <si>
    <t xml:space="preserve">9.4. Differensial diagnostika va klinik ma’lumotlardan foydalanish.</t>
  </si>
  <si>
    <t xml:space="preserve">02.09.05</t>
  </si>
  <si>
    <t xml:space="preserve">9.5. Standart protokol, xulosa va tavsiyalarni shakllantirish.</t>
  </si>
  <si>
    <t xml:space="preserve">02.09.06</t>
  </si>
  <si>
    <t xml:space="preserve">9.6. Cheklovlar, tasodifiy topilmalar va shoshilinch belgilar.</t>
  </si>
  <si>
    <t xml:space="preserve">02.09.07</t>
  </si>
  <si>
    <t xml:space="preserve">9.7. Tasvirlarni arxivlash, sifat nazorati va klinik kuzatuv.</t>
  </si>
  <si>
    <t xml:space="preserve">03.10.01</t>
  </si>
  <si>
    <t xml:space="preserve">III. QORIN BO‘SHLIG‘I VA RETROPERITONEAL SOHA</t>
  </si>
  <si>
    <t xml:space="preserve">10-bob. Jigar</t>
  </si>
  <si>
    <t xml:space="preserve">10.1. Jigar segmentlari, normal anatomiyasi va o‘lchamlari.</t>
  </si>
  <si>
    <t xml:space="preserve">03.10.02</t>
  </si>
  <si>
    <t xml:space="preserve">10.2. Jigarni standart tekshirish protokoli.</t>
  </si>
  <si>
    <t xml:space="preserve">03.10.03</t>
  </si>
  <si>
    <t xml:space="preserve">10.3. Diffuz kasalliklar: steatoz, gepatit va sirroz.</t>
  </si>
  <si>
    <t xml:space="preserve">03.10.04</t>
  </si>
  <si>
    <t xml:space="preserve">10.4. Portal gipertenziya, portal va jigar venalari.</t>
  </si>
  <si>
    <t xml:space="preserve">03.10.05</t>
  </si>
  <si>
    <t xml:space="preserve">10.5. Fokal hosilalar: kista, gemangioma va boshqa benign o‘zgarishlar.</t>
  </si>
  <si>
    <t xml:space="preserve">03.10.06</t>
  </si>
  <si>
    <t xml:space="preserve">10.6. Malign hosilalar, metastazlar va jigar abssessi.</t>
  </si>
  <si>
    <t xml:space="preserve">Taklif: US LI-RADS (xavf guruhida skrining) qo‘shish</t>
  </si>
  <si>
    <t xml:space="preserve">03.10.07</t>
  </si>
  <si>
    <t xml:space="preserve">10.7. Jigar elastografiyasi: ko‘rsatmalar, texnika va cheklovlar.</t>
  </si>
  <si>
    <t xml:space="preserve">03.10.08</t>
  </si>
  <si>
    <t xml:space="preserve">10.8. Jigar transplantatini tekshirish.</t>
  </si>
  <si>
    <t xml:space="preserve">03.10.09</t>
  </si>
  <si>
    <t xml:space="preserve">10.9. Fokal jigar hosilalarida differensial diagnostika.</t>
  </si>
  <si>
    <t xml:space="preserve">03.11.01</t>
  </si>
  <si>
    <t xml:space="preserve">11-bob. O‘t pufagi va o‘t yo‘llari</t>
  </si>
  <si>
    <t xml:space="preserve">11.1. Normal anatomiya va tekshiruv texnikasi.</t>
  </si>
  <si>
    <t xml:space="preserve">03.11.02</t>
  </si>
  <si>
    <t xml:space="preserve">11.2. Xolelitiaz va xoledoxolitiaz.</t>
  </si>
  <si>
    <t xml:space="preserve">03.11.03</t>
  </si>
  <si>
    <t xml:space="preserve">11.3. O‘tkir va surunkali xoletsistit.</t>
  </si>
  <si>
    <t xml:space="preserve">03.11.04</t>
  </si>
  <si>
    <t xml:space="preserve">11.4. O‘t pufagi poliplari, adenomiomatoz va o‘smalar.</t>
  </si>
  <si>
    <t xml:space="preserve">Taklif: ACR GB-RADS (o‘t pufagi devori) qo‘shish</t>
  </si>
  <si>
    <t xml:space="preserve">03.11.05</t>
  </si>
  <si>
    <t xml:space="preserve">11.5. Intrahepatik va ekstrahepatik o‘t yo‘llari kengayishi.</t>
  </si>
  <si>
    <t xml:space="preserve">03.11.06</t>
  </si>
  <si>
    <t xml:space="preserve">11.6. Umumiy o‘t yo‘li (CBD)ni turli kesimlarda topish va tekshirish.</t>
  </si>
  <si>
    <t xml:space="preserve">03.11.07</t>
  </si>
  <si>
    <t xml:space="preserve">11.7. Mexanik sariqlikning sonografik sabablari.</t>
  </si>
  <si>
    <t xml:space="preserve">03.11.08</t>
  </si>
  <si>
    <t xml:space="preserve">11.8. O‘t yo‘llari kasalliklarida differensial diagnostika.</t>
  </si>
  <si>
    <t xml:space="preserve">03.12.01</t>
  </si>
  <si>
    <t xml:space="preserve">12-bob. Oshqozon osti bezi</t>
  </si>
  <si>
    <t xml:space="preserve">12.1. Normal anatomiya va vizualizatsiya usullari.</t>
  </si>
  <si>
    <t xml:space="preserve">03.12.02</t>
  </si>
  <si>
    <t xml:space="preserve">12.2. O‘tkir va surunkali pankreatit.</t>
  </si>
  <si>
    <t xml:space="preserve">03.12.03</t>
  </si>
  <si>
    <t xml:space="preserve">12.3. Psevdokista va boshqa suyuqlikli hosilalar.</t>
  </si>
  <si>
    <t xml:space="preserve">03.12.04</t>
  </si>
  <si>
    <t xml:space="preserve">12.4. Pankreas o‘smalari va kengaygan pankreatik yo‘l.</t>
  </si>
  <si>
    <t xml:space="preserve">03.12.05</t>
  </si>
  <si>
    <t xml:space="preserve">12.5. Ko‘rish cheklovlari va differensial diagnostika.</t>
  </si>
  <si>
    <t xml:space="preserve">03.13.01</t>
  </si>
  <si>
    <t xml:space="preserve">13-bob. Taloq</t>
  </si>
  <si>
    <t xml:space="preserve">13.1. Normal anatomiya va o‘lchamlari.</t>
  </si>
  <si>
    <t xml:space="preserve">03.13.02</t>
  </si>
  <si>
    <t xml:space="preserve">13.2. Splenomegaliya va portal gipertenziya bilan bog‘liqligi.</t>
  </si>
  <si>
    <t xml:space="preserve">03.13.03</t>
  </si>
  <si>
    <t xml:space="preserve">13.3. Infarkt, travma va gematoma.</t>
  </si>
  <si>
    <t xml:space="preserve">03.13.04</t>
  </si>
  <si>
    <t xml:space="preserve">13.4. Kistalar, abssesslar va fokal hosilalar.</t>
  </si>
  <si>
    <t xml:space="preserve">03.14.01</t>
  </si>
  <si>
    <t xml:space="preserve">14-bob. Buyraklar va siydik yo‘llari</t>
  </si>
  <si>
    <t xml:space="preserve">14.1. Buyrak anatomiyasi, o‘lchamlari va normal parenxima.</t>
  </si>
  <si>
    <t xml:space="preserve">03.14.02</t>
  </si>
  <si>
    <t xml:space="preserve">14.2. Buyrak kistalari va Bosniak tasnifining UZI imkoniyatlari hamda cheklovlari.</t>
  </si>
  <si>
    <t xml:space="preserve">03.14.03</t>
  </si>
  <si>
    <t xml:space="preserve">14.3. Nefrolitiaz va gidronefroz.</t>
  </si>
  <si>
    <t xml:space="preserve">03.14.04</t>
  </si>
  <si>
    <t xml:space="preserve">14.4. Solid hosilalar va buyrak o‘smalari.</t>
  </si>
  <si>
    <t xml:space="preserve">03.14.05</t>
  </si>
  <si>
    <t xml:space="preserve">14.5. Diffuz parenximatoz o‘zgarishlar.</t>
  </si>
  <si>
    <t xml:space="preserve">03.14.06</t>
  </si>
  <si>
    <t xml:space="preserve">14.6. Buyrak arteriyasi va venasining Doppler tekshiruvi.</t>
  </si>
  <si>
    <t xml:space="preserve">03.14.07</t>
  </si>
  <si>
    <t xml:space="preserve">14.7. Buyrak transplantatini tekshirish.</t>
  </si>
  <si>
    <t xml:space="preserve">03.14.08</t>
  </si>
  <si>
    <t xml:space="preserve">14.8. Siydik pufagi, qoldiq siydik va siydik yo‘llari patologiyalari.</t>
  </si>
  <si>
    <t xml:space="preserve">03.14.09</t>
  </si>
  <si>
    <t xml:space="preserve">14.9. Buyrak usti bezlari va ularning UZI imkoniyatlari.</t>
  </si>
  <si>
    <t xml:space="preserve">03.15.01</t>
  </si>
  <si>
    <t xml:space="preserve">15-bob. Qorin bo‘shlig‘ining boshqa tuzilmalari</t>
  </si>
  <si>
    <t xml:space="preserve">15.1. Qorin aortasi: diametr, anevrizma va stenoz.</t>
  </si>
  <si>
    <t xml:space="preserve">07.25.07 bilan takror (qorin aortasi)</t>
  </si>
  <si>
    <t xml:space="preserve">03.15.02</t>
  </si>
  <si>
    <t xml:space="preserve">15.2. Pastki kava vena va uning klinik ahamiyati.</t>
  </si>
  <si>
    <t xml:space="preserve">07.25.07 bilan takror (pastki kava vena)</t>
  </si>
  <si>
    <t xml:space="preserve">03.15.03</t>
  </si>
  <si>
    <t xml:space="preserve">15.3. Retroperitoneal soha va limfa tugunlari.</t>
  </si>
  <si>
    <t xml:space="preserve">03.15.04</t>
  </si>
  <si>
    <t xml:space="preserve">15.4. Erkin suyuqlik, peritoneal va mezenterial o‘zgarishlar.</t>
  </si>
  <si>
    <t xml:space="preserve">03.15.05</t>
  </si>
  <si>
    <t xml:space="preserve">15.5. Qorin devori churralari va yumshoq to‘qimalar.</t>
  </si>
  <si>
    <t xml:space="preserve">03.15.06</t>
  </si>
  <si>
    <t xml:space="preserve">15.6. Ichak ultratovushi: devor qatlamlari va harakat.</t>
  </si>
  <si>
    <t xml:space="preserve">03.15.07</t>
  </si>
  <si>
    <t xml:space="preserve">15.7. Appenditsit, ichak tutilishi va ichak yallig‘lanishlari.</t>
  </si>
  <si>
    <t xml:space="preserve">03.15.08</t>
  </si>
  <si>
    <t xml:space="preserve">15.8. Oshqozon-ichak UZI: imkoniyatlar, cheklovlar va qo‘shimcha tekshiruv zarurati.</t>
  </si>
  <si>
    <t xml:space="preserve">04.16.01</t>
  </si>
  <si>
    <t xml:space="preserve">IV. CHANOQ A’ZOLARI VA UROLOGIYA</t>
  </si>
  <si>
    <t xml:space="preserve">16-bob. Ginekologik ultratovush</t>
  </si>
  <si>
    <t xml:space="preserve">16.1. Bachadon, endometriy va tuxumdonlarning normal anatomiyasi.</t>
  </si>
  <si>
    <t xml:space="preserve">04.16.02</t>
  </si>
  <si>
    <t xml:space="preserve">16.2. Transabdominal va transvaginal tekshiruv protokoli.</t>
  </si>
  <si>
    <t xml:space="preserve">04.16.03</t>
  </si>
  <si>
    <t xml:space="preserve">16.3. Hayz sikli davomida endometriy va tuxumdon o‘zgarishlari.</t>
  </si>
  <si>
    <t xml:space="preserve">04.16.04</t>
  </si>
  <si>
    <t xml:space="preserve">16.4. Mioma, adenomioz va endometrial patologiyalar.</t>
  </si>
  <si>
    <t xml:space="preserve">04.16.05</t>
  </si>
  <si>
    <t xml:space="preserve">16.5. Tuxumdon kistalari va adneksal hosilalar.</t>
  </si>
  <si>
    <t xml:space="preserve">04.16.06</t>
  </si>
  <si>
    <t xml:space="preserve">16.6. O-RADS US va IOTA asoslari.</t>
  </si>
  <si>
    <t xml:space="preserve">04.16.07</t>
  </si>
  <si>
    <t xml:space="preserve">16.7. Endometrioz, chanoq yallig‘lanish kasalliklari va gidrosalpinks.</t>
  </si>
  <si>
    <t xml:space="preserve">04.16.08</t>
  </si>
  <si>
    <t xml:space="preserve">16.8. Chanoqdagi erkin suyuqlik va ektopik homiladorlikdan shubhalanish.</t>
  </si>
  <si>
    <t xml:space="preserve">04.16.09</t>
  </si>
  <si>
    <t xml:space="preserve">16.9. Kontratseptiv vositalar, jumladan bachadon ichi vositasi.</t>
  </si>
  <si>
    <t xml:space="preserve">04.16.10</t>
  </si>
  <si>
    <t xml:space="preserve">16.10. Bolalar va o‘smirlar ginekologiyasi.</t>
  </si>
  <si>
    <t xml:space="preserve">04.17.01</t>
  </si>
  <si>
    <t xml:space="preserve">17-bob. Erkaklar urologik ultratovushi</t>
  </si>
  <si>
    <t xml:space="preserve">17.1. Moyak va epididimis anatomiyasi.</t>
  </si>
  <si>
    <t xml:space="preserve">04.17.02</t>
  </si>
  <si>
    <t xml:space="preserve">17.2. Moyak torsiyasi: shoshilinch belgilar va Doppler.</t>
  </si>
  <si>
    <t xml:space="preserve">04.17.03</t>
  </si>
  <si>
    <t xml:space="preserve">17.3. Epididimit, orxit va skrotal abssess.</t>
  </si>
  <si>
    <t xml:space="preserve">04.17.04</t>
  </si>
  <si>
    <t xml:space="preserve">17.4. Varikotsele va gidrotsele.</t>
  </si>
  <si>
    <t xml:space="preserve">04.17.05</t>
  </si>
  <si>
    <t xml:space="preserve">17.5. Moyak ichi va tashqarisidagi hosilalar.</t>
  </si>
  <si>
    <t xml:space="preserve">04.17.06</t>
  </si>
  <si>
    <t xml:space="preserve">17.6. Skrotal travma.</t>
  </si>
  <si>
    <t xml:space="preserve">04.17.07</t>
  </si>
  <si>
    <t xml:space="preserve">17.7. Prostata bezi va transabdominal/transrektal tekshiruv asoslari.</t>
  </si>
  <si>
    <t xml:space="preserve">04.17.08</t>
  </si>
  <si>
    <t xml:space="preserve">17.8. Prostata kattalashuvi, yallig‘lanishi va o‘smalardan shubhalanish.</t>
  </si>
  <si>
    <t xml:space="preserve">04.17.09</t>
  </si>
  <si>
    <t xml:space="preserve">17.9. Jinsiy olat ultratovushi va maxsus Doppler tekshiruvlariga kirish.</t>
  </si>
  <si>
    <t xml:space="preserve">05.18.01</t>
  </si>
  <si>
    <t xml:space="preserve">V. AKUSHERLIK VA PERINATOLOGIYA</t>
  </si>
  <si>
    <t xml:space="preserve">18-bob. Erta homiladorlik</t>
  </si>
  <si>
    <t xml:space="preserve">18.1. Bachadon ichidagi homiladorlikni tasdiqlash.</t>
  </si>
  <si>
    <t xml:space="preserve">05.18.02</t>
  </si>
  <si>
    <t xml:space="preserve">18.2. Gestatsion xalta, sariq xalta va embrion.</t>
  </si>
  <si>
    <t xml:space="preserve">05.18.03</t>
  </si>
  <si>
    <t xml:space="preserve">18.3. CRL va homiladorlik muddatini aniqlash.</t>
  </si>
  <si>
    <t xml:space="preserve">05.18.04</t>
  </si>
  <si>
    <t xml:space="preserve">18.4. Yurak faoliyati va erta rivojlanishni baholash.</t>
  </si>
  <si>
    <t xml:space="preserve">05.18.05</t>
  </si>
  <si>
    <t xml:space="preserve">18.5. Homila tushishi va rivojlanmay qolgan homiladorlik mezonlari.</t>
  </si>
  <si>
    <t xml:space="preserve">05.18.06</t>
  </si>
  <si>
    <t xml:space="preserve">18.6. Ektopik homiladorlik va homiladorlik joylashuvi noma’lum bo‘lgan holatlar.</t>
  </si>
  <si>
    <t xml:space="preserve">04.16.08 bilan qisman takror (ektopik homiladorlik)</t>
  </si>
  <si>
    <t xml:space="preserve">05.18.07</t>
  </si>
  <si>
    <t xml:space="preserve">18.7. Trofoblastik kasalliklardan shubhalanish.</t>
  </si>
  <si>
    <t xml:space="preserve">05.19.01</t>
  </si>
  <si>
    <t xml:space="preserve">19-bob. Birinchi trimestr skriningi</t>
  </si>
  <si>
    <t xml:space="preserve">19.1. 11–14 haftalik tekshiruv protokoli.</t>
  </si>
  <si>
    <t xml:space="preserve">05.19.02</t>
  </si>
  <si>
    <t xml:space="preserve">19.2. CRL, NT va boshqa standart o‘lchovlar.</t>
  </si>
  <si>
    <t xml:space="preserve">05.19.03</t>
  </si>
  <si>
    <t xml:space="preserve">19.3. Burun suyagi, venoz kanal va trikuspid oqimi — ko‘rsatmalar bo‘yicha.</t>
  </si>
  <si>
    <t xml:space="preserve">05.19.04</t>
  </si>
  <si>
    <t xml:space="preserve">19.4. Aneuploidiyalar xavfini sonografik baholash.</t>
  </si>
  <si>
    <t xml:space="preserve">05.19.05</t>
  </si>
  <si>
    <t xml:space="preserve">19.5. Skrining imkoniyatlari va cheklovlari.</t>
  </si>
  <si>
    <t xml:space="preserve">05.20.01</t>
  </si>
  <si>
    <t xml:space="preserve">20-bob. Ikkinchi va uchinchi trimestr</t>
  </si>
  <si>
    <t xml:space="preserve">20.1. Homila anatomiyasini tizimli tekshirish.</t>
  </si>
  <si>
    <t xml:space="preserve">05.20.02</t>
  </si>
  <si>
    <t xml:space="preserve">20.2. Fetometriya: BPD, HC, AC va FL.</t>
  </si>
  <si>
    <t xml:space="preserve">05.20.03</t>
  </si>
  <si>
    <t xml:space="preserve">20.3. Homila vaznini hisoblash va gestatsion yoshga moslik.</t>
  </si>
  <si>
    <t xml:space="preserve">05.20.04</t>
  </si>
  <si>
    <t xml:space="preserve">20.4. Bosh miya, umurtqa va yuz anatomiyasi.</t>
  </si>
  <si>
    <t xml:space="preserve">05.20.05</t>
  </si>
  <si>
    <t xml:space="preserve">20.5. Yurak va ko‘krak qafasi.</t>
  </si>
  <si>
    <t xml:space="preserve">05.20.06</t>
  </si>
  <si>
    <t xml:space="preserve">20.6. Qorin a’zolari, buyraklar va siydik pufagi.</t>
  </si>
  <si>
    <t xml:space="preserve">05.20.07</t>
  </si>
  <si>
    <t xml:space="preserve">20.7. Skelet, qo‘l-oyoqlar va yumshoq to‘qimalar.</t>
  </si>
  <si>
    <t xml:space="preserve">05.20.08</t>
  </si>
  <si>
    <t xml:space="preserve">20.8. Yo‘ldosh, kindik tizimi va amniotik suyuqlik.</t>
  </si>
  <si>
    <t xml:space="preserve">Taklif: yo‘ldosh akkretasi spektri (PAS) qo‘shish</t>
  </si>
  <si>
    <t xml:space="preserve">05.20.09</t>
  </si>
  <si>
    <t xml:space="preserve">20.9. Bachadon bo‘yni va muddatidan oldin tug‘ruq xavfi.</t>
  </si>
  <si>
    <t xml:space="preserve">05.20.10</t>
  </si>
  <si>
    <t xml:space="preserve">20.10. Ko‘p homilali homiladorlik.</t>
  </si>
  <si>
    <t xml:space="preserve">05.20.11</t>
  </si>
  <si>
    <t xml:space="preserve">20.11. Homila o‘sishining cheklanishi (FGR) va makrosomiya.</t>
  </si>
  <si>
    <t xml:space="preserve">05.20.12</t>
  </si>
  <si>
    <t xml:space="preserve">20.12. Homila anomaliyalarini aniqlash va yo‘naltirish.</t>
  </si>
  <si>
    <t xml:space="preserve">05.21.01</t>
  </si>
  <si>
    <t xml:space="preserve">21-bob. Akusherlik Doppleri va maxsus tekshiruvlar</t>
  </si>
  <si>
    <t xml:space="preserve">21.1. Bachadon arteriyalari Doppleri.</t>
  </si>
  <si>
    <t xml:space="preserve">05.21.02</t>
  </si>
  <si>
    <t xml:space="preserve">21.2. Kindik arteriyasi Doppleri.</t>
  </si>
  <si>
    <t xml:space="preserve">05.21.03</t>
  </si>
  <si>
    <t xml:space="preserve">21.3. O‘rta miya arteriyasi (MCA) va klinik ko‘rsatmalar.</t>
  </si>
  <si>
    <t xml:space="preserve">05.21.04</t>
  </si>
  <si>
    <t xml:space="preserve">21.4. Serebroplatsentar nisbat va gemodinamik baholash.</t>
  </si>
  <si>
    <t xml:space="preserve">05.21.05</t>
  </si>
  <si>
    <t xml:space="preserve">21.5. FGR va preeklampsiya xavfini baholashda Doppler.</t>
  </si>
  <si>
    <t xml:space="preserve">05.21.06</t>
  </si>
  <si>
    <t xml:space="preserve">21.6. Biofizik profil va amniotik suyuqlikni baholash.</t>
  </si>
  <si>
    <t xml:space="preserve">05.21.07</t>
  </si>
  <si>
    <t xml:space="preserve">21.7. Egizak homiladorlik asoratlari.</t>
  </si>
  <si>
    <t xml:space="preserve">05.21.08</t>
  </si>
  <si>
    <t xml:space="preserve">21.8. Homila exokardiyografiyasiga kirish.</t>
  </si>
  <si>
    <t xml:space="preserve">05.21.09</t>
  </si>
  <si>
    <t xml:space="preserve">21.9. 3D/4D akusherlik tekshiruvi va uning cheklovlari.</t>
  </si>
  <si>
    <t xml:space="preserve">06.22.01</t>
  </si>
  <si>
    <t xml:space="preserve">VI. QALQONSIMON BEZ, SUT BEZI VA YUZAKI TUZILMALAR</t>
  </si>
  <si>
    <t xml:space="preserve">22-bob. Qalqonsimon va paratiroid bezlar</t>
  </si>
  <si>
    <t xml:space="preserve">22.1. Normal anatomiya va o‘lchash.</t>
  </si>
  <si>
    <t xml:space="preserve">06.22.02</t>
  </si>
  <si>
    <t xml:space="preserve">22.2. Diffuz buqoq va tireoidit.</t>
  </si>
  <si>
    <t xml:space="preserve">06.22.03</t>
  </si>
  <si>
    <t xml:space="preserve">22.3. Tugunlarning sonografik xususiyatlari.</t>
  </si>
  <si>
    <t xml:space="preserve">06.22.04</t>
  </si>
  <si>
    <t xml:space="preserve">22.4. ACR TI-RADS: tavsif, ball va toifalar.</t>
  </si>
  <si>
    <t xml:space="preserve">06.22.05</t>
  </si>
  <si>
    <t xml:space="preserve">22.5. Shubhali limfa tugunlari va bo‘yin limfa tugunlari.</t>
  </si>
  <si>
    <t xml:space="preserve">06.22.06</t>
  </si>
  <si>
    <t xml:space="preserve">22.6. Paratiroid bezlarini ko‘rish va cheklovlar.</t>
  </si>
  <si>
    <t xml:space="preserve">06.22.07</t>
  </si>
  <si>
    <t xml:space="preserve">22.7. UZI nazoratida biopsiyaga nazariy kirish.</t>
  </si>
  <si>
    <t xml:space="preserve">06.23.01</t>
  </si>
  <si>
    <t xml:space="preserve">23-bob. Sut bezi</t>
  </si>
  <si>
    <t xml:space="preserve">23.1. Normal anatomiya va yoshga bog‘liq o‘zgarishlar.</t>
  </si>
  <si>
    <t xml:space="preserve">06.23.02</t>
  </si>
  <si>
    <t xml:space="preserve">23.2. Tekshiruv texnikasi va standart tekisliklar.</t>
  </si>
  <si>
    <t xml:space="preserve">06.23.03</t>
  </si>
  <si>
    <t xml:space="preserve">23.3. Oddiy kista, fibroadenoma va benign hosilalar.</t>
  </si>
  <si>
    <t xml:space="preserve">06.23.04</t>
  </si>
  <si>
    <t xml:space="preserve">23.4. Malign o‘smalarning sonografik belgilari.</t>
  </si>
  <si>
    <t xml:space="preserve">06.23.05</t>
  </si>
  <si>
    <t xml:space="preserve">23.5. BI-RADS US tavsiflash va xulosa.</t>
  </si>
  <si>
    <t xml:space="preserve">06.23.06</t>
  </si>
  <si>
    <t xml:space="preserve">23.6. Sut bezi yallig‘lanishi va abssess.</t>
  </si>
  <si>
    <t xml:space="preserve">06.23.07</t>
  </si>
  <si>
    <t xml:space="preserve">23.7. Sut bezi va qo‘ltiq osti limfa tugunlari.</t>
  </si>
  <si>
    <t xml:space="preserve">06.23.08</t>
  </si>
  <si>
    <t xml:space="preserve">23.8. Implantlar va maxsus klinik vaziyatlar.</t>
  </si>
  <si>
    <t xml:space="preserve">06.24.01</t>
  </si>
  <si>
    <t xml:space="preserve">24-bob. Boshqa yuzaki tuzilmalar</t>
  </si>
  <si>
    <t xml:space="preserve">24.1. So‘lak bezlari va sialolitiaz.</t>
  </si>
  <si>
    <t xml:space="preserve">06.24.02</t>
  </si>
  <si>
    <t xml:space="preserve">24.2. Yuzaki va periferik limfa tugunlari.</t>
  </si>
  <si>
    <t xml:space="preserve">06.24.03</t>
  </si>
  <si>
    <t xml:space="preserve">24.3. Teri osti va yumshoq to‘qima hosilalari.</t>
  </si>
  <si>
    <t xml:space="preserve">06.24.04</t>
  </si>
  <si>
    <t xml:space="preserve">24.4. Ko‘z va retrobulbar sohaning maxsus tekshiruvlariga kirish.</t>
  </si>
  <si>
    <t xml:space="preserve">06.24.05</t>
  </si>
  <si>
    <t xml:space="preserve">24.5. Yuzaki tomirlar va fistulalar.</t>
  </si>
  <si>
    <t xml:space="preserve">07.25.01</t>
  </si>
  <si>
    <t xml:space="preserve">VII. QON TOMIRLAR VA GEMODINAMIKA</t>
  </si>
  <si>
    <t xml:space="preserve">25-bob. Arterial va venoz Doppler</t>
  </si>
  <si>
    <t xml:space="preserve">25.1. Qon tomirlarning normal sonografik anatomiyasi.</t>
  </si>
  <si>
    <t xml:space="preserve">07.25.02</t>
  </si>
  <si>
    <t xml:space="preserve">25.2. Karotid va vertebral arteriyalar.</t>
  </si>
  <si>
    <t xml:space="preserve">07.25.03</t>
  </si>
  <si>
    <t xml:space="preserve">25.3. Aterosklerotik blyashkalar, stenoz va okklyuziya.</t>
  </si>
  <si>
    <t xml:space="preserve">07.25.04</t>
  </si>
  <si>
    <t xml:space="preserve">25.4. Yuqori va pastki ekstremita arteriyalari.</t>
  </si>
  <si>
    <t xml:space="preserve">07.25.05</t>
  </si>
  <si>
    <t xml:space="preserve">25.5. Chuqur vena trombozi: kompressiya va Doppler.</t>
  </si>
  <si>
    <t xml:space="preserve">07.25.06</t>
  </si>
  <si>
    <t xml:space="preserve">25.6. Yuzaki venalar va varikoz.</t>
  </si>
  <si>
    <t xml:space="preserve">07.25.07</t>
  </si>
  <si>
    <t xml:space="preserve">25.7. Qorin aortasi va pastki kava vena.</t>
  </si>
  <si>
    <t xml:space="preserve">07.25.08</t>
  </si>
  <si>
    <t xml:space="preserve">25.8. Gemodializ arteriovenoz kirish yo‘llari.</t>
  </si>
  <si>
    <t xml:space="preserve">07.25.09</t>
  </si>
  <si>
    <t xml:space="preserve">25.9. Transplantat tomirlari.</t>
  </si>
  <si>
    <t xml:space="preserve">07.25.10</t>
  </si>
  <si>
    <t xml:space="preserve">25.10. Transkranial Doppler (TCD): asoslar, imkoniyatlar va cheklovlar.</t>
  </si>
  <si>
    <t xml:space="preserve">08.26.01</t>
  </si>
  <si>
    <t xml:space="preserve">VIII. ECHOKARDIOGRAFIYA</t>
  </si>
  <si>
    <t xml:space="preserve">26-bob. Yurak UZI asoslari</t>
  </si>
  <si>
    <t xml:space="preserve">26.1. Yurak anatomiyasi va standart akustik oynalar.</t>
  </si>
  <si>
    <t xml:space="preserve">08.26.02</t>
  </si>
  <si>
    <t xml:space="preserve">26.2. Parasternal, apikal, subkostal va suprasternal kesimlar.</t>
  </si>
  <si>
    <t xml:space="preserve">08.26.03</t>
  </si>
  <si>
    <t xml:space="preserve">26.3. M-rejim va 2D tasvir.</t>
  </si>
  <si>
    <t xml:space="preserve">08.26.04</t>
  </si>
  <si>
    <t xml:space="preserve">26.4. Pulsli, uzluksiz, rangli va to‘qima Doppleri.</t>
  </si>
  <si>
    <t xml:space="preserve">08.26.05</t>
  </si>
  <si>
    <t xml:space="preserve">26.5. Yurak kameralari va devor qalinligi.</t>
  </si>
  <si>
    <t xml:space="preserve">08.26.06</t>
  </si>
  <si>
    <t xml:space="preserve">26.6. Chap qorincha sistolik funksiyasi va EF.</t>
  </si>
  <si>
    <t xml:space="preserve">08.26.07</t>
  </si>
  <si>
    <t xml:space="preserve">26.7. Diastolik funksiya va tegishli ko‘rsatkichlar.</t>
  </si>
  <si>
    <t xml:space="preserve">08.26.08</t>
  </si>
  <si>
    <t xml:space="preserve">26.8. Klapanlar: stenoz va regurgitatsiya.</t>
  </si>
  <si>
    <t xml:space="preserve">08.26.09</t>
  </si>
  <si>
    <t xml:space="preserve">26.9. Kardiomiopatiyalar va yurak yetishmovchiligi.</t>
  </si>
  <si>
    <t xml:space="preserve">08.26.10</t>
  </si>
  <si>
    <t xml:space="preserve">26.10. Perikardial suyuqlik va tamponada.</t>
  </si>
  <si>
    <t xml:space="preserve">08.26.11</t>
  </si>
  <si>
    <t xml:space="preserve">26.11. O‘pka gipertenziyasi va o‘ng yurakni baholash.</t>
  </si>
  <si>
    <t xml:space="preserve">08.26.12</t>
  </si>
  <si>
    <t xml:space="preserve">26.12. Tug‘ma yurak nuqsonlariga kirish.</t>
  </si>
  <si>
    <t xml:space="preserve">08.26.13</t>
  </si>
  <si>
    <t xml:space="preserve">26.13. EchoKG hisobotini standartlashtirish va texnik cheklovlar.</t>
  </si>
  <si>
    <t xml:space="preserve">09.27.01</t>
  </si>
  <si>
    <t xml:space="preserve">IX. PEDIATRIK ULTRATOVUSH</t>
  </si>
  <si>
    <t xml:space="preserve">27-bob. Bolalar va neonatologiyada UZI</t>
  </si>
  <si>
    <t xml:space="preserve">27.1. Yoshga mos datchik va sozlamalar.</t>
  </si>
  <si>
    <t xml:space="preserve">09.27.02</t>
  </si>
  <si>
    <t xml:space="preserve">27.2. Yangi tug‘ilgan chaqaloq bosh miyasi — neyrosonografiya.</t>
  </si>
  <si>
    <t xml:space="preserve">Taklif: neyrosonografiyani alohida bobga kengaytirish (siz bu tekshiruvni amalda qilasiz)</t>
  </si>
  <si>
    <t xml:space="preserve">09.27.03</t>
  </si>
  <si>
    <t xml:space="preserve">27.3. Qorin bo‘shlig‘i a’zolari.</t>
  </si>
  <si>
    <t xml:space="preserve">09.27.04</t>
  </si>
  <si>
    <t xml:space="preserve">27.4. Buyrak va siydik yo‘llari.</t>
  </si>
  <si>
    <t xml:space="preserve">09.27.05</t>
  </si>
  <si>
    <t xml:space="preserve">27.5. Pilorostenoz va invaginatsiya.</t>
  </si>
  <si>
    <t xml:space="preserve">09.27.06</t>
  </si>
  <si>
    <t xml:space="preserve">27.6. Ichak yallig‘lanishlari va nekrotik enterokolitga shubha.</t>
  </si>
  <si>
    <t xml:space="preserve">09.27.07</t>
  </si>
  <si>
    <t xml:space="preserve">27.7. Chaqaloqlarda son bo‘g‘imi UZI.</t>
  </si>
  <si>
    <t xml:space="preserve">09.27.08</t>
  </si>
  <si>
    <t xml:space="preserve">27.8. Bolalarda mushak-skelet tizimi.</t>
  </si>
  <si>
    <t xml:space="preserve">09.27.09</t>
  </si>
  <si>
    <t xml:space="preserve">27.9. Bolalar yuragi va tomirlari.</t>
  </si>
  <si>
    <t xml:space="preserve">08.26.12 bilan qisman takror (bolalar yuragi)</t>
  </si>
  <si>
    <t xml:space="preserve">09.27.10</t>
  </si>
  <si>
    <t xml:space="preserve">27.10. Yoshga bog‘liq normal o‘lchamlar va pediatrik xavfsizlik.</t>
  </si>
  <si>
    <t xml:space="preserve">10.28.01</t>
  </si>
  <si>
    <t xml:space="preserve">X. MUSKUL-SKELET VA YUMSHOQ TO‘QIMALAR</t>
  </si>
  <si>
    <t xml:space="preserve">28-bob. Mushak-skelet ultratovushi</t>
  </si>
  <si>
    <t xml:space="preserve">28.1. Mushak, pay, boylam va fassiyalarning sonografik anatomiyasi.</t>
  </si>
  <si>
    <t xml:space="preserve">10.28.02</t>
  </si>
  <si>
    <t xml:space="preserve">28.2. Yelka bo‘g‘imi va rotator manjeta.</t>
  </si>
  <si>
    <t xml:space="preserve">10.28.03</t>
  </si>
  <si>
    <t xml:space="preserve">28.3. Tirsak, bilak va qo‘l panjasi.</t>
  </si>
  <si>
    <t xml:space="preserve">10.28.04</t>
  </si>
  <si>
    <t xml:space="preserve">28.4. Tizza, son va oyoq panjasi.</t>
  </si>
  <si>
    <t xml:space="preserve">10.28.05</t>
  </si>
  <si>
    <t xml:space="preserve">28.5. Tendinopatiya va pay yirtilishlari.</t>
  </si>
  <si>
    <t xml:space="preserve">10.28.06</t>
  </si>
  <si>
    <t xml:space="preserve">28.6. Mushak yirtilishi, gematoma va miozit.</t>
  </si>
  <si>
    <t xml:space="preserve">10.28.07</t>
  </si>
  <si>
    <t xml:space="preserve">28.7. Artrit, sinovit va bo‘g‘im suyuqligi.</t>
  </si>
  <si>
    <t xml:space="preserve">10.28.08</t>
  </si>
  <si>
    <t xml:space="preserve">28.8. Periferik nervlar va tunnel sindromlari.</t>
  </si>
  <si>
    <t xml:space="preserve">10.28.09</t>
  </si>
  <si>
    <t xml:space="preserve">28.9. Churralar va yumshoq to‘qima hosilalari.</t>
  </si>
  <si>
    <t xml:space="preserve">10.28.10</t>
  </si>
  <si>
    <t xml:space="preserve">28.10. Mushak-skelet elastografiyasi: imkoniyatlar va cheklovlar.</t>
  </si>
  <si>
    <t xml:space="preserve">11.29.01</t>
  </si>
  <si>
    <t xml:space="preserve">XI. SHOSHILINCH UZI VA POCUS</t>
  </si>
  <si>
    <t xml:space="preserve">29-bob. Shoshilinch va intensiv terapiya ultratovushi</t>
  </si>
  <si>
    <t xml:space="preserve">29.1. POCUS va klinik savolga yo‘naltirilgan tekshiruv.</t>
  </si>
  <si>
    <t xml:space="preserve">11.29.02</t>
  </si>
  <si>
    <t xml:space="preserve">29.2. FAST va E-FAST.</t>
  </si>
  <si>
    <t xml:space="preserve">11.29.03</t>
  </si>
  <si>
    <t xml:space="preserve">29.3. O‘pka UZI: A-chiziqlar, B-chiziqlar, plevra va pnevmotoraks belgilari.</t>
  </si>
  <si>
    <t xml:space="preserve">11.29.04</t>
  </si>
  <si>
    <t xml:space="preserve">29.4. Plevral suyuqlik va konsolidatsiya.</t>
  </si>
  <si>
    <t xml:space="preserve">11.29.05</t>
  </si>
  <si>
    <t xml:space="preserve">29.5. Shok holatida yurak va vena tizimini baholash.</t>
  </si>
  <si>
    <t xml:space="preserve">11.29.06</t>
  </si>
  <si>
    <t xml:space="preserve">29.6. Yurak tamponadasi va o‘tkir o‘ng qorincha zo‘riqishiga shubha.</t>
  </si>
  <si>
    <t xml:space="preserve">11.29.07</t>
  </si>
  <si>
    <t xml:space="preserve">29.7. Chuqur vena trombozini tezkor baholash.</t>
  </si>
  <si>
    <t xml:space="preserve">11.29.08</t>
  </si>
  <si>
    <t xml:space="preserve">29.8. Shoshilinch qorin patologiyalari.</t>
  </si>
  <si>
    <t xml:space="preserve">11.29.09</t>
  </si>
  <si>
    <t xml:space="preserve">29.9. POCUS protokollarining cheklovlari va keyingi diagnostika.</t>
  </si>
  <si>
    <t xml:space="preserve">12.30.01</t>
  </si>
  <si>
    <t xml:space="preserve">XII. ELASTOGRAFIYA, INTERVENSION UZI VA INNOVATSIYALAR</t>
  </si>
  <si>
    <t xml:space="preserve">30-bob. Elastografiya</t>
  </si>
  <si>
    <t xml:space="preserve">30.1. Elastografiyaning fizik asoslari.</t>
  </si>
  <si>
    <t xml:space="preserve">12.30.02</t>
  </si>
  <si>
    <t xml:space="preserve">30.2. Strain elastografiya.</t>
  </si>
  <si>
    <t xml:space="preserve">12.30.03</t>
  </si>
  <si>
    <t xml:space="preserve">30.3. Shear-wave elastografiya.</t>
  </si>
  <si>
    <t xml:space="preserve">12.30.04</t>
  </si>
  <si>
    <t xml:space="preserve">30.4. Jigarda tekshiruvga tayyorgarlik va o‘lchash texnikasi.</t>
  </si>
  <si>
    <t xml:space="preserve">03.10.07 bilan qisman takror (jigar elastografiyasi texnikasi)</t>
  </si>
  <si>
    <t xml:space="preserve">12.30.05</t>
  </si>
  <si>
    <t xml:space="preserve">30.5. O‘lchov ishonchliligi, sifat mezonlari va xatolar.</t>
  </si>
  <si>
    <t xml:space="preserve">12.30.06</t>
  </si>
  <si>
    <t xml:space="preserve">30.6. Jigar fibrozi va klinik shkalalar bilan bog‘liqlik.</t>
  </si>
  <si>
    <t xml:space="preserve">03.10.07 bilan qisman takror (fibroz va shkalalar)</t>
  </si>
  <si>
    <t xml:space="preserve">12.30.07</t>
  </si>
  <si>
    <t xml:space="preserve">30.7. Turli apparatlar natijalarini taqqoslash cheklovlari.</t>
  </si>
  <si>
    <t xml:space="preserve">12.30.08</t>
  </si>
  <si>
    <t xml:space="preserve">30.8. Elastografiyaning boshqa a’zolardagi qo‘llanilishi.</t>
  </si>
  <si>
    <t xml:space="preserve">12.31.01</t>
  </si>
  <si>
    <t xml:space="preserve">31-bob. Kontrastli UZI va ilg‘or texnologiyalar</t>
  </si>
  <si>
    <t xml:space="preserve">31.1. CEUS fizikasi va mikro-pufakchali kontrast moddalar.</t>
  </si>
  <si>
    <t xml:space="preserve">12.31.02</t>
  </si>
  <si>
    <t xml:space="preserve">31.2. Kontrastli jigar UZI va fokal hosilalarni baholash.</t>
  </si>
  <si>
    <t xml:space="preserve">12.31.03</t>
  </si>
  <si>
    <t xml:space="preserve">31.3. Boshqa a’zolarda CEUS: dalillar, ko‘rsatmalar va cheklovlar.</t>
  </si>
  <si>
    <t xml:space="preserve">12.31.04</t>
  </si>
  <si>
    <t xml:space="preserve">31.4. 3D/4D tasvirlash va avtomatlashtirilgan o‘lchovlar.</t>
  </si>
  <si>
    <t xml:space="preserve">12.31.05</t>
  </si>
  <si>
    <t xml:space="preserve">31.5. Sun’iy intellekt va kompyuter yordamidagi diagnostika.</t>
  </si>
  <si>
    <t xml:space="preserve">12.31.06</t>
  </si>
  <si>
    <t xml:space="preserve">31.6. Portativ UZI va qo‘l qurilmalari.</t>
  </si>
  <si>
    <t xml:space="preserve">12.31.07</t>
  </si>
  <si>
    <t xml:space="preserve">31.7. EUS va intraoperatsion ultratovushga kirish.</t>
  </si>
  <si>
    <t xml:space="preserve">12.32.01</t>
  </si>
  <si>
    <t xml:space="preserve">32-bob. Intervension ultratovush</t>
  </si>
  <si>
    <t xml:space="preserve">32.1. Intervension UZI ko‘rsatmalari va xavfsizlik.</t>
  </si>
  <si>
    <t xml:space="preserve">12.32.02</t>
  </si>
  <si>
    <t xml:space="preserve">32.2. UZI nazoratida ignani ko‘rish: in-plane va out-of-plane.</t>
  </si>
  <si>
    <t xml:space="preserve">12.32.03</t>
  </si>
  <si>
    <t xml:space="preserve">32.3. Ingichka ignali aspiratsiya va core-biopsiya.</t>
  </si>
  <si>
    <t xml:space="preserve">06.22.07 bilan qisman takror (biopsiya)</t>
  </si>
  <si>
    <t xml:space="preserve">12.32.04</t>
  </si>
  <si>
    <t xml:space="preserve">32.4. Suyuqlik aspiratsiyasi va drenaj.</t>
  </si>
  <si>
    <t xml:space="preserve">12.32.05</t>
  </si>
  <si>
    <t xml:space="preserve">32.5. Biopsiyadan keyingi kuzatuv va asoratlar.</t>
  </si>
  <si>
    <t xml:space="preserve">12.32.06</t>
  </si>
  <si>
    <t xml:space="preserve">32.6. Nerv blokadalari va bo‘g‘im inyeksiyalariga kirish.</t>
  </si>
  <si>
    <t xml:space="preserve">12.32.07</t>
  </si>
  <si>
    <t xml:space="preserve">32.7. Malaka, rozilik, mahalliy tartib va maxsus ruxsat talablari.</t>
  </si>
  <si>
    <t xml:space="preserve">13.33.01</t>
  </si>
  <si>
    <t xml:space="preserve">XIII. SIFAT, RAQAMLI ISH JARAYONI VA KASBIY RIVOJLANISH</t>
  </si>
  <si>
    <t xml:space="preserve">33-bob. Sifat nazorati va kasbiy rivojlanish</t>
  </si>
  <si>
    <t xml:space="preserve">33.1. Standart protokollar va tekshiruvning to‘liqligi.</t>
  </si>
  <si>
    <t xml:space="preserve">01.03.06 va 02.08.04 bilan qisman takror (protokol va sifat)</t>
  </si>
  <si>
    <t xml:space="preserve">13.33.02</t>
  </si>
  <si>
    <t xml:space="preserve">33.2. Normal qiymatlar va ularning yosh, jins hamda klinik holatga bog‘liqligi.</t>
  </si>
  <si>
    <t xml:space="preserve">13.33.03</t>
  </si>
  <si>
    <t xml:space="preserve">33.3. Diagnostik xatolar, tuzoqlar va klinik holatlarni tahlil qilish.</t>
  </si>
  <si>
    <t xml:space="preserve">13.33.04</t>
  </si>
  <si>
    <t xml:space="preserve">33.4. PACS, DICOM, tasvirlarni arxivlash va teleradiologiya.</t>
  </si>
  <si>
    <t xml:space="preserve">13.33.05</t>
  </si>
  <si>
    <t xml:space="preserve">33.5. Hisobot yozish, kodlash va tibbiy hujjatlashtirish.</t>
  </si>
  <si>
    <t xml:space="preserve">13.33.06</t>
  </si>
  <si>
    <t xml:space="preserve">33.6. Sifat auditi va tekshiruv natijalarini kuzatish.</t>
  </si>
  <si>
    <t xml:space="preserve">13.33.07</t>
  </si>
  <si>
    <t xml:space="preserve">33.7. Dalillarga asoslangan tibbiyot va klinik tavsiyalarni tekshirish.</t>
  </si>
  <si>
    <t xml:space="preserve">13.33.08</t>
  </si>
  <si>
    <t xml:space="preserve">33.8. Malaka oshirish, kompetensiya va mahalliy me’yoriy talablar.</t>
  </si>
  <si>
    <t xml:space="preserve">Videolar</t>
  </si>
  <si>
    <t xml:space="preserve">Inglizcha qidiruv kalit so‘zlari</t>
  </si>
  <si>
    <t xml:space="preserve">Oxirgi qidiruv</t>
  </si>
  <si>
    <t xml:space="preserve">Qisman — qo‘shimcha qidiruv kerak</t>
  </si>
  <si>
    <t xml:space="preserve">echogenicity acoustic interface image formation ultrasound physics</t>
  </si>
  <si>
    <t xml:space="preserve">choosing ultrasound transducer frequency; probe selection linear curvilinear phased array</t>
  </si>
  <si>
    <t xml:space="preserve">spatial compound imaging ultrasound; panoramic extended field of view ultrasound; speckle reduction</t>
  </si>
  <si>
    <t xml:space="preserve">transducer reprocessing high level disinfection endocavity probe guideline</t>
  </si>
  <si>
    <t xml:space="preserve">ultrasound cine loop zoom measurement calipers image storage</t>
  </si>
  <si>
    <t xml:space="preserve">Qayta qidirish kerak</t>
  </si>
  <si>
    <t xml:space="preserve">ultrasound presets abdominal obstetric small parts; knobology presets</t>
  </si>
  <si>
    <t xml:space="preserve">mirror image artifact ultrasound; refraction artifact; edge shadowing</t>
  </si>
  <si>
    <t xml:space="preserve">side lobe artifact; slice thickness artifact; anisotropy tendon ultrasound</t>
  </si>
  <si>
    <t xml:space="preserve">Doppler angle correction 60 degrees; insonation angle velocity error</t>
  </si>
  <si>
    <t xml:space="preserve">ultrasound safety pregnancy ALARA obstetric thermal index; neonatal ultrasound safety</t>
  </si>
  <si>
    <t xml:space="preserve">contrast enhanced ultrasound safety microbubble contraindications</t>
  </si>
  <si>
    <t xml:space="preserve">clinical question ultrasound request; patient history before ultrasound; referral</t>
  </si>
  <si>
    <t xml:space="preserve">limited ultrasound exam documentation suboptimal visualization reporting limitations</t>
  </si>
  <si>
    <t xml:space="preserve">longitudinal transverse oblique ultrasound planes; sagittal coronal scanning planes</t>
  </si>
  <si>
    <t xml:space="preserve">ultrasound measurement error calipers; interobserver variability sonography</t>
  </si>
  <si>
    <t xml:space="preserve">normal versus abnormal ultrasound images approach</t>
  </si>
  <si>
    <t xml:space="preserve">incidental findings ultrasound; critical results communication radiology; urgent ultrasound findings</t>
  </si>
  <si>
    <t xml:space="preserve">liver transplant ultrasound Doppler hepatic artery thrombosis</t>
  </si>
  <si>
    <t xml:space="preserve">biliary dilatation ultrasound intrahepatic extrahepatic ducts; double duct sign</t>
  </si>
  <si>
    <t xml:space="preserve">obstructive jaundice ultrasound causes choledocholithiasis cholangiocarcinoma</t>
  </si>
  <si>
    <t xml:space="preserve">biliary disease differential diagnosis ultrasound; cholangitis; Mirizzi syndrome</t>
  </si>
  <si>
    <t xml:space="preserve">pancreas ultrasound anatomy landmarks splenic vein; how to see pancreas</t>
  </si>
  <si>
    <t xml:space="preserve">pancreatic pseudocyst ultrasound; walled-off necrosis; pancreatic cystic lesions</t>
  </si>
  <si>
    <t xml:space="preserve">pancreatic adenocarcinoma ultrasound; dilated pancreatic duct; pancreatic mass</t>
  </si>
  <si>
    <t xml:space="preserve">pancreas ultrasound pitfalls bowel gas; pancreatic tail visualization techniques</t>
  </si>
  <si>
    <t xml:space="preserve">splenic infarct ultrasound; splenic laceration trauma; subcapsular hematoma spleen</t>
  </si>
  <si>
    <t xml:space="preserve">nephrolithiasis ultrasound twinkling artifact; hydronephrosis grading</t>
  </si>
  <si>
    <t xml:space="preserve">medical renal disease ultrasound echogenicity; chronic kidney disease ultrasound</t>
  </si>
  <si>
    <t xml:space="preserve">adrenal gland ultrasound; adrenal mass ultrasound</t>
  </si>
  <si>
    <t xml:space="preserve">retroperitoneal lymphadenopathy ultrasound; retroperitoneum ultrasound</t>
  </si>
  <si>
    <t xml:space="preserve">abdominal wall hernia ultrasound dynamic Valsalva; ventral inguinal hernia ultrasound</t>
  </si>
  <si>
    <t xml:space="preserve">bowel ultrasound wall layers peristalsis; intestinal ultrasound technique</t>
  </si>
  <si>
    <t xml:space="preserve">gastrointestinal ultrasound limitations; bowel ultrasound indications</t>
  </si>
  <si>
    <t xml:space="preserve">Topildi</t>
  </si>
  <si>
    <t xml:space="preserve">normal uterus ovaries ultrasound anatomy</t>
  </si>
  <si>
    <t xml:space="preserve">transvaginal ultrasound technique; transabdominal pelvic ultrasound protocol</t>
  </si>
  <si>
    <t xml:space="preserve">endometrium menstrual cycle ultrasound; corpus luteum; follicle monitoring</t>
  </si>
  <si>
    <t xml:space="preserve">uterine fibroids ultrasound FIGO; adenomyosis MUSA; endometrial polyp</t>
  </si>
  <si>
    <t xml:space="preserve">adnexal mass ultrasound; ovarian cyst types; endometrioma; adnexal torsion</t>
  </si>
  <si>
    <t xml:space="preserve">O-RADS US; IOTA simple rules; ADNEX model</t>
  </si>
  <si>
    <t xml:space="preserve">endometriosis ultrasound IDEA; hydrosalpinx; tubo-ovarian abscess; pelvic inflammatory disease</t>
  </si>
  <si>
    <t xml:space="preserve">pelvic free fluid ultrasound; ectopic pregnancy ultrasound signs</t>
  </si>
  <si>
    <t xml:space="preserve">IUD position ultrasound; malpositioned IUD 3D</t>
  </si>
  <si>
    <t xml:space="preserve">pediatric gynecology ultrasound; ovarian masses children; pediatric ovarian torsion</t>
  </si>
  <si>
    <t xml:space="preserve">scrotal ultrasound anatomy testis epididymis</t>
  </si>
  <si>
    <t xml:space="preserve">testicular torsion ultrasound Doppler whirlpool sign</t>
  </si>
  <si>
    <t xml:space="preserve">epididymitis orchitis ultrasound; scrotal abscess</t>
  </si>
  <si>
    <t xml:space="preserve">varicocele ultrasound Valsalva grading; hydrocele ultrasound</t>
  </si>
  <si>
    <t xml:space="preserve">testicular mass ultrasound; intratesticular vs extratesticular lesions; seminoma ultrasound</t>
  </si>
  <si>
    <t xml:space="preserve">scrotal trauma ultrasound; testicular rupture; hematocele</t>
  </si>
  <si>
    <t xml:space="preserve">prostate ultrasound transabdominal transrectal anatomy</t>
  </si>
  <si>
    <t xml:space="preserve">BPH prostate volume ultrasound; prostatitis abscess; prostate cancer TRUS</t>
  </si>
  <si>
    <t xml:space="preserve">penile Doppler ultrasound erectile dysfunction; Peyronie disease ultrasound</t>
  </si>
  <si>
    <t xml:space="preserve">intrauterine pregnancy ultrasound confirmation; double decidual sac sign</t>
  </si>
  <si>
    <t xml:space="preserve">gestational sac yolk sac embryo early pregnancy ultrasound</t>
  </si>
  <si>
    <t xml:space="preserve">crown rump length measurement dating ultrasound</t>
  </si>
  <si>
    <t xml:space="preserve">embryonic cardiac activity first trimester ultrasound</t>
  </si>
  <si>
    <t xml:space="preserve">early pregnancy failure criteria ultrasound SRU; miscarriage ultrasound</t>
  </si>
  <si>
    <t xml:space="preserve">ectopic pregnancy ultrasound; pregnancy of unknown location</t>
  </si>
  <si>
    <t xml:space="preserve">molar pregnancy ultrasound; gestational trophoblastic disease</t>
  </si>
  <si>
    <t xml:space="preserve">11-14 week scan ISUOG guideline; first trimester ultrasound protocol</t>
  </si>
  <si>
    <t xml:space="preserve">nuchal translucency measurement FMF; CRL NT technique</t>
  </si>
  <si>
    <t xml:space="preserve">nasal bone 11-13 weeks; ductus venosus Doppler; tricuspid regurgitation first trimester</t>
  </si>
  <si>
    <t xml:space="preserve">first trimester anomaly scan; aneuploidy markers ultrasound</t>
  </si>
  <si>
    <t xml:space="preserve">limitations of first trimester screening ultrasound; detection rates; false positives</t>
  </si>
  <si>
    <t xml:space="preserve">second trimester anomaly scan ISUOG; mid-trimester fetal anatomy</t>
  </si>
  <si>
    <t xml:space="preserve">fetal biometry BPD HC AC FL measurement</t>
  </si>
  <si>
    <t xml:space="preserve">estimated fetal weight Hadlock; fetal growth assessment</t>
  </si>
  <si>
    <t xml:space="preserve">fetal brain spine face ultrasound; posterior fossa; cisterna magna</t>
  </si>
  <si>
    <t xml:space="preserve">fetal heart four chamber outflow tracts; ISUOG fetal heart screening</t>
  </si>
  <si>
    <t xml:space="preserve">fetal kidneys bladder abdomen ultrasound; fetal pyelectasis</t>
  </si>
  <si>
    <t xml:space="preserve">fetal skeleton limbs ultrasound; skeletal dysplasia ultrasound</t>
  </si>
  <si>
    <t xml:space="preserve">placenta umbilical cord amniotic fluid ultrasound; placenta previa</t>
  </si>
  <si>
    <t xml:space="preserve">cervical length transvaginal measurement preterm birth</t>
  </si>
  <si>
    <t xml:space="preserve">twin pregnancy chorionicity lambda T sign</t>
  </si>
  <si>
    <t xml:space="preserve">fetal growth restriction ISUOG; macrosomia ultrasound</t>
  </si>
  <si>
    <t xml:space="preserve">fetal anomalies ultrasound referral; prenatal diagnosis</t>
  </si>
  <si>
    <t xml:space="preserve">uterine artery Doppler technique preeclampsia</t>
  </si>
  <si>
    <t xml:space="preserve">umbilical artery Doppler absent reversed end diastolic flow</t>
  </si>
  <si>
    <t xml:space="preserve">middle cerebral artery Doppler PSV fetal anemia</t>
  </si>
  <si>
    <t xml:space="preserve">cerebroplacental ratio; brain sparing Doppler</t>
  </si>
  <si>
    <t xml:space="preserve">Doppler fetal growth restriction preeclampsia; obstetric Doppler</t>
  </si>
  <si>
    <t xml:space="preserve">biophysical profile; amniotic fluid index deepest vertical pocket</t>
  </si>
  <si>
    <t xml:space="preserve">monochorionic twin complications TTTS TAPS sFGR</t>
  </si>
  <si>
    <t xml:space="preserve">fetal echocardiography introduction</t>
  </si>
  <si>
    <t xml:space="preserve">3D 4D obstetric ultrasound volume; limitations</t>
  </si>
  <si>
    <t xml:space="preserve">thyroid ultrasound normal anatomy volume measurement</t>
  </si>
  <si>
    <t xml:space="preserve">diffuse thyroid disease ultrasound; Hashimoto; Graves; thyroiditis</t>
  </si>
  <si>
    <t xml:space="preserve">thyroid nodule ultrasound features composition echogenicity</t>
  </si>
  <si>
    <t xml:space="preserve">ACR TI-RADS scoring lecture</t>
  </si>
  <si>
    <t xml:space="preserve">cervical lymph nodes ultrasound malignant features; neck levels</t>
  </si>
  <si>
    <t xml:space="preserve">parathyroid adenoma ultrasound</t>
  </si>
  <si>
    <t xml:space="preserve">ultrasound guided thyroid FNA technique</t>
  </si>
  <si>
    <t xml:space="preserve">breast ultrasound normal anatomy</t>
  </si>
  <si>
    <t xml:space="preserve">breast ultrasound scanning technique radial antiradial clock face</t>
  </si>
  <si>
    <t xml:space="preserve">breast cyst fibroadenoma ultrasound benign</t>
  </si>
  <si>
    <t xml:space="preserve">breast cancer ultrasound features malignant mass</t>
  </si>
  <si>
    <t xml:space="preserve">BI-RADS ultrasound lexicon assessment categories</t>
  </si>
  <si>
    <t xml:space="preserve">mastitis breast abscess ultrasound</t>
  </si>
  <si>
    <t xml:space="preserve">axillary lymph node ultrasound breast cancer</t>
  </si>
  <si>
    <t xml:space="preserve">breast implant ultrasound rupture; male breast gynecomastia ultrasound</t>
  </si>
  <si>
    <t xml:space="preserve">salivary gland ultrasound parotid submandibular; sialolithiasis; pleomorphic adenoma</t>
  </si>
  <si>
    <t xml:space="preserve">superficial lymph node ultrasound benign vs malignant</t>
  </si>
  <si>
    <t xml:space="preserve">soft tissue mass ultrasound lipoma epidermoid cyst</t>
  </si>
  <si>
    <t xml:space="preserve">ocular ultrasound retinal detachment vitreous hemorrhage</t>
  </si>
  <si>
    <t xml:space="preserve">superficial vein thrombosis ultrasound; pseudoaneurysm; arteriovenous fistula</t>
  </si>
  <si>
    <t xml:space="preserve">vascular ultrasound basics; arterial venous Doppler waveforms triphasic</t>
  </si>
  <si>
    <t xml:space="preserve">carotid duplex protocol; vertebral artery ultrasound; subclavian steal</t>
  </si>
  <si>
    <t xml:space="preserve">carotid stenosis criteria SRU IAC; plaque characterization ultrasound</t>
  </si>
  <si>
    <t xml:space="preserve">lower extremity arterial duplex; upper extremity arterial ultrasound; ABI</t>
  </si>
  <si>
    <t xml:space="preserve">DVT compression ultrasound; venous duplex protocol</t>
  </si>
  <si>
    <t xml:space="preserve">venous insufficiency reflux ultrasound; great saphenous vein mapping; varicose veins</t>
  </si>
  <si>
    <t xml:space="preserve">abdominal aorta duplex protocol; aorta vs IVC ultrasound</t>
  </si>
  <si>
    <t xml:space="preserve">dialysis fistula ultrasound assessment; AV access duplex</t>
  </si>
  <si>
    <t xml:space="preserve">transplant vascular Doppler; renal transplant artery stenosis; liver transplant hepatic artery</t>
  </si>
  <si>
    <t xml:space="preserve">transcranial Doppler basics TCD; TCCD stroke</t>
  </si>
  <si>
    <t xml:space="preserve">Bo‘limlar holati</t>
  </si>
  <si>
    <t xml:space="preserve">Izoh</t>
  </si>
  <si>
    <t xml:space="preserve">Ishlangan, yakunlanmagan</t>
  </si>
  <si>
    <t xml:space="preserve">Qisman mavzular qayta qidiruv navbatida</t>
  </si>
  <si>
    <t xml:space="preserve">Ochiq mavzular qayta qidiruv navbatida</t>
  </si>
  <si>
    <t xml:space="preserve">Ochiq mavzular navbatda; ChatGPT 1-partiyasi qo‘shilgan</t>
  </si>
  <si>
    <t xml:space="preserve">Birinchi qidiruv 2026-10-17; natijalar videolar ko‘rilmaguncha tasdiqlanmagan</t>
  </si>
  <si>
    <t xml:space="preserve">Birinchi qidiruv 2026-10-17; ochiq mavzular navbatda, boshqa tildagi zaxira bor</t>
  </si>
  <si>
    <t xml:space="preserve">Birinchi qidiruv 2026-10-17; sut bezi darslarining ko‘pi yopiq — qayta qidirish kerak</t>
  </si>
  <si>
    <t xml:space="preserve">Birinchi qidiruv 2026-10-17</t>
  </si>
  <si>
    <t xml:space="preserve">Navbatda</t>
  </si>
  <si>
    <t xml:space="preserve">Hali ishlanmagan; ilova katalogi v1 darslari bor bo‘lishi mumkin</t>
  </si>
  <si>
    <t xml:space="preserve">YouTube URL</t>
  </si>
  <si>
    <t xml:space="preserve">Sarlavha</t>
  </si>
  <si>
    <t xml:space="preserve">Kanal</t>
  </si>
  <si>
    <t xml:space="preserve">Til</t>
  </si>
  <si>
    <t xml:space="preserve">https://www.youtube.com/watch?v=GgEFNTCF3hE</t>
  </si>
  <si>
    <t xml:space="preserve">Ultrassonografia na avaliação do DIU</t>
  </si>
  <si>
    <t xml:space="preserve">DrPixel - UNICAMP</t>
  </si>
  <si>
    <t xml:space="preserve">Portugal</t>
  </si>
  <si>
    <t xml:space="preserve">Havola tekshirilgan (oEmbed); oxirida to‘ldirish uchun zaxira, subtitr alohida tarjima qilinadi</t>
  </si>
  <si>
    <t xml:space="preserve">https://www.youtube.com/watch?v=oUO9OtDKkIo</t>
  </si>
  <si>
    <t xml:space="preserve">Masas testiculares por ecografía.</t>
  </si>
  <si>
    <t xml:space="preserve">RadioLili - Radiología e Imágenes</t>
  </si>
  <si>
    <t xml:space="preserve">Ispan</t>
  </si>
  <si>
    <t xml:space="preserve">https://www.youtube.com/watch?v=EHNIZ5YyVgw</t>
  </si>
  <si>
    <t xml:space="preserve">[GUIA ISUOG] Ecografía del primer trimestre del embarazo. | PARTE 2 | (AUDIO REMASTERIZADO)</t>
  </si>
  <si>
    <t xml:space="preserve">Pedro VargasMD</t>
  </si>
  <si>
    <t xml:space="preserve">https://www.youtube.com/watch?v=oQkzUPrnVt8</t>
  </si>
  <si>
    <t xml:space="preserve">Il Primo Trimestre: l'ecografia a 11-14 settimane - G. Grisolia</t>
  </si>
  <si>
    <t xml:space="preserve">Medicalchannel</t>
  </si>
  <si>
    <t xml:space="preserve">Italyan</t>
  </si>
  <si>
    <t xml:space="preserve">https://www.youtube.com/watch?v=mS5n2wNjuDs</t>
  </si>
  <si>
    <t xml:space="preserve">SGA und fetale Wachstumsrestriktion – Diagnostik, Überwachung und Geburtsplanung</t>
  </si>
  <si>
    <t xml:space="preserve">Gynther</t>
  </si>
  <si>
    <t xml:space="preserve">Nemis</t>
  </si>
  <si>
    <t xml:space="preserve">https://www.youtube.com/watch?v=yGlP6mraFsI</t>
  </si>
  <si>
    <t xml:space="preserve">ECO DOPPLER EN OBSTETRICIA: HIPOXIA, ARTERIAS UTERINAS, ANEMIA FETAL...</t>
  </si>
  <si>
    <t xml:space="preserve">aulaginecologia</t>
  </si>
  <si>
    <t xml:space="preserve">https://www.youtube.com/watch?v=1RNmygm6Crs</t>
  </si>
  <si>
    <t xml:space="preserve">Medicina Fetal: Obtención de la onda de velocidad de flujo Doppler de la arteria cerebral media.</t>
  </si>
  <si>
    <t xml:space="preserve">Hector Quiroga</t>
  </si>
  <si>
    <t xml:space="preserve">https://www.youtube.com/watch?v=G-LbrNbOd-Y</t>
  </si>
  <si>
    <t xml:space="preserve">ISUOG Guidelines: Fetal Heart Evaluation in the Second Trimester</t>
  </si>
  <si>
    <t xml:space="preserve">Ecocardiografía Fetal Dr. Montaño</t>
  </si>
  <si>
    <t xml:space="preserve">Noma’lum (nomi inglizcha, kanal ispancha)</t>
  </si>
  <si>
    <t xml:space="preserve">https://www.youtube.com/watch?v=QiS7Xxya_2U</t>
  </si>
  <si>
    <t xml:space="preserve">FINE NEEDLE ASPIRATION OF THE THYROID</t>
  </si>
  <si>
    <t xml:space="preserve">Varisson Girişimsel Radyoloji</t>
  </si>
  <si>
    <t xml:space="preserve">Noma’lum (nomi inglizcha, kanal turkcha)</t>
  </si>
  <si>
    <t xml:space="preserve">Asosiy kod</t>
  </si>
  <si>
    <t xml:space="preserve">Qo‘shimcha kodlar</t>
  </si>
  <si>
    <t xml:space="preserve">Kichik mavzu (asosiy kod)</t>
  </si>
  <si>
    <t xml:space="preserve">Video nomi</t>
  </si>
  <si>
    <t xml:space="preserve">Muallif / tashkilot</t>
  </si>
  <si>
    <t xml:space="preserve">Manba turi</t>
  </si>
  <si>
    <t xml:space="preserve">Davomiylik</t>
  </si>
  <si>
    <t xml:space="preserve">Nashr sanasi</t>
  </si>
  <si>
    <t xml:space="preserve">Asl tili</t>
  </si>
  <si>
    <t xml:space="preserve">O‘quv darajasi</t>
  </si>
  <si>
    <t xml:space="preserve">Nazariy / amaliy</t>
  </si>
  <si>
    <t xml:space="preserve">Subtitr (mavjudligi, turi)</t>
  </si>
  <si>
    <t xml:space="preserve">Dual Replay mosligi</t>
  </si>
  <si>
    <t xml:space="preserve">Tekshirilgan sana</t>
  </si>
  <si>
    <t xml:space="preserve">Tekshiruv holati</t>
  </si>
  <si>
    <t xml:space="preserve">Mavzuga moslik</t>
  </si>
  <si>
    <t xml:space="preserve">Tibbiy ishonchlilik</t>
  </si>
  <si>
    <t xml:space="preserve">Amaliy demonstratsiya</t>
  </si>
  <si>
    <t xml:space="preserve">Tushuntirish sifati</t>
  </si>
  <si>
    <t xml:space="preserve">O‘quv darajasi (ball)</t>
  </si>
  <si>
    <t xml:space="preserve">Vizual aniqlik</t>
  </si>
  <si>
    <t xml:space="preserve">Jami (30)</t>
  </si>
  <si>
    <t xml:space="preserve">V001</t>
  </si>
  <si>
    <t xml:space="preserve">Liver: Anatomy, Physiology &amp; Normal Ultrasound :: Unit 3 :: Abdominal Ultrasound with Sononerds</t>
  </si>
  <si>
    <t xml:space="preserve">https://www.youtube.com/watch?v=x6hXhLNc-jU</t>
  </si>
  <si>
    <t xml:space="preserve">Sononerds</t>
  </si>
  <si>
    <t xml:space="preserve">Ta’lim kanali (sonografiya kolleji kursi)</t>
  </si>
  <si>
    <t xml:space="preserve">2:05:06</t>
  </si>
  <si>
    <t xml:space="preserve">tekshirilmadi</t>
  </si>
  <si>
    <t xml:space="preserve">Ingliz</t>
  </si>
  <si>
    <t xml:space="preserve">Boshlang‘ich</t>
  </si>
  <si>
    <t xml:space="preserve">Nazariy + amaliy</t>
  </si>
  <si>
    <t xml:space="preserve">Tekshirilmagan</t>
  </si>
  <si>
    <t xml:space="preserve">Ingliz subtitri bo‘lsa mos (tekshirilmagan)</t>
  </si>
  <si>
    <t xml:space="preserve">Ilovada: Qorin bo‘shlig‘i a’zolari → Jigar: anatomiya va segmentlar</t>
  </si>
  <si>
    <t xml:space="preserve">V002</t>
  </si>
  <si>
    <t xml:space="preserve">Ultrasound Couinaud's Liver Segments</t>
  </si>
  <si>
    <t xml:space="preserve">https://www.youtube.com/watch?v=JSUsM8aN1XU</t>
  </si>
  <si>
    <t xml:space="preserve">Sonographic Tendencies</t>
  </si>
  <si>
    <t xml:space="preserve">Ta’lim kanali (sonografist)</t>
  </si>
  <si>
    <t xml:space="preserve">10:22</t>
  </si>
  <si>
    <t xml:space="preserve">2019-12-30</t>
  </si>
  <si>
    <t xml:space="preserve">Amaliy</t>
  </si>
  <si>
    <t xml:space="preserve">V003</t>
  </si>
  <si>
    <t xml:space="preserve">Liver Ultrasound Protocol</t>
  </si>
  <si>
    <t xml:space="preserve">https://www.youtube.com/watch?v=GvvGZENUvWc</t>
  </si>
  <si>
    <t xml:space="preserve">7:26</t>
  </si>
  <si>
    <t xml:space="preserve">2017-10-08</t>
  </si>
  <si>
    <t xml:space="preserve">Ilovada: Qorin bo‘shlig‘i a’zolari → Jigar: tekshirish texnikasi</t>
  </si>
  <si>
    <t xml:space="preserve">V004</t>
  </si>
  <si>
    <t xml:space="preserve">Hot Tips - Locating the Common Bile Duct with Ultrasound</t>
  </si>
  <si>
    <t xml:space="preserve">https://www.youtube.com/watch?v=U50O8_fsemY</t>
  </si>
  <si>
    <t xml:space="preserve">Gulfcoast Ultrasound Institute (Theresa Jorgensen)</t>
  </si>
  <si>
    <t xml:space="preserve">Ta’lim markazi</t>
  </si>
  <si>
    <t xml:space="preserve">3:32</t>
  </si>
  <si>
    <t xml:space="preserve">O‘rta</t>
  </si>
  <si>
    <t xml:space="preserve">Ilovada: Qorin bo‘shlig‘i a’zolari → O‘t pufagi va o‘t yo‘llari: anatomiya</t>
  </si>
  <si>
    <t xml:space="preserve">V005</t>
  </si>
  <si>
    <t xml:space="preserve">Ultrasound Elastography for Liver Fibrosis</t>
  </si>
  <si>
    <t xml:space="preserve">https://www.youtube.com/watch?v=eoze_8nUjfA</t>
  </si>
  <si>
    <t xml:space="preserve">Michigan Medicine</t>
  </si>
  <si>
    <t xml:space="preserve">Ta’lim kanali</t>
  </si>
  <si>
    <t xml:space="preserve">O‘rta–ilg‘or</t>
  </si>
  <si>
    <t xml:space="preserve">Nazariy</t>
  </si>
  <si>
    <t xml:space="preserve">Faqat qidiruv natijasidan; kanal va mazmun tekshirilmagan; Ilovada: Qorin bo‘shlig‘i a’zolari → Jigar: elastografiya</t>
  </si>
  <si>
    <t xml:space="preserve">V006</t>
  </si>
  <si>
    <t xml:space="preserve">01.02.02; 01.03.01; 02.08.03</t>
  </si>
  <si>
    <t xml:space="preserve">Basic Abdominal Ultrasound Imaging :: Unit 1 :: Normal Abdomen Ultrasound with Sononerds</t>
  </si>
  <si>
    <t xml:space="preserve">https://www.youtube.com/watch?v=3pIL7c-8UH8</t>
  </si>
  <si>
    <t xml:space="preserve">33:42</t>
  </si>
  <si>
    <t xml:space="preserve">Ilovada: Ultratovush asoslari: fizika va apparat → Qorin UZI asoslari: tekisliklar, datchik, atamalar</t>
  </si>
  <si>
    <t xml:space="preserve">V007</t>
  </si>
  <si>
    <t xml:space="preserve">Body Systems &amp; Cavities :: Unit 2 :: Normal Abdominal Ultrasound with Sononerds</t>
  </si>
  <si>
    <t xml:space="preserve">https://www.youtube.com/watch?v=luK0ElID9Hs</t>
  </si>
  <si>
    <t xml:space="preserve">33:20</t>
  </si>
  <si>
    <t xml:space="preserve">Peritoneum va bo‘shliqlar anatomiyasi; patologiya yo‘q; Ilovada: Qorin bo‘shlig‘i a’zolari → Qorin bo‘shlig‘i anatomiyasi va qorin parda</t>
  </si>
  <si>
    <t xml:space="preserve">V008</t>
  </si>
  <si>
    <t xml:space="preserve">US Abdomen Complete Protocol</t>
  </si>
  <si>
    <t xml:space="preserve">https://www.youtube.com/watch?v=xLYBOf2da8s</t>
  </si>
  <si>
    <t xml:space="preserve">12:01</t>
  </si>
  <si>
    <t xml:space="preserve">2021-03-20</t>
  </si>
  <si>
    <t xml:space="preserve">Ilovada: Qorin bo‘shlig‘i a’zolari → To‘liq qorin protokoli</t>
  </si>
  <si>
    <t xml:space="preserve">V009</t>
  </si>
  <si>
    <t xml:space="preserve">Portal Vein Doppler Protocol</t>
  </si>
  <si>
    <t xml:space="preserve">https://www.youtube.com/watch?v=SS-ATlJ9OCk</t>
  </si>
  <si>
    <t xml:space="preserve">12:48</t>
  </si>
  <si>
    <t xml:space="preserve">2019-12-16</t>
  </si>
  <si>
    <t xml:space="preserve">Ilovada: Qorin bo‘shlig‘i a’zolari → Darvoza venasi Doppleri</t>
  </si>
  <si>
    <t xml:space="preserve">V010</t>
  </si>
  <si>
    <t xml:space="preserve">Pancreas Sonoanatomy</t>
  </si>
  <si>
    <t xml:space="preserve">https://www.youtube.com/watch?v=yK_ETT0yZ5Q</t>
  </si>
  <si>
    <t xml:space="preserve">6:44</t>
  </si>
  <si>
    <t xml:space="preserve">2021-11-25</t>
  </si>
  <si>
    <t xml:space="preserve">Ilovada: Qorin bo‘shlig‘i a’zolari → Oshqozon osti bezi: tekshirish texnikasi</t>
  </si>
  <si>
    <t xml:space="preserve">V011</t>
  </si>
  <si>
    <t xml:space="preserve">Renal Ultrasound Protocol</t>
  </si>
  <si>
    <t xml:space="preserve">https://www.youtube.com/watch?v=8JjIbqp5kVI</t>
  </si>
  <si>
    <t xml:space="preserve">15:13</t>
  </si>
  <si>
    <t xml:space="preserve">2018-02-22</t>
  </si>
  <si>
    <t xml:space="preserve">Ilovada: Urologiya → Buyrak: tekshirish texnikasi</t>
  </si>
  <si>
    <t xml:space="preserve">V012</t>
  </si>
  <si>
    <t xml:space="preserve">03.14.02; 03.14.04</t>
  </si>
  <si>
    <t xml:space="preserve">Renal Pathology</t>
  </si>
  <si>
    <t xml:space="preserve">https://www.youtube.com/watch?v=LsK7ykAjHog</t>
  </si>
  <si>
    <t xml:space="preserve">30:35</t>
  </si>
  <si>
    <t xml:space="preserve">Ilovada: Urologiya → Buyrak: patologiya</t>
  </si>
  <si>
    <t xml:space="preserve">V013</t>
  </si>
  <si>
    <t xml:space="preserve">03.10.03; 03.11.02; 03.12.02; 03.13.02; 03.14.03</t>
  </si>
  <si>
    <t xml:space="preserve">Abdominal Ultrasound Normal Vs Abnormal Images | Liver, Gallbladder, Pancreas, Kidney, Hernia USG</t>
  </si>
  <si>
    <t xml:space="preserve">https://www.youtube.com/watch?v=eSekFP_KIQk</t>
  </si>
  <si>
    <t xml:space="preserve">Dr. Sam’s Imaging Library</t>
  </si>
  <si>
    <t xml:space="preserve">Ta’lim kanali (tasvirlar to‘plami)</t>
  </si>
  <si>
    <t xml:space="preserve">1:27:13</t>
  </si>
  <si>
    <t xml:space="preserve">Tasvirlar galereyasi</t>
  </si>
  <si>
    <t xml:space="preserve">Takrorlash uchun; har bir patologiya qisqa; Ilovada: Qorin bo‘shlig‘i a’zolari → Normal va patologik tasvirlar (takrorlash)</t>
  </si>
  <si>
    <t xml:space="preserve">V014</t>
  </si>
  <si>
    <t xml:space="preserve">Ultrasound  Physics with Sononerds Unit 2</t>
  </si>
  <si>
    <t xml:space="preserve">https://www.youtube.com/watch?v=c6PQzbzJgUg</t>
  </si>
  <si>
    <t xml:space="preserve">Ta’lim kanali (sonografiya kolleji kursi, 25 qism)</t>
  </si>
  <si>
    <t xml:space="preserve">~9:42</t>
  </si>
  <si>
    <t xml:space="preserve">2021-09-06</t>
  </si>
  <si>
    <t xml:space="preserve">Tovush to‘lqini, to‘lqin turlari, akustik parametrlar; Ilovada: Ultratovush asoslari: fizika va apparat → Fizika: tovush to‘lqini va parametrlari</t>
  </si>
  <si>
    <t xml:space="preserve">V015</t>
  </si>
  <si>
    <t xml:space="preserve">Ultrasound Physics with Sononerds Unit 3</t>
  </si>
  <si>
    <t xml:space="preserve">https://www.youtube.com/watch?v=UFU9zVAa6WM</t>
  </si>
  <si>
    <t xml:space="preserve">~1:08</t>
  </si>
  <si>
    <t xml:space="preserve">Davr, chastota, tezlik, to‘lqin uzunligi, amplituda, quvvat, intensivlik; Ilovada: Ultratovush asoslari: fizika va apparat → Fizika: tovush to‘lqini va parametrlari</t>
  </si>
  <si>
    <t xml:space="preserve">V016</t>
  </si>
  <si>
    <t xml:space="preserve">Ultrasound Physics 1 - Sound as Waves</t>
  </si>
  <si>
    <t xml:space="preserve">https://www.youtube.com/watch?v=jv748J0XB-0</t>
  </si>
  <si>
    <t xml:space="preserve">Marc Kohli</t>
  </si>
  <si>
    <t xml:space="preserve">Shaxsiy kanal (radiolog)</t>
  </si>
  <si>
    <t xml:space="preserve">2:40</t>
  </si>
  <si>
    <t xml:space="preserve">2012-06-19</t>
  </si>
  <si>
    <t xml:space="preserve">Qisqa kirish; Ilovada: Ultratovush asoslari: fizika va apparat → Fizika: tovush to‘lqini va parametrlari</t>
  </si>
  <si>
    <t xml:space="preserve">V017</t>
  </si>
  <si>
    <t xml:space="preserve">Ultrasound Physics with Sononerds Unit 6b</t>
  </si>
  <si>
    <t xml:space="preserve">https://www.youtube.com/watch?v=htzA4DUZz_s</t>
  </si>
  <si>
    <t xml:space="preserve">58:17</t>
  </si>
  <si>
    <t xml:space="preserve">2021-09-22</t>
  </si>
  <si>
    <t xml:space="preserve">Boshlang‘ich–o‘rta</t>
  </si>
  <si>
    <t xml:space="preserve">Aks-sado: refleksiya, sochilish, refraksiya, normal va qiya tushish; Ilovada: Ultratovush asoslari: fizika va apparat → Fizika: akustik impedans va aks-sado</t>
  </si>
  <si>
    <t xml:space="preserve">V018</t>
  </si>
  <si>
    <t xml:space="preserve">Acoustic Impedance and Reflection Explained | Radiology Ultrasound Physics</t>
  </si>
  <si>
    <t xml:space="preserve">https://www.youtube.com/watch?v=-zXuz0mqe_Q</t>
  </si>
  <si>
    <t xml:space="preserve">Radiology Tutorials</t>
  </si>
  <si>
    <t xml:space="preserve">Ta’lim kanali (radiologiya fizikasi)</t>
  </si>
  <si>
    <t xml:space="preserve">2026-04-22</t>
  </si>
  <si>
    <t xml:space="preserve">Ilovada: Ultratovush asoslari: fizika va apparat → Fizika: akustik impedans va aks-sado</t>
  </si>
  <si>
    <t xml:space="preserve">V019</t>
  </si>
  <si>
    <t xml:space="preserve">Ultrasound Physics 2 - Interactions with Tissue</t>
  </si>
  <si>
    <t xml:space="preserve">https://www.youtube.com/watch?v=Q1YPZ-04dag</t>
  </si>
  <si>
    <t xml:space="preserve">Muallif tavsifida xato tuzatilgan: spekulyar aks silliq yuzada bo‘ladi; Ilovada: Ultratovush asoslari: fizika va apparat → Fizika: akustik impedans va aks-sado</t>
  </si>
  <si>
    <t xml:space="preserve">V020</t>
  </si>
  <si>
    <t xml:space="preserve">Ultrasound Physics with Sononerds Unit 6a</t>
  </si>
  <si>
    <t xml:space="preserve">https://www.youtube.com/watch?v=77LZeskg4Eg</t>
  </si>
  <si>
    <t xml:space="preserve">&gt;1:26</t>
  </si>
  <si>
    <t xml:space="preserve">2021-09-20</t>
  </si>
  <si>
    <t xml:space="preserve">Attenuatsiya, desibellar, yarim qatlam qalinligi; Ilovada: Ultratovush asoslari: fizika va apparat → Fizika: attenuatsiya</t>
  </si>
  <si>
    <t xml:space="preserve">V021</t>
  </si>
  <si>
    <t xml:space="preserve">Ultrasound Physics with Sononerds Unit 11</t>
  </si>
  <si>
    <t xml:space="preserve">https://www.youtube.com/watch?v=TSHVXMbS2jM</t>
  </si>
  <si>
    <t xml:space="preserve">&gt;14:20</t>
  </si>
  <si>
    <t xml:space="preserve">2021-10-25</t>
  </si>
  <si>
    <t xml:space="preserve">A, B va M rejim; Ilovada: Ultratovush asoslari: fizika va apparat → A, B, M rejimlar va apparat tuzilishi</t>
  </si>
  <si>
    <t xml:space="preserve">V022</t>
  </si>
  <si>
    <t xml:space="preserve">Ultrasound Physics with Sononerds Unit 8</t>
  </si>
  <si>
    <t xml:space="preserve">https://www.youtube.com/watch?v=HC_tHnNZJ-Q</t>
  </si>
  <si>
    <t xml:space="preserve">48:51</t>
  </si>
  <si>
    <t xml:space="preserve">2021-09-27</t>
  </si>
  <si>
    <t xml:space="preserve">PZT element, moslovchi qatlam, datchikni tozalash (8.5.1); Ilovada: Ultratovush asoslari: fizika va apparat → Datchik: pyezoelement va tuzilishi</t>
  </si>
  <si>
    <t xml:space="preserve">V023</t>
  </si>
  <si>
    <t xml:space="preserve">Ultrasound Physics with Sononerds Unit 12a</t>
  </si>
  <si>
    <t xml:space="preserve">https://www.youtube.com/watch?v=QzZEKS1x0l8</t>
  </si>
  <si>
    <t xml:space="preserve">&gt;1:18</t>
  </si>
  <si>
    <t xml:space="preserve">2021-11-01</t>
  </si>
  <si>
    <t xml:space="preserve">Massivlar, fokuslash, burish; chiziqli, konveks, fazalangan, 3D datchiklar; Ilovada: Ultratovush asoslari: fizika va apparat → Datchik turlari</t>
  </si>
  <si>
    <t xml:space="preserve">V024</t>
  </si>
  <si>
    <t xml:space="preserve">Ultrasound Transducers</t>
  </si>
  <si>
    <t xml:space="preserve">https://www.youtube.com/watch?v=C0OFM297MlU</t>
  </si>
  <si>
    <t xml:space="preserve">Ultrasound Board Review</t>
  </si>
  <si>
    <t xml:space="preserve">Imtihonga tayyorlov kanali</t>
  </si>
  <si>
    <t xml:space="preserve">2023-02-24</t>
  </si>
  <si>
    <t xml:space="preserve">Ishlamaydi: serverda “video mavjud emas” (2026-10-17)</t>
  </si>
  <si>
    <t xml:space="preserve">Ilovadan olib tashlandi, o‘rniga boshqa dars qo‘yildi</t>
  </si>
  <si>
    <t xml:space="preserve">V025</t>
  </si>
  <si>
    <t xml:space="preserve">Ultrasound Physics with Sononerds Unit 10</t>
  </si>
  <si>
    <t xml:space="preserve">https://www.youtube.com/watch?v=iLVeRa95WQc</t>
  </si>
  <si>
    <t xml:space="preserve">&gt;48:18</t>
  </si>
  <si>
    <t xml:space="preserve">2021-10-11</t>
  </si>
  <si>
    <t xml:space="preserve">Aksial va lateral rezolyutsiya, fokuslash; Ilovada: Ultratovush asoslari: fizika va apparat → Rezolyutsiya: aksial, lateral, elevatsion</t>
  </si>
  <si>
    <t xml:space="preserve">V026</t>
  </si>
  <si>
    <t xml:space="preserve">Ultrasound Physics with Sononerds Unit 12b</t>
  </si>
  <si>
    <t xml:space="preserve">https://www.youtube.com/watch?v=0rmwXyPXwhs</t>
  </si>
  <si>
    <t xml:space="preserve">15:59</t>
  </si>
  <si>
    <t xml:space="preserve">2021-11-06</t>
  </si>
  <si>
    <t xml:space="preserve">Elevatsion rezolyutsiya, yon loblar; Ilovada: Ultratovush asoslari: fizika va apparat → Rezolyutsiya: aksial, lateral, elevatsion</t>
  </si>
  <si>
    <t xml:space="preserve">V027</t>
  </si>
  <si>
    <t xml:space="preserve">Ultrasound Physics with Sononerds Unit 15b</t>
  </si>
  <si>
    <t xml:space="preserve">https://www.youtube.com/watch?v=EvZSiMTiePI</t>
  </si>
  <si>
    <t xml:space="preserve">2021-11-15</t>
  </si>
  <si>
    <t xml:space="preserve">Fazoviy va kontrast rezolyutsiya; Ilovada: Ultratovush asoslari: fizika va apparat → Rezolyutsiya: aksial, lateral, elevatsion</t>
  </si>
  <si>
    <t xml:space="preserve">V028</t>
  </si>
  <si>
    <t xml:space="preserve">01.03.04; 13.33.04; 02.09.07</t>
  </si>
  <si>
    <t xml:space="preserve">Ultrasound Physics with Sononerds Unit 14</t>
  </si>
  <si>
    <t xml:space="preserve">https://www.youtube.com/watch?v=UYtaDkhVrmQ</t>
  </si>
  <si>
    <t xml:space="preserve">1:15:49</t>
  </si>
  <si>
    <t xml:space="preserve">2021-11-14</t>
  </si>
  <si>
    <t xml:space="preserve">Apparat tarkibi: qabul qilgich, kuchaytirish, kompensatsiya, PACS/DICOM; Ilovada: Ultratovush asoslari: fizika va apparat → A, B, M rejimlar va apparat tuzilishi</t>
  </si>
  <si>
    <t xml:space="preserve">V029</t>
  </si>
  <si>
    <t xml:space="preserve">Ultrasound Physics with Sononerds Unit 16</t>
  </si>
  <si>
    <t xml:space="preserve">https://www.youtube.com/watch?v=_8R-IiuLM0k</t>
  </si>
  <si>
    <t xml:space="preserve">&gt;22:47</t>
  </si>
  <si>
    <t xml:space="preserve">2021-11-29</t>
  </si>
  <si>
    <t xml:space="preserve">Kompressiya (dynamic range); Ilovada: Ultratovush asoslari: fizika va apparat → Tasvirni sozlash: kompressiya (dynamic range)</t>
  </si>
  <si>
    <t xml:space="preserve">V030</t>
  </si>
  <si>
    <t xml:space="preserve">Ultrasound Physics with Sononerds Unit 17a</t>
  </si>
  <si>
    <t xml:space="preserve">https://www.youtube.com/watch?v=8nS4NYD_LnU</t>
  </si>
  <si>
    <t xml:space="preserve">&gt;25:07</t>
  </si>
  <si>
    <t xml:space="preserve">Garmonik tasvirlash; kompaund va panoramik yo‘q; Ilovada: Ultratovush asoslari: fizika va apparat → Garmonik tasvirlash</t>
  </si>
  <si>
    <t xml:space="preserve">V031</t>
  </si>
  <si>
    <t xml:space="preserve">Proper POCUS Cleaning and Disinfection</t>
  </si>
  <si>
    <t xml:space="preserve">https://www.youtube.com/watch?v=mKomnw4PEwE</t>
  </si>
  <si>
    <t xml:space="preserve">USF Emergency Ultrasound</t>
  </si>
  <si>
    <t xml:space="preserve">Universitet (shoshilinch tibbiyot)</t>
  </si>
  <si>
    <t xml:space="preserve">7:39</t>
  </si>
  <si>
    <t xml:space="preserve">2024-10-13</t>
  </si>
  <si>
    <t xml:space="preserve">Endokavitar datchik uchun yuqori darajali dezinfeksiya alohida tekshirilsin; Ilovada: Ultratovush asoslari: fizika va apparat → Datchikni tozalash va dezinfeksiya</t>
  </si>
  <si>
    <t xml:space="preserve">V032</t>
  </si>
  <si>
    <t xml:space="preserve">Ultrasound 5 - Knobology 1 - Gain</t>
  </si>
  <si>
    <t xml:space="preserve">https://www.youtube.com/watch?v=z6n7C_4rHhk</t>
  </si>
  <si>
    <t xml:space="preserve">2012-06-30</t>
  </si>
  <si>
    <t xml:space="preserve">Ilovada: Ultratovush asoslari: fizika va apparat → Tasvirni sozlash: gain va TGC</t>
  </si>
  <si>
    <t xml:space="preserve">V033</t>
  </si>
  <si>
    <t xml:space="preserve">KNOBOLOGY 2: Focus, Gain, Frequency, Depth and Zoom</t>
  </si>
  <si>
    <t xml:space="preserve">https://www.youtube.com/watch?v=hMPA6hVPh0A</t>
  </si>
  <si>
    <t xml:space="preserve">msksono</t>
  </si>
  <si>
    <t xml:space="preserve">Ta’lim kanali (MSK sonografiya)</t>
  </si>
  <si>
    <t xml:space="preserve">&gt;3:14</t>
  </si>
  <si>
    <t xml:space="preserve">2024-12-02</t>
  </si>
  <si>
    <t xml:space="preserve">V034</t>
  </si>
  <si>
    <t xml:space="preserve">Ultrasound 6 - Knobology 2 - Focus, Field of View, Frame Rate</t>
  </si>
  <si>
    <t xml:space="preserve">https://www.youtube.com/watch?v=x8suZz5FeuM</t>
  </si>
  <si>
    <t xml:space="preserve">4:59</t>
  </si>
  <si>
    <t xml:space="preserve">2012-07-01</t>
  </si>
  <si>
    <t xml:space="preserve">Ilovada: Ultratovush asoslari: fizika va apparat → Tasvirni sozlash: chuqurlik, fokus, kadr tezligi</t>
  </si>
  <si>
    <t xml:space="preserve">V035</t>
  </si>
  <si>
    <t xml:space="preserve">Ultrasound Physics with Sononerds Unit 9</t>
  </si>
  <si>
    <t xml:space="preserve">https://www.youtube.com/watch?v=AvbdjCMA8OU</t>
  </si>
  <si>
    <t xml:space="preserve">&gt;56:13</t>
  </si>
  <si>
    <t xml:space="preserve">2021-10-03</t>
  </si>
  <si>
    <t xml:space="preserve">Nur zonalari, fokus, divergensiya; Ilovada: Ultratovush asoslari: fizika va apparat → Ultratovush nuri va fokus</t>
  </si>
  <si>
    <t xml:space="preserve">V036</t>
  </si>
  <si>
    <t xml:space="preserve">Ultrasound Physics 4 - Beam Geometry</t>
  </si>
  <si>
    <t xml:space="preserve">https://www.youtube.com/watch?v=imM2qJY_bEI</t>
  </si>
  <si>
    <t xml:space="preserve">Ilovada: Ultratovush asoslari: fizika va apparat → Ultratovush nuri va fokus</t>
  </si>
  <si>
    <t xml:space="preserve">V037</t>
  </si>
  <si>
    <t xml:space="preserve">Physics with Sononerds Unit 13</t>
  </si>
  <si>
    <t xml:space="preserve">https://www.youtube.com/watch?v=48m-hcI8i1g</t>
  </si>
  <si>
    <t xml:space="preserve">&gt;1:01:35</t>
  </si>
  <si>
    <t xml:space="preserve">2021-10-26</t>
  </si>
  <si>
    <t xml:space="preserve">Kadr tezligi, vaqt rezolyutsiyasi; Ilovada: Ultratovush asoslari: fizika va apparat → Tasvirni sozlash: chuqurlik, fokus, kadr tezligi</t>
  </si>
  <si>
    <t xml:space="preserve">V038</t>
  </si>
  <si>
    <t xml:space="preserve">13.33.06; 02.09.07</t>
  </si>
  <si>
    <t xml:space="preserve">Unit 22: Quality &amp; Performance  Ultrasound Physics with Sononerds</t>
  </si>
  <si>
    <t xml:space="preserve">https://www.youtube.com/watch?v=0U2Pcu2SjeM</t>
  </si>
  <si>
    <t xml:space="preserve">&gt;42:52</t>
  </si>
  <si>
    <t xml:space="preserve">2022-02-27</t>
  </si>
  <si>
    <t xml:space="preserve">Sifat nazorati, fantomlar; Ilovada: Ultratovush asoslari: fizika va apparat → Sifat nazorati</t>
  </si>
  <si>
    <t xml:space="preserve">V039</t>
  </si>
  <si>
    <t xml:space="preserve">Ultrasound Artifacts, Part 1  (Shadowing, enhancement and edge artifacts)</t>
  </si>
  <si>
    <t xml:space="preserve">https://www.youtube.com/watch?v=SN6_YKVl-U0</t>
  </si>
  <si>
    <t xml:space="preserve">Core Ultrasound</t>
  </si>
  <si>
    <t xml:space="preserve">Ta’lim kanali (shoshilinch UZI shifokori)</t>
  </si>
  <si>
    <t xml:space="preserve">2022-07-11</t>
  </si>
  <si>
    <t xml:space="preserve">V040</t>
  </si>
  <si>
    <t xml:space="preserve">Ultrasound Artifacts, Part 2 (Reverberation artifacts)</t>
  </si>
  <si>
    <t xml:space="preserve">https://www.youtube.com/watch?v=SyYkOglVVLo</t>
  </si>
  <si>
    <t xml:space="preserve">2022-07-13</t>
  </si>
  <si>
    <t xml:space="preserve">V041</t>
  </si>
  <si>
    <t xml:space="preserve">Ultrasound Artifacts</t>
  </si>
  <si>
    <t xml:space="preserve">https://www.youtube.com/watch?v=NjcYR_tO1iw</t>
  </si>
  <si>
    <t xml:space="preserve">MetroHealth Emergency Ultrasound (Dr. Shoji Shimizu)</t>
  </si>
  <si>
    <t xml:space="preserve">Klinika ta’lim seriyasi</t>
  </si>
  <si>
    <t xml:space="preserve">2021-09-15</t>
  </si>
  <si>
    <t xml:space="preserve">Ilovada: Ultratovush asoslari: fizika va apparat → Artefaktlar: umumiy sharh</t>
  </si>
  <si>
    <t xml:space="preserve">V042</t>
  </si>
  <si>
    <t xml:space="preserve">Aliasing on Doppler Ultrasound</t>
  </si>
  <si>
    <t xml:space="preserve">https://www.youtube.com/watch?v=Xq7VJ864GIg</t>
  </si>
  <si>
    <t xml:space="preserve">Radiology educational videos</t>
  </si>
  <si>
    <t xml:space="preserve">2025-05-16</t>
  </si>
  <si>
    <t xml:space="preserve">Ilovada: Ultratovush asoslari: fizika va apparat → Doppler: sozlamalar va aliasing</t>
  </si>
  <si>
    <t xml:space="preserve">V043</t>
  </si>
  <si>
    <t xml:space="preserve">01.04.05; 01.05.07</t>
  </si>
  <si>
    <t xml:space="preserve">Unit 20: Doppler Application</t>
  </si>
  <si>
    <t xml:space="preserve">https://www.youtube.com/watch?v=R2yTdxP-j8I</t>
  </si>
  <si>
    <t xml:space="preserve">&gt;1:29:14</t>
  </si>
  <si>
    <t xml:space="preserve">2022-02-06</t>
  </si>
  <si>
    <t xml:space="preserve">Spektral va rangli Doppler sozlamalari, aliasing; Ilovada: Ultratovush asoslari: fizika va apparat → Doppler: sozlamalar va aliasing</t>
  </si>
  <si>
    <t xml:space="preserve">V044</t>
  </si>
  <si>
    <t xml:space="preserve">01.05.02; 01.05.03; 01.05.05</t>
  </si>
  <si>
    <t xml:space="preserve">Unit 19: Doppler Physics &amp; Instrumentation with Sononerds</t>
  </si>
  <si>
    <t xml:space="preserve">https://www.youtube.com/watch?v=NrWKEJD-_RA</t>
  </si>
  <si>
    <t xml:space="preserve">~1:27</t>
  </si>
  <si>
    <t xml:space="preserve">2022-01-30</t>
  </si>
  <si>
    <t xml:space="preserve">Doppler tenglamasi, cos θ, CW, PW, rangli va power Doppler; Ilovada: Ultratovush asoslari: fizika va apparat → Doppler: fizika va turlari</t>
  </si>
  <si>
    <t xml:space="preserve">V045</t>
  </si>
  <si>
    <t xml:space="preserve">iMEP Tips &amp; Tricks 30: Power Doppler vs. Color Doppler</t>
  </si>
  <si>
    <t xml:space="preserve">https://www.youtube.com/watch?v=dIvPZ6Mhraw</t>
  </si>
  <si>
    <t xml:space="preserve">NIPRO Group</t>
  </si>
  <si>
    <t xml:space="preserve">Ishlab chiqaruvchi</t>
  </si>
  <si>
    <t xml:space="preserve">2025-02-10</t>
  </si>
  <si>
    <t xml:space="preserve">Ishlab chiqaruvchi kanali: neytralligini tekshiring; Ilovada: Ultratovush asoslari: fizika va apparat → Doppler: rangli va power Doppler</t>
  </si>
  <si>
    <t xml:space="preserve">V046</t>
  </si>
  <si>
    <t xml:space="preserve">Doppler Ultrasound 101 | The Basics</t>
  </si>
  <si>
    <t xml:space="preserve">https://www.youtube.com/watch?v=LeI3ns30mvg</t>
  </si>
  <si>
    <t xml:space="preserve">Sonography Minutes (Michelle Macauley)</t>
  </si>
  <si>
    <t xml:space="preserve">~38:05</t>
  </si>
  <si>
    <t xml:space="preserve">2022-06-29</t>
  </si>
  <si>
    <t xml:space="preserve">Ilovada: Ultratovush asoslari: fizika va apparat → Doppler: fizika va turlari</t>
  </si>
  <si>
    <t xml:space="preserve">V047</t>
  </si>
  <si>
    <t xml:space="preserve">Unit 18 Hemodynamics :: Ultrasound Physics with Sononerds</t>
  </si>
  <si>
    <t xml:space="preserve">https://www.youtube.com/watch?v=U6swOcsO6c0</t>
  </si>
  <si>
    <t xml:space="preserve">&gt;1:13</t>
  </si>
  <si>
    <t xml:space="preserve">2022-01-24</t>
  </si>
  <si>
    <t xml:space="preserve">Gemodinamika, stenoz, Bernulli; Ilovada: Ultratovush asoslari: fizika va apparat → Gemodinamika</t>
  </si>
  <si>
    <t xml:space="preserve">V048</t>
  </si>
  <si>
    <t xml:space="preserve">01.06.03; 01.06.04</t>
  </si>
  <si>
    <t xml:space="preserve">ATTENTION: ALARA is Important - An Update on the Bioeffects of Ultrasound</t>
  </si>
  <si>
    <t xml:space="preserve">https://www.youtube.com/watch?v=wHdEZaY4M2g</t>
  </si>
  <si>
    <t xml:space="preserve">AIUMultrasound (J. Brian Fowlkes, Jean Lea Spitz)</t>
  </si>
  <si>
    <t xml:space="preserve">Professional jamiyat (AIUM)</t>
  </si>
  <si>
    <t xml:space="preserve">2017-03-14</t>
  </si>
  <si>
    <t xml:space="preserve">Eng ishonchli manba (AIUM); Ilovada: Ultratovush asoslari: fizika va apparat → Xavfsizlik: ALARA, TI va MI</t>
  </si>
  <si>
    <t xml:space="preserve">V049</t>
  </si>
  <si>
    <t xml:space="preserve">Understanding ultrasound parameters: mechanical index and thermal index</t>
  </si>
  <si>
    <t xml:space="preserve">https://www.youtube.com/watch?v=3cWIePSocMA</t>
  </si>
  <si>
    <t xml:space="preserve">2025-05-05</t>
  </si>
  <si>
    <t xml:space="preserve">GE apparatida ko‘rsatilgan; Ilovada: Ultratovush asoslari: fizika va apparat → Xavfsizlik: ALARA, TI va MI</t>
  </si>
  <si>
    <t xml:space="preserve">V050</t>
  </si>
  <si>
    <t xml:space="preserve">Ultrasound Physics with Sononerds Unit 17b</t>
  </si>
  <si>
    <t xml:space="preserve">https://www.youtube.com/watch?v=XdSrvyKCpfw</t>
  </si>
  <si>
    <t xml:space="preserve">&gt;20:28</t>
  </si>
  <si>
    <t xml:space="preserve">Kontrast moddalar va mexanik indeks; Ilovada: Ultratovush asoslari: fizika va apparat → Kontrast moddalar va mexanik indeks</t>
  </si>
  <si>
    <t xml:space="preserve">V051</t>
  </si>
  <si>
    <t xml:space="preserve">Clean posterior acoustic shadowing on ultrasound</t>
  </si>
  <si>
    <t xml:space="preserve">https://www.youtube.com/watch?v=12AEms8K5oY</t>
  </si>
  <si>
    <t xml:space="preserve">Ilovada: Ultratovush asoslari: fizika va apparat → Artefaktlar: akustik soya va kuchayish</t>
  </si>
  <si>
    <t xml:space="preserve">V052</t>
  </si>
  <si>
    <t xml:space="preserve">Dirty posterior acoustic shadowing on ultrasound</t>
  </si>
  <si>
    <t xml:space="preserve">https://www.youtube.com/watch?v=BEkT3_979fw</t>
  </si>
  <si>
    <t xml:space="preserve">V053</t>
  </si>
  <si>
    <t xml:space="preserve">Reverberation artifact</t>
  </si>
  <si>
    <t xml:space="preserve">https://www.youtube.com/watch?v=y8VPgK-tToA</t>
  </si>
  <si>
    <t xml:space="preserve">#IMPOCUS</t>
  </si>
  <si>
    <t xml:space="preserve">Ta’lim kanali (ichki kasalliklar POCUS)</t>
  </si>
  <si>
    <t xml:space="preserve">Ilovada: Ultratovush asoslari: fizika va apparat → Artefaktlar: reverberatsiya</t>
  </si>
  <si>
    <t xml:space="preserve">V054</t>
  </si>
  <si>
    <t xml:space="preserve">01.04.03; 01.04.04</t>
  </si>
  <si>
    <t xml:space="preserve">Ultrasound Physics Imaging Artifacts</t>
  </si>
  <si>
    <t xml:space="preserve">https://www.youtube.com/watch?v=HnG1GieOkUk</t>
  </si>
  <si>
    <t xml:space="preserve">POCUS Geek</t>
  </si>
  <si>
    <t xml:space="preserve">V055</t>
  </si>
  <si>
    <t xml:space="preserve">ULTRASOUND ARTIFACTS | Sonography Tutorial | Dr Sanjeev Mani | Exam Question in Radiology | Indian Radiologist</t>
  </si>
  <si>
    <t xml:space="preserve">https://www.youtube.com/watch?v=XJ_4bkD8bbg</t>
  </si>
  <si>
    <t xml:space="preserve">Dr Sanjeev Mani</t>
  </si>
  <si>
    <t xml:space="preserve">V056</t>
  </si>
  <si>
    <t xml:space="preserve">Physics of Ultrasound: Transducers - Segment #6</t>
  </si>
  <si>
    <t xml:space="preserve">https://www.youtube.com/watch?v=aQRtyG32s1o</t>
  </si>
  <si>
    <t xml:space="preserve">jchanmeister</t>
  </si>
  <si>
    <t xml:space="preserve">Ilovada: Ultratovush asoslari: fizika va apparat → Datchik turlari</t>
  </si>
  <si>
    <t xml:space="preserve">V057</t>
  </si>
  <si>
    <t xml:space="preserve">How to ultrasound the liver</t>
  </si>
  <si>
    <t xml:space="preserve">https://www.youtube.com/watch?v=J5gRFeZ7cZU</t>
  </si>
  <si>
    <t xml:space="preserve">Medmastery</t>
  </si>
  <si>
    <t xml:space="preserve">Belgilanmagan</t>
  </si>
  <si>
    <t xml:space="preserve">Ilova katalogi v1 (2026-10-16); Ilovada: Qorin bo‘shlig‘i a’zolari → Jigar: tekshirish texnikasi</t>
  </si>
  <si>
    <t xml:space="preserve">V058</t>
  </si>
  <si>
    <t xml:space="preserve">Ultrasound of diffuse liver diseases</t>
  </si>
  <si>
    <t xml:space="preserve">https://www.youtube.com/watch?v=8pETh6qhIdM</t>
  </si>
  <si>
    <t xml:space="preserve">123radiology</t>
  </si>
  <si>
    <t xml:space="preserve">Ilova katalogi v1 (2026-10-16); Ilovada: Qorin bo‘shlig‘i a’zolari → Jigar: diffuz kasalliklar (yog‘li gepatoz, sirroz)</t>
  </si>
  <si>
    <t xml:space="preserve">V059</t>
  </si>
  <si>
    <t xml:space="preserve">03.10.06; 03.10.09</t>
  </si>
  <si>
    <t xml:space="preserve">Ultrasound in  Focal Liver Lesions and Beyond</t>
  </si>
  <si>
    <t xml:space="preserve">https://www.youtube.com/watch?v=A9jHe08T4VE</t>
  </si>
  <si>
    <t xml:space="preserve">Radiology Video - radiology made esay</t>
  </si>
  <si>
    <t xml:space="preserve">Ilova katalogi v1 (2026-10-16); Ilovada: Qorin bo‘shlig‘i a’zolari → Jigar: o‘choqli o‘zgarishlar</t>
  </si>
  <si>
    <t xml:space="preserve">V060</t>
  </si>
  <si>
    <t xml:space="preserve">Sonographic anatomy of the gallbladder and biliary ducts</t>
  </si>
  <si>
    <t xml:space="preserve">https://www.youtube.com/watch?v=enp-lIVqyBQ</t>
  </si>
  <si>
    <t xml:space="preserve">Ilova katalogi v1 (2026-10-16); Ilovada: Qorin bo‘shlig‘i a’zolari → O‘t pufagi va o‘t yo‘llari: anatomiya</t>
  </si>
  <si>
    <t xml:space="preserve">V061</t>
  </si>
  <si>
    <t xml:space="preserve">03.11.03; 03.11.04</t>
  </si>
  <si>
    <t xml:space="preserve">Ultrasound of the Abnormal Gallbladder</t>
  </si>
  <si>
    <t xml:space="preserve">https://www.youtube.com/watch?v=374A77l6es0</t>
  </si>
  <si>
    <t xml:space="preserve">MetroHealth Emergency Ultrasound</t>
  </si>
  <si>
    <t xml:space="preserve">Ilova katalogi v1 (2026-10-16); Ilovada: Qorin bo‘shlig‘i a’zolari → O‘t pufagi: patologiya</t>
  </si>
  <si>
    <t xml:space="preserve">V062</t>
  </si>
  <si>
    <t xml:space="preserve">How to perform an ultrasound exam of the pancreas</t>
  </si>
  <si>
    <t xml:space="preserve">https://www.youtube.com/watch?v=IsJeMgxTFMU</t>
  </si>
  <si>
    <t xml:space="preserve">Ilova katalogi v1 (2026-10-16); Ilovada: Qorin bo‘shlig‘i a’zolari → Oshqozon osti bezi: tekshirish texnikasi</t>
  </si>
  <si>
    <t xml:space="preserve">V063</t>
  </si>
  <si>
    <t xml:space="preserve">How to diagnose pancreatitis with the help of ultrasound</t>
  </si>
  <si>
    <t xml:space="preserve">https://www.youtube.com/watch?v=e-DBRFgQPYw</t>
  </si>
  <si>
    <t xml:space="preserve">Ilova katalogi v1 (2026-10-16); Ilovada: Qorin bo‘shlig‘i a’zolari → Oshqozon osti bezi: pankreatit</t>
  </si>
  <si>
    <t xml:space="preserve">V064</t>
  </si>
  <si>
    <t xml:space="preserve">03.13.02; 03.13.04</t>
  </si>
  <si>
    <t xml:space="preserve">Spleen Ultrasound Normal Vs Abnormal Image Appearances Comparison | Splenic Pathologies On USG</t>
  </si>
  <si>
    <t xml:space="preserve">https://www.youtube.com/watch?v=CZpeA_lJ6rE</t>
  </si>
  <si>
    <t xml:space="preserve">Dr. Sam's Imaging Library</t>
  </si>
  <si>
    <t xml:space="preserve">Ilova katalogi v1 (2026-10-16); Ilovada: Qorin bo‘shlig‘i a’zolari → Taloq</t>
  </si>
  <si>
    <t xml:space="preserve">V065</t>
  </si>
  <si>
    <t xml:space="preserve">Ultrasound of Abdominal Aortic Aneurysm (AAA)</t>
  </si>
  <si>
    <t xml:space="preserve">https://www.youtube.com/watch?v=4JTq2gyW5Nw</t>
  </si>
  <si>
    <t xml:space="preserve">EM:RAP Medical Education </t>
  </si>
  <si>
    <t xml:space="preserve">Ilova katalogi v1 (2026-10-16); Ilovada: Qorin bo‘shlig‘i a’zolari → Qorin aortasi: anevrizma</t>
  </si>
  <si>
    <t xml:space="preserve">V066</t>
  </si>
  <si>
    <t xml:space="preserve">Ultrasound of Acute Appendicitis</t>
  </si>
  <si>
    <t xml:space="preserve">https://www.youtube.com/watch?v=FpiqQs0gwgI</t>
  </si>
  <si>
    <t xml:space="preserve">Radquarters</t>
  </si>
  <si>
    <t xml:space="preserve">Ilova katalogi v1 (2026-10-16); Ilovada: Qorin bo‘shlig‘i a’zolari → Appenditsit</t>
  </si>
  <si>
    <t xml:space="preserve">V067</t>
  </si>
  <si>
    <t xml:space="preserve">Ultrasound of Acute Appendicitis: Pearls and Pitfalls</t>
  </si>
  <si>
    <t xml:space="preserve">https://www.youtube.com/watch?v=GcS3jKyR5sg</t>
  </si>
  <si>
    <t xml:space="preserve">Ilova katalogi v1 (2026-10-16); Ilovada: Qorin bo‘shlig‘i a’zolari → Appenditsit: nozik jihatlar</t>
  </si>
  <si>
    <t xml:space="preserve">V068</t>
  </si>
  <si>
    <t xml:space="preserve">Gynecologic Radiology Anatomy</t>
  </si>
  <si>
    <t xml:space="preserve">https://www.youtube.com/watch?v=sD-aFMQxT08</t>
  </si>
  <si>
    <t xml:space="preserve">Radiology Education by Joseph W. Owen, MD</t>
  </si>
  <si>
    <t xml:space="preserve">Ilova katalogi v1 (2026-10-16); Ilovada: Ginekologiya → Kichik chanoq a’zolari anatomiyasi</t>
  </si>
  <si>
    <t xml:space="preserve">V069</t>
  </si>
  <si>
    <t xml:space="preserve">Bedside Transvaginal Ultrasound, Part 1</t>
  </si>
  <si>
    <t xml:space="preserve">https://www.youtube.com/watch?v=JoQtlTNrGZA</t>
  </si>
  <si>
    <t xml:space="preserve">Ilova katalogi v1 (2026-10-16); Ilovada: Ginekologiya → Transvaginal tekshiruv</t>
  </si>
  <si>
    <t xml:space="preserve">V070</t>
  </si>
  <si>
    <t xml:space="preserve">Ultrasound of Uterine Fibroids: Sonographic Appearance &amp; Differential Diagnosis</t>
  </si>
  <si>
    <t xml:space="preserve">https://www.youtube.com/watch?v=veQhbLyqLyU</t>
  </si>
  <si>
    <t xml:space="preserve">Athar Shams Rana</t>
  </si>
  <si>
    <t xml:space="preserve">Ilova katalogi v1 (2026-10-16); Ilovada: Ginekologiya → Bachadon miomasi</t>
  </si>
  <si>
    <t xml:space="preserve">V071</t>
  </si>
  <si>
    <t xml:space="preserve">Ultrasound of Endometrial Polyps</t>
  </si>
  <si>
    <t xml:space="preserve">https://www.youtube.com/watch?v=qdlb0bl2eOI</t>
  </si>
  <si>
    <t xml:space="preserve">Ilova katalogi v1 (2026-10-16); Ilovada: Ginekologiya → Endometriy poliplari</t>
  </si>
  <si>
    <t xml:space="preserve">V072</t>
  </si>
  <si>
    <t xml:space="preserve">Ultrasound of Common Adnexal Cysts</t>
  </si>
  <si>
    <t xml:space="preserve">https://www.youtube.com/watch?v=vSba7T95CXQ</t>
  </si>
  <si>
    <t xml:space="preserve">Ilova katalogi v1 (2026-10-16); Ilovada: Ginekologiya → Tuxumdon kistalari</t>
  </si>
  <si>
    <t xml:space="preserve">V073</t>
  </si>
  <si>
    <t xml:space="preserve">O-Rads Ultrasound Applying Version 2022 in Daily Clinical Practice</t>
  </si>
  <si>
    <t xml:space="preserve">https://www.youtube.com/watch?v=ji2I3Pv1R0g</t>
  </si>
  <si>
    <t xml:space="preserve">American College of Radiology</t>
  </si>
  <si>
    <t xml:space="preserve">Ilova katalogi v1 (2026-10-16); Ilovada: Ginekologiya → O-RADS tasnifi</t>
  </si>
  <si>
    <t xml:space="preserve">V074</t>
  </si>
  <si>
    <t xml:space="preserve">Ultrasound of Failed First Trimester Pregnancies and Ectopic Pregnancies</t>
  </si>
  <si>
    <t xml:space="preserve">https://www.youtube.com/watch?v=YC3-xfRxwYU</t>
  </si>
  <si>
    <t xml:space="preserve">Ilova katalogi v1 (2026-10-16); Ilovada: Ginekologiya → Erta homiladorlik asoratlari va ektopik homiladorlik</t>
  </si>
  <si>
    <t xml:space="preserve">V075</t>
  </si>
  <si>
    <t xml:space="preserve">"Ectopic Pregnancy" Ultrasound SonoWorld Lecture</t>
  </si>
  <si>
    <t xml:space="preserve">https://www.youtube.com/watch?v=R6rX5Qclgl8</t>
  </si>
  <si>
    <t xml:space="preserve">SonoWorld</t>
  </si>
  <si>
    <t xml:space="preserve">Ilova katalogi v1 (2026-10-16); Ilovada: Ginekologiya → Ektopik homiladorlik</t>
  </si>
  <si>
    <t xml:space="preserve">V076</t>
  </si>
  <si>
    <t xml:space="preserve">Ultrasound of the Normal Kidney</t>
  </si>
  <si>
    <t xml:space="preserve">https://www.youtube.com/watch?v=gcGHNdrgYW8</t>
  </si>
  <si>
    <t xml:space="preserve">Ilova katalogi v1 (2026-10-16); Ilovada: Urologiya → Buyrak: normal anatomiya</t>
  </si>
  <si>
    <t xml:space="preserve">V077</t>
  </si>
  <si>
    <t xml:space="preserve">Scanning Technique: Renal</t>
  </si>
  <si>
    <t xml:space="preserve">https://www.youtube.com/watch?v=sxLmYjilCxM</t>
  </si>
  <si>
    <t xml:space="preserve">Clarius Mobile Health</t>
  </si>
  <si>
    <t xml:space="preserve">Ilova katalogi v1 (2026-10-16); Ilovada: Urologiya → Buyrak: tekshirish texnikasi</t>
  </si>
  <si>
    <t xml:space="preserve">V078</t>
  </si>
  <si>
    <t xml:space="preserve">How to diagnose hydronephrosis with the help of ultrasound</t>
  </si>
  <si>
    <t xml:space="preserve">https://www.youtube.com/watch?v=ULezXrne5n4</t>
  </si>
  <si>
    <t xml:space="preserve">Ilova katalogi v1 (2026-10-16); Ilovada: Urologiya → Gidronefroz</t>
  </si>
  <si>
    <t xml:space="preserve">V079</t>
  </si>
  <si>
    <t xml:space="preserve">Scanning Technique: Bladder</t>
  </si>
  <si>
    <t xml:space="preserve">https://www.youtube.com/watch?v=nPoCYs7uKC0</t>
  </si>
  <si>
    <t xml:space="preserve">Ilova katalogi v1 (2026-10-16); Ilovada: Urologiya → Siydik pufagi</t>
  </si>
  <si>
    <t xml:space="preserve">V080</t>
  </si>
  <si>
    <t xml:space="preserve">Ultrasound Estimated Post-Void Residual Bladder</t>
  </si>
  <si>
    <t xml:space="preserve">https://www.youtube.com/watch?v=LEd7IzICClE</t>
  </si>
  <si>
    <t xml:space="preserve">Michael Zwank</t>
  </si>
  <si>
    <t xml:space="preserve">Ilova katalogi v1 (2026-10-16); Ilovada: Urologiya → Qoldiq siydik hajmi</t>
  </si>
  <si>
    <t xml:space="preserve">V081</t>
  </si>
  <si>
    <t xml:space="preserve">Key aspects of Prostate Ultrasound</t>
  </si>
  <si>
    <t xml:space="preserve">https://www.youtube.com/watch?v=nhVo53WChSA</t>
  </si>
  <si>
    <t xml:space="preserve">Radiology Without Borders</t>
  </si>
  <si>
    <t xml:space="preserve">Ilova katalogi v1 (2026-10-16); Ilovada: Urologiya → Prostata bezi</t>
  </si>
  <si>
    <t xml:space="preserve">V082</t>
  </si>
  <si>
    <t xml:space="preserve">Bedside Testicular Ultrasound</t>
  </si>
  <si>
    <t xml:space="preserve">https://www.youtube.com/watch?v=FbXwoxwS1Dw</t>
  </si>
  <si>
    <t xml:space="preserve">Ilova katalogi v1 (2026-10-16); Ilovada: Urologiya → Yorg‘oq: tekshiruv</t>
  </si>
  <si>
    <t xml:space="preserve">V083</t>
  </si>
  <si>
    <t xml:space="preserve">Ultrasound of Testicular Torsion</t>
  </si>
  <si>
    <t xml:space="preserve">https://www.youtube.com/watch?v=IQ5pUWIu6mI</t>
  </si>
  <si>
    <t xml:space="preserve">Ilova katalogi v1 (2026-10-16); Ilovada: Urologiya → Moyak buralishi</t>
  </si>
  <si>
    <t xml:space="preserve">V084</t>
  </si>
  <si>
    <t xml:space="preserve">Introduction to neonatal cranial ultrasound</t>
  </si>
  <si>
    <t xml:space="preserve">https://www.youtube.com/watch?v=c6A81JiJMSE</t>
  </si>
  <si>
    <t xml:space="preserve">South African Paediatric Association</t>
  </si>
  <si>
    <t xml:space="preserve">Ilova katalogi v1 (2026-10-16); Ilovada: Neyrosonografiya → Kirish</t>
  </si>
  <si>
    <t xml:space="preserve">V085</t>
  </si>
  <si>
    <t xml:space="preserve">How to Perform a Neonatal Cranial USS</t>
  </si>
  <si>
    <t xml:space="preserve">https://www.youtube.com/watch?v=vpmcgZ7lGFs</t>
  </si>
  <si>
    <t xml:space="preserve">NeoSim RJMS </t>
  </si>
  <si>
    <t xml:space="preserve">Ilova katalogi v1 (2026-10-16); Ilovada: Neyrosonografiya → Tekshirish texnikasi</t>
  </si>
  <si>
    <t xml:space="preserve">V086</t>
  </si>
  <si>
    <t xml:space="preserve">Ultrasound of the Neonatal Head and Spine | GE Healthcare</t>
  </si>
  <si>
    <t xml:space="preserve">https://www.youtube.com/watch?v=uyaaVrrBj0I</t>
  </si>
  <si>
    <t xml:space="preserve">GE HealthCare</t>
  </si>
  <si>
    <t xml:space="preserve">Ilova katalogi v1 (2026-10-16); Ilovada: Neyrosonografiya → Bosh va umurtqa: normal anatomiya</t>
  </si>
  <si>
    <t xml:space="preserve">V087</t>
  </si>
  <si>
    <t xml:space="preserve">ventricular measurements on neonatal head ultrasound</t>
  </si>
  <si>
    <t xml:space="preserve">https://www.youtube.com/watch?v=zG8ZZHEMLGA</t>
  </si>
  <si>
    <t xml:space="preserve">James Robert X-ray</t>
  </si>
  <si>
    <t xml:space="preserve">Ilova katalogi v1 (2026-10-16); Ilovada: Neyrosonografiya → Qorinchalarni o‘lchash</t>
  </si>
  <si>
    <t xml:space="preserve">V088</t>
  </si>
  <si>
    <t xml:space="preserve">Paediatric Head/Brain ultrasound - 101 Pattern recognition</t>
  </si>
  <si>
    <t xml:space="preserve">https://www.youtube.com/watch?v=0QdwB2Jr4_o</t>
  </si>
  <si>
    <t xml:space="preserve">Bridie Roche Sonographer</t>
  </si>
  <si>
    <t xml:space="preserve">Ilova katalogi v1 (2026-10-16); Ilovada: Neyrosonografiya → Patologiyani tanish</t>
  </si>
  <si>
    <t xml:space="preserve">V089</t>
  </si>
  <si>
    <t xml:space="preserve">Hypoxic ischemic encephalopathy in preterm neonatesl Periventricular leukomalacia l IVH grading l</t>
  </si>
  <si>
    <t xml:space="preserve">https://www.youtube.com/watch?v=im0gKSxURbg</t>
  </si>
  <si>
    <t xml:space="preserve">radiology_defined</t>
  </si>
  <si>
    <t xml:space="preserve">Ilova katalogi v1 (2026-10-16); Ilovada: Neyrosonografiya → Chala tug‘ilgan bola miyasi: PVL va IVH darajalari</t>
  </si>
  <si>
    <t xml:space="preserve">V090</t>
  </si>
  <si>
    <t xml:space="preserve">IVH and the Preterm Brain</t>
  </si>
  <si>
    <t xml:space="preserve">https://www.youtube.com/watch?v=6IV2OcpLUz4</t>
  </si>
  <si>
    <t xml:space="preserve">CanadianPreemies</t>
  </si>
  <si>
    <t xml:space="preserve">Ilova katalogi v1 (2026-10-16); Ilovada: Neyrosonografiya → Qorinchalar ichiga qon quyilish (IVH)</t>
  </si>
  <si>
    <t xml:space="preserve">V091</t>
  </si>
  <si>
    <t xml:space="preserve">Ultrasound of the Neonatal Spine</t>
  </si>
  <si>
    <t xml:space="preserve">https://www.youtube.com/watch?v=JJFx_Se8kvc</t>
  </si>
  <si>
    <t xml:space="preserve">Emily Bass</t>
  </si>
  <si>
    <t xml:space="preserve">Ilova katalogi v1 (2026-10-16); Ilovada: Neyrosonografiya → Chaqaloq umurtqa pog‘onasi</t>
  </si>
  <si>
    <t xml:space="preserve">V092</t>
  </si>
  <si>
    <t xml:space="preserve">Standard views for a basic echocardiogram</t>
  </si>
  <si>
    <t xml:space="preserve">https://www.youtube.com/watch?v=fPPNqhd9DRk</t>
  </si>
  <si>
    <t xml:space="preserve">Learning Cardiology</t>
  </si>
  <si>
    <t xml:space="preserve">Ilova katalogi v1 (2026-10-16); Ilovada: Yurak exokardiografiyasi → Asosiy pozitsiyalar</t>
  </si>
  <si>
    <t xml:space="preserve">V093</t>
  </si>
  <si>
    <t xml:space="preserve">Basic Cardiac Ultrasound Views 3: Apical 4 Chamber (A4C)</t>
  </si>
  <si>
    <t xml:space="preserve">https://www.youtube.com/watch?v=_xXJgRVC0pU</t>
  </si>
  <si>
    <t xml:space="preserve">Calgary IMUS</t>
  </si>
  <si>
    <t xml:space="preserve">Ilova katalogi v1 (2026-10-16); Ilovada: Yurak exokardiografiyasi → Apikal to‘rt kamerali pozitsiya</t>
  </si>
  <si>
    <t xml:space="preserve">V094</t>
  </si>
  <si>
    <t xml:space="preserve">Echo Core Curriculum: A Practical Approach to Left Ventricular Ejection Fraction (LVEF) by Echo</t>
  </si>
  <si>
    <t xml:space="preserve">https://www.youtube.com/watch?v=7qIoGhlrbVc</t>
  </si>
  <si>
    <t xml:space="preserve">St. Michael's Hospital Virtual Echo Rounds</t>
  </si>
  <si>
    <t xml:space="preserve">Ilova katalogi v1 (2026-10-16); Ilovada: Yurak exokardiografiyasi → Chap qorincha otish fraksiyasi</t>
  </si>
  <si>
    <t xml:space="preserve">V095</t>
  </si>
  <si>
    <t xml:space="preserve">Mitral Stenosis. Echocardiographic Assessment</t>
  </si>
  <si>
    <t xml:space="preserve">https://www.youtube.com/watch?v=xrHiJtoggUI</t>
  </si>
  <si>
    <t xml:space="preserve">Echo Singh by Dr. U P Singh</t>
  </si>
  <si>
    <t xml:space="preserve">Ilova katalogi v1 (2026-10-16); Ilovada: Yurak exokardiografiyasi → Mitral stenoz</t>
  </si>
  <si>
    <t xml:space="preserve">V096</t>
  </si>
  <si>
    <t xml:space="preserve">Mitral Regurgitation: The New 2017 ASE Guidelines. Role of 2D/3D (WILLIAM A. ZOGHBI, MD)</t>
  </si>
  <si>
    <t xml:space="preserve">https://www.youtube.com/watch?v=l8heXKDGcOA</t>
  </si>
  <si>
    <t xml:space="preserve">Houston Methodist DeBakey CV Education</t>
  </si>
  <si>
    <t xml:space="preserve">Ilova katalogi v1 (2026-10-16); Ilovada: Yurak exokardiografiyasi → Mitral regurgitatsiya</t>
  </si>
  <si>
    <t xml:space="preserve">V097</t>
  </si>
  <si>
    <t xml:space="preserve">Echocardiographic Assessment of Aortic Stenosis</t>
  </si>
  <si>
    <t xml:space="preserve">https://www.youtube.com/watch?v=hW9FYG60OUY</t>
  </si>
  <si>
    <t xml:space="preserve">Ilova katalogi v1 (2026-10-16); Ilovada: Yurak exokardiografiyasi → Aortal stenoz</t>
  </si>
  <si>
    <t xml:space="preserve">V098</t>
  </si>
  <si>
    <t xml:space="preserve">Level 1 Video Lecture: Pericardial Effusions and Cardiac Tamponade</t>
  </si>
  <si>
    <t xml:space="preserve">https://www.youtube.com/watch?v=LQGIWOlGW0E</t>
  </si>
  <si>
    <t xml:space="preserve">Richard Fisher</t>
  </si>
  <si>
    <t xml:space="preserve">Ilova katalogi v1 (2026-10-16); Ilovada: Yurak exokardiografiyasi → Perikard suyuqligi va tamponada</t>
  </si>
  <si>
    <t xml:space="preserve">V099</t>
  </si>
  <si>
    <t xml:space="preserve">Anatomy Normal Thyroid Ultrasound Teaching Video Part 1</t>
  </si>
  <si>
    <t xml:space="preserve">https://www.youtube.com/watch?v=qAyRTluQxU8</t>
  </si>
  <si>
    <t xml:space="preserve">drcrutch</t>
  </si>
  <si>
    <t xml:space="preserve">Ilova katalogi v1 (2026-10-16); Ilovada: Qalqonsimon bez → Normal anatomiya</t>
  </si>
  <si>
    <t xml:space="preserve">V100</t>
  </si>
  <si>
    <t xml:space="preserve">Thyroid Ultrasound Probe Positioning | Transducer Placement, Scanning Technique USG</t>
  </si>
  <si>
    <t xml:space="preserve">https://www.youtube.com/watch?v=yGg7Ci88HrQ</t>
  </si>
  <si>
    <t xml:space="preserve">Ilova katalogi v1 (2026-10-16); Ilovada: Qalqonsimon bez → Tekshirish texnikasi</t>
  </si>
  <si>
    <t xml:space="preserve">V101</t>
  </si>
  <si>
    <t xml:space="preserve">06.22.02; 06.22.03</t>
  </si>
  <si>
    <t xml:space="preserve">Thyroid Ultrasound Course</t>
  </si>
  <si>
    <t xml:space="preserve">https://www.youtube.com/watch?v=bwuUR_Z8kb4</t>
  </si>
  <si>
    <t xml:space="preserve">thyroidorg</t>
  </si>
  <si>
    <t xml:space="preserve">Ilova katalogi v1 (2026-10-16); Ilovada: Qalqonsimon bez → To‘liq kurs</t>
  </si>
  <si>
    <t xml:space="preserve">V102</t>
  </si>
  <si>
    <t xml:space="preserve">ACR TIRADS Classification Of Thyroid Nodules Ultrasound | Thyroid Imaging Reporting and Data System</t>
  </si>
  <si>
    <t xml:space="preserve">https://www.youtube.com/watch?v=sA8Sje-Amu0</t>
  </si>
  <si>
    <t xml:space="preserve">Ilova katalogi v1 (2026-10-16); Ilovada: Qalqonsimon bez → Tugunlar: ACR TI-RADS</t>
  </si>
  <si>
    <t xml:space="preserve">V103</t>
  </si>
  <si>
    <t xml:space="preserve">Ultrasound findings of diffuse thyroid diseases</t>
  </si>
  <si>
    <t xml:space="preserve">https://www.youtube.com/watch?v=22qAYGU1Y0o</t>
  </si>
  <si>
    <t xml:space="preserve">Radiology interesting </t>
  </si>
  <si>
    <t xml:space="preserve">Ilova katalogi v1 (2026-10-16); Ilovada: Qalqonsimon bez → Diffuz kasalliklar</t>
  </si>
  <si>
    <t xml:space="preserve">V104</t>
  </si>
  <si>
    <t xml:space="preserve">Ultrasound of Hashimoto’s Thyroiditis</t>
  </si>
  <si>
    <t xml:space="preserve">https://www.youtube.com/watch?v=Q7KWVNuxHDU</t>
  </si>
  <si>
    <t xml:space="preserve">Ilova katalogi v1 (2026-10-16); Ilovada: Qalqonsimon bez → Xashimoto tireoiditi</t>
  </si>
  <si>
    <t xml:space="preserve">V105</t>
  </si>
  <si>
    <t xml:space="preserve">Ultrasound Findings of Graves’ Disease</t>
  </si>
  <si>
    <t xml:space="preserve">https://www.youtube.com/watch?v=L8nAxK3fSpU</t>
  </si>
  <si>
    <t xml:space="preserve">Ilova katalogi v1 (2026-10-16); Ilovada: Qalqonsimon bez → Graves kasalligi</t>
  </si>
  <si>
    <t xml:space="preserve">V106</t>
  </si>
  <si>
    <t xml:space="preserve">Ultrasound Evaluation of the Parathyroid</t>
  </si>
  <si>
    <t xml:space="preserve">https://www.youtube.com/watch?v=CENa72T47j0</t>
  </si>
  <si>
    <t xml:space="preserve">Ilova katalogi v1 (2026-10-16); Ilovada: Qalqonsimon bez → Qalqonsimon oldi bezlari</t>
  </si>
  <si>
    <t xml:space="preserve">V107</t>
  </si>
  <si>
    <t xml:space="preserve">Neck US - Lymph Nodes and Abscesses</t>
  </si>
  <si>
    <t xml:space="preserve">https://www.youtube.com/watch?v=g2_xvYaH7QI</t>
  </si>
  <si>
    <t xml:space="preserve">Ilova katalogi v1 (2026-10-16); Ilovada: Qalqonsimon bez → Bo‘yin limfa tugunlari</t>
  </si>
  <si>
    <t xml:space="preserve">V108</t>
  </si>
  <si>
    <t xml:space="preserve">How to: Performing basic breast ultrasound</t>
  </si>
  <si>
    <t xml:space="preserve">https://www.youtube.com/watch?v=Ooy4tdaxGg0</t>
  </si>
  <si>
    <t xml:space="preserve">Zedu Ultrasound Training Solutions</t>
  </si>
  <si>
    <t xml:space="preserve">Ilova katalogi v1 (2026-10-16); Ilovada: Ko‘krak bezi → Tekshirish texnikasi</t>
  </si>
  <si>
    <t xml:space="preserve">V109</t>
  </si>
  <si>
    <t xml:space="preserve">Breast Ultrasound scanning tips and common pathologies</t>
  </si>
  <si>
    <t xml:space="preserve">https://www.youtube.com/watch?v=BA4K6lfcdAM</t>
  </si>
  <si>
    <t xml:space="preserve">Ilova katalogi v1 (2026-10-16); Ilovada: Ko‘krak bezi → Texnika va keng uchraydigan patologiya</t>
  </si>
  <si>
    <t xml:space="preserve">V110</t>
  </si>
  <si>
    <t xml:space="preserve">Bi-Rads for Ultrasound</t>
  </si>
  <si>
    <t xml:space="preserve">https://www.youtube.com/watch?v=3_7pAMUD588</t>
  </si>
  <si>
    <t xml:space="preserve">Ilova katalogi v1 (2026-10-16); Ilovada: Ko‘krak bezi → BI-RADS tasnifi</t>
  </si>
  <si>
    <t xml:space="preserve">V111</t>
  </si>
  <si>
    <t xml:space="preserve">Breast Cancer Axillary Ultrasound: Find involved nodes</t>
  </si>
  <si>
    <t xml:space="preserve">https://www.youtube.com/watch?v=K3JX3u59UhY</t>
  </si>
  <si>
    <t xml:space="preserve">Breast Cancer School for Patients</t>
  </si>
  <si>
    <t xml:space="preserve">Ilova katalogi v1 (2026-10-16); Ilovada: Ko‘krak bezi → Qo‘ltiq osti limfa tugunlari</t>
  </si>
  <si>
    <t xml:space="preserve">V112</t>
  </si>
  <si>
    <t xml:space="preserve">Fetal Medicine Foundation - Nuchal translucency</t>
  </si>
  <si>
    <t xml:space="preserve">https://www.youtube.com/watch?v=yJs1OxjtPu8</t>
  </si>
  <si>
    <t xml:space="preserve">FMFoundation</t>
  </si>
  <si>
    <t xml:space="preserve">Ilova katalogi v1 (2026-10-16); Ilovada: Homila skriningi → 11–14 hafta: yoqa sohasi (NT)</t>
  </si>
  <si>
    <t xml:space="preserve">V113</t>
  </si>
  <si>
    <t xml:space="preserve">Normal fetal ultrasound biometry</t>
  </si>
  <si>
    <t xml:space="preserve">https://www.youtube.com/watch?v=YCnH12uhPDU</t>
  </si>
  <si>
    <t xml:space="preserve">Ilova katalogi v1 (2026-10-16); Ilovada: Homila skriningi → Homila biometriyasi</t>
  </si>
  <si>
    <t xml:space="preserve">V114</t>
  </si>
  <si>
    <t xml:space="preserve">Scan of the Week: 20 Week Detailed Anomaly Scan</t>
  </si>
  <si>
    <t xml:space="preserve">https://www.youtube.com/watch?v=AltM6ycwADA</t>
  </si>
  <si>
    <t xml:space="preserve">Ultrasound Ireland: Medical, Pregnancy Scans &amp; IVF Fertility Scans</t>
  </si>
  <si>
    <t xml:space="preserve">Ilova katalogi v1 (2026-10-16); Ilovada: Homila skriningi → 20 hafta anomaliya skriningi</t>
  </si>
  <si>
    <t xml:space="preserve">V115</t>
  </si>
  <si>
    <t xml:space="preserve">Fetal Brain Ultrasound Normal Vs Abnormal Image Appearances Comparison | Fetal Brain Pathologies USG</t>
  </si>
  <si>
    <t xml:space="preserve">https://www.youtube.com/watch?v=KKwAIzhnpCA</t>
  </si>
  <si>
    <t xml:space="preserve">Ilova katalogi v1 (2026-10-16); Ilovada: Homila skriningi → Homila bosh miyasi</t>
  </si>
  <si>
    <t xml:space="preserve">V116</t>
  </si>
  <si>
    <t xml:space="preserve">Key screening views of the fetal heart - Part 3 - 4-chamber view</t>
  </si>
  <si>
    <t xml:space="preserve">https://www.youtube.com/watch?v=XTi_JtdnMJM</t>
  </si>
  <si>
    <t xml:space="preserve">Philips Healthcare</t>
  </si>
  <si>
    <t xml:space="preserve">Ilova katalogi v1 (2026-10-16); Ilovada: Homila skriningi → Homila yuragi: to‘rt kamerali kesim</t>
  </si>
  <si>
    <t xml:space="preserve">V117</t>
  </si>
  <si>
    <t xml:space="preserve">TMT: FETAL IMAGING: OUTFLOW TRACTS by Dr Alpana Joshi</t>
  </si>
  <si>
    <t xml:space="preserve">https://www.youtube.com/watch?v=MBXIHbNMIH4</t>
  </si>
  <si>
    <t xml:space="preserve">Indian Radiologist</t>
  </si>
  <si>
    <t xml:space="preserve">Ilova katalogi v1 (2026-10-16); Ilovada: Homila skriningi → Homila yuragi: chiqish yo‘llari</t>
  </si>
  <si>
    <t xml:space="preserve">V118</t>
  </si>
  <si>
    <t xml:space="preserve">The Placenta and Umbilical Cord Ultrasound Video Lecture</t>
  </si>
  <si>
    <t xml:space="preserve">https://www.youtube.com/watch?v=s729yinUGbY</t>
  </si>
  <si>
    <t xml:space="preserve">Ilova katalogi v1 (2026-10-16); Ilovada: Homila skriningi → Yo‘ldosh va kindik</t>
  </si>
  <si>
    <t xml:space="preserve">V119</t>
  </si>
  <si>
    <t xml:space="preserve">Carotid Duplex Interpretations (Zsolt Garami, MD) January 18, 2022</t>
  </si>
  <si>
    <t xml:space="preserve">https://www.youtube.com/watch?v=kK-KIbFOzQw</t>
  </si>
  <si>
    <t xml:space="preserve">Ilova katalogi v1 (2026-10-16); Ilovada: Qon tomir doppleri → Uyqu arteriyalari</t>
  </si>
  <si>
    <t xml:space="preserve">V120</t>
  </si>
  <si>
    <t xml:space="preserve">Normal &amp; Abnormal Patterns of Carotid Doppler</t>
  </si>
  <si>
    <t xml:space="preserve">https://www.youtube.com/watch?v=BWQaxujCQOs</t>
  </si>
  <si>
    <t xml:space="preserve">Mastering &amp; Guidelines in Ultrasound &amp; Echo-Card</t>
  </si>
  <si>
    <t xml:space="preserve">Ilova katalogi v1 (2026-10-16); Ilovada: Qon tomir doppleri → Uyqu arteriyalari: normal va patologik spektr</t>
  </si>
  <si>
    <t xml:space="preserve">V121</t>
  </si>
  <si>
    <t xml:space="preserve">Introduction to the Lower Extremity Venous Doppler Study</t>
  </si>
  <si>
    <t xml:space="preserve">https://www.youtube.com/watch?v=UN4SN43I_6A</t>
  </si>
  <si>
    <t xml:space="preserve">Radiology Residency UM/JMH</t>
  </si>
  <si>
    <t xml:space="preserve">Ilova katalogi v1 (2026-10-16); Ilovada: Qon tomir doppleri → Oyoq venalari: tromboz (DVT)</t>
  </si>
  <si>
    <t xml:space="preserve">V122</t>
  </si>
  <si>
    <t xml:space="preserve">DVT Ultrasound of the Lower Extremities STEP by STEP</t>
  </si>
  <si>
    <t xml:space="preserve">https://www.youtube.com/watch?v=-i6o2uF0r8s</t>
  </si>
  <si>
    <t xml:space="preserve">POCUS 101</t>
  </si>
  <si>
    <t xml:space="preserve">Ilova katalogi v1 (2026-10-16); Ilovada: Qon tomir doppleri → Oyoq venalari: bosqichma-bosqich tekshiruv</t>
  </si>
  <si>
    <t xml:space="preserve">V123</t>
  </si>
  <si>
    <t xml:space="preserve">Lower Extremity Arterial Duplex Anatomy and Protocol</t>
  </si>
  <si>
    <t xml:space="preserve">https://www.youtube.com/watch?v=asGR_FOFljA</t>
  </si>
  <si>
    <t xml:space="preserve">Ilova katalogi v1 (2026-10-16); Ilovada: Qon tomir doppleri → Oyoq arteriyalari</t>
  </si>
  <si>
    <t xml:space="preserve">V124</t>
  </si>
  <si>
    <t xml:space="preserve">Renal Artery Duplex Anatomy, Protocol and Pathology</t>
  </si>
  <si>
    <t xml:space="preserve">https://www.youtube.com/watch?v=KD67TdZK70Q</t>
  </si>
  <si>
    <t xml:space="preserve">Ilova katalogi v1 (2026-10-16); Ilovada: Qon tomir doppleri → Buyrak arteriyalari</t>
  </si>
  <si>
    <t xml:space="preserve">V125</t>
  </si>
  <si>
    <t xml:space="preserve">Liver Doppler Ultrasound</t>
  </si>
  <si>
    <t xml:space="preserve">https://www.youtube.com/watch?v=mOrHMGMVSh4</t>
  </si>
  <si>
    <t xml:space="preserve">Educational Ultrasound Channel</t>
  </si>
  <si>
    <t xml:space="preserve">Ilova katalogi v1 (2026-10-16); Ilovada: Qon tomir doppleri → Jigar tomirlari doppleri</t>
  </si>
  <si>
    <t xml:space="preserve">V126</t>
  </si>
  <si>
    <t xml:space="preserve">An Introduction to Transcranial Doppler</t>
  </si>
  <si>
    <t xml:space="preserve">https://www.youtube.com/watch?v=WP1xj15MjnM</t>
  </si>
  <si>
    <t xml:space="preserve">Ilova katalogi v1 (2026-10-16); Ilovada: Transkranial doppler → Kirish</t>
  </si>
  <si>
    <t xml:space="preserve">V127</t>
  </si>
  <si>
    <t xml:space="preserve">Transcranial Doppler TCD Basics for the Perfusionist - Zsolt Garami, MD</t>
  </si>
  <si>
    <t xml:space="preserve">https://www.youtube.com/watch?v=dLuWKMY8cV8</t>
  </si>
  <si>
    <t xml:space="preserve">PerfWeb</t>
  </si>
  <si>
    <t xml:space="preserve">Ilova katalogi v1 (2026-10-16); Ilovada: Transkranial doppler → Asoslar</t>
  </si>
  <si>
    <t xml:space="preserve">V128</t>
  </si>
  <si>
    <t xml:space="preserve">the complete story [How to do transcranial doppler step by step approach]</t>
  </si>
  <si>
    <t xml:space="preserve">https://www.youtube.com/watch?v=M-X7PIuxHS0</t>
  </si>
  <si>
    <t xml:space="preserve">Walid Shibl</t>
  </si>
  <si>
    <t xml:space="preserve">Ilova katalogi v1 (2026-10-16); Ilovada: Transkranial doppler → Bosqichma-bosqich tekshiruv</t>
  </si>
  <si>
    <t xml:space="preserve">V129</t>
  </si>
  <si>
    <t xml:space="preserve">How to scan a Transcranial Doppler ultrasound exam | Neurosonography</t>
  </si>
  <si>
    <t xml:space="preserve">https://www.youtube.com/watch?v=b3NaWMh6tgQ</t>
  </si>
  <si>
    <t xml:space="preserve">lolgeselle</t>
  </si>
  <si>
    <t xml:space="preserve">Ilova katalogi v1 (2026-10-16); Ilovada: Transkranial doppler → Tekshirish texnikasi</t>
  </si>
  <si>
    <t xml:space="preserve">V130</t>
  </si>
  <si>
    <t xml:space="preserve">Transcranial Doppler Point of Care Ultrasound</t>
  </si>
  <si>
    <t xml:space="preserve">https://www.youtube.com/watch?v=sWR9a3tBZVY</t>
  </si>
  <si>
    <t xml:space="preserve">westernsono</t>
  </si>
  <si>
    <t xml:space="preserve">Ilova katalogi v1 (2026-10-16); Ilovada: Transkranial doppler → Shoshilinch holatlarda (POCUS)</t>
  </si>
  <si>
    <t xml:space="preserve">V131</t>
  </si>
  <si>
    <t xml:space="preserve">A very simple step by step approach to diagnose an acute ischemic stroke by TCCD</t>
  </si>
  <si>
    <t xml:space="preserve">https://www.youtube.com/watch?v=1pkokOa9arg</t>
  </si>
  <si>
    <t xml:space="preserve">Ilova katalogi v1 (2026-10-16); Ilovada: Transkranial doppler → O‘tkir ishemik insult (TCCD)</t>
  </si>
  <si>
    <t xml:space="preserve">V132</t>
  </si>
  <si>
    <t xml:space="preserve">Ultrasound Tutorial: MSK Series: Shoulder / Rotator Cuff | Radiology Nation</t>
  </si>
  <si>
    <t xml:space="preserve">https://www.youtube.com/watch?v=BwSJCkTBN0c</t>
  </si>
  <si>
    <t xml:space="preserve">Radiology Nation</t>
  </si>
  <si>
    <t xml:space="preserve">Ilova katalogi v1 (2026-10-16); Ilovada: Mushak, bo‘g‘im va nerv tizimi → Yelka: rotator manjet</t>
  </si>
  <si>
    <t xml:space="preserve">V133</t>
  </si>
  <si>
    <t xml:space="preserve">SHOULDER: Basic Ultrasound Examination Tutorial</t>
  </si>
  <si>
    <t xml:space="preserve">https://www.youtube.com/watch?v=TCpKWtJ9g9A</t>
  </si>
  <si>
    <t xml:space="preserve">Ilova katalogi v1 (2026-10-16); Ilovada: Mushak, bo‘g‘im va nerv tizimi → Yelka: asosiy tekshiruv</t>
  </si>
  <si>
    <t xml:space="preserve">V134</t>
  </si>
  <si>
    <t xml:space="preserve">Ultrasound of the Knee</t>
  </si>
  <si>
    <t xml:space="preserve">https://www.youtube.com/watch?v=BkBcQBgUdWw</t>
  </si>
  <si>
    <t xml:space="preserve">Ilova katalogi v1 (2026-10-16); Ilovada: Mushak, bo‘g‘im va nerv tizimi → Tizza bo‘g‘imi</t>
  </si>
  <si>
    <t xml:space="preserve">V135</t>
  </si>
  <si>
    <t xml:space="preserve">Baby Hip Ultrasound (Graf method) with Professor Dr. Reinhard Graf</t>
  </si>
  <si>
    <t xml:space="preserve">https://www.youtube.com/watch?v=_rakGya8Y3E</t>
  </si>
  <si>
    <t xml:space="preserve">Dr. Pabinger</t>
  </si>
  <si>
    <t xml:space="preserve">Ilova katalogi v1 (2026-10-16); Ilovada: Mushak, bo‘g‘im va nerv tizimi → Chaqaloq chanoq-son bo‘g‘imi (Graf)</t>
  </si>
  <si>
    <t xml:space="preserve">V136</t>
  </si>
  <si>
    <t xml:space="preserve">Ultrasound Tutorial: MSK Series: Achilles Tendon | Radiology Nation</t>
  </si>
  <si>
    <t xml:space="preserve">https://www.youtube.com/watch?v=DY_RDyZBSL4</t>
  </si>
  <si>
    <t xml:space="preserve">Ilova katalogi v1 (2026-10-16); Ilovada: Mushak, bo‘g‘im va nerv tizimi → Axill payi</t>
  </si>
  <si>
    <t xml:space="preserve">V137</t>
  </si>
  <si>
    <t xml:space="preserve">Ultrasound of Carpal Tunnel Syndrome</t>
  </si>
  <si>
    <t xml:space="preserve">https://www.youtube.com/watch?v=D91jcPrxIJw</t>
  </si>
  <si>
    <t xml:space="preserve">Ilova katalogi v1 (2026-10-16); Ilovada: Mushak, bo‘g‘im va nerv tizimi → Karpal kanal sindromi</t>
  </si>
  <si>
    <t xml:space="preserve">V138</t>
  </si>
  <si>
    <t xml:space="preserve">How to Scan the Upper Extremity Peripheral Nerves  (Ulnar Nerve, Median Nerve and Radial Nerves)</t>
  </si>
  <si>
    <t xml:space="preserve">https://www.youtube.com/watch?v=7KNgLUA587w</t>
  </si>
  <si>
    <t xml:space="preserve">Gulfcoast Ultrasound Institute</t>
  </si>
  <si>
    <t xml:space="preserve">Ilova katalogi v1 (2026-10-16); Ilovada: Mushak, bo‘g‘im va nerv tizimi → Qo‘l nervlari (o‘rta, tirsak, bilak)</t>
  </si>
  <si>
    <t xml:space="preserve">V139</t>
  </si>
  <si>
    <t xml:space="preserve">How can I prepare for my Abdominal or Pelvic Ultrasound?</t>
  </si>
  <si>
    <t xml:space="preserve">https://www.youtube.com/watch?v=eanifUMkxHo</t>
  </si>
  <si>
    <t xml:space="preserve">Klinika (bemorlar uchun)</t>
  </si>
  <si>
    <t xml:space="preserve">Bemor uchun tushuntirish</t>
  </si>
  <si>
    <t xml:space="preserve">V140</t>
  </si>
  <si>
    <t xml:space="preserve">What to Expect From a Female Pelvic Ultrasound Exam</t>
  </si>
  <si>
    <t xml:space="preserve">https://www.youtube.com/watch?v=2B1KRrid-b4</t>
  </si>
  <si>
    <t xml:space="preserve">RAYUS Radiology®</t>
  </si>
  <si>
    <t xml:space="preserve">Radiologiya klinikasi</t>
  </si>
  <si>
    <t xml:space="preserve">V141</t>
  </si>
  <si>
    <t xml:space="preserve">Having a Transvaginal Ultrasound with Queensland X-Ray</t>
  </si>
  <si>
    <t xml:space="preserve">https://www.youtube.com/watch?v=SCnuJpgJaxc</t>
  </si>
  <si>
    <t xml:space="preserve">Queensland X-Ray</t>
  </si>
  <si>
    <t xml:space="preserve">V142</t>
  </si>
  <si>
    <t xml:space="preserve">How to Get Better Transvaginal Ultrasound Images — Positioning Pearls From Dr. Joelle Borhart</t>
  </si>
  <si>
    <t xml:space="preserve">https://www.youtube.com/watch?v=7F86WvNvU3U</t>
  </si>
  <si>
    <t xml:space="preserve">MedStar Emergency Physicians</t>
  </si>
  <si>
    <t xml:space="preserve">Klinika (shoshilinch tibbiyot)</t>
  </si>
  <si>
    <t xml:space="preserve">V143</t>
  </si>
  <si>
    <t xml:space="preserve">Pediatric BachelorClass - Your introduction to pediatric ultrasound</t>
  </si>
  <si>
    <t xml:space="preserve">https://www.youtube.com/watch?v=F3s_Jh29H5w</t>
  </si>
  <si>
    <t xml:space="preserve">123sonography</t>
  </si>
  <si>
    <t xml:space="preserve">Ta’lim markazi (123sonography)</t>
  </si>
  <si>
    <t xml:space="preserve">V144</t>
  </si>
  <si>
    <t xml:space="preserve">Emergent Pediatric Ultrasound</t>
  </si>
  <si>
    <t xml:space="preserve">https://www.youtube.com/watch?v=03aBMNSCuzA</t>
  </si>
  <si>
    <t xml:space="preserve">AIUMultrasound</t>
  </si>
  <si>
    <t xml:space="preserve">V145</t>
  </si>
  <si>
    <t xml:space="preserve">Ultrasound Probe/Transducer Movements and Manipulation Made EASY!</t>
  </si>
  <si>
    <t xml:space="preserve">https://www.youtube.com/watch?v=GhkNXh0m5Nk</t>
  </si>
  <si>
    <t xml:space="preserve">Ta’lim kanali (POCUS 101)</t>
  </si>
  <si>
    <t xml:space="preserve">V146</t>
  </si>
  <si>
    <t xml:space="preserve">Transducer Basic Movements</t>
  </si>
  <si>
    <t xml:space="preserve">https://www.youtube.com/watch?v=2vT6TudpdLs</t>
  </si>
  <si>
    <t xml:space="preserve">Universitet dasturi (Calgary IMUS)</t>
  </si>
  <si>
    <t xml:space="preserve">V147</t>
  </si>
  <si>
    <t xml:space="preserve">Transducer Movements</t>
  </si>
  <si>
    <t xml:space="preserve">https://www.youtube.com/watch?v=r5WvUEPhCfo</t>
  </si>
  <si>
    <t xml:space="preserve">Ishlab chiqaruvchi (Clarius)</t>
  </si>
  <si>
    <t xml:space="preserve">V148</t>
  </si>
  <si>
    <t xml:space="preserve">Ultrasound Probe Orientation, Movements &amp; Planes Explained | Dr. Purvi Agrawal</t>
  </si>
  <si>
    <t xml:space="preserve">https://www.youtube.com/watch?v=upxTXulI7Vw</t>
  </si>
  <si>
    <t xml:space="preserve">Conceptual OBG</t>
  </si>
  <si>
    <t xml:space="preserve">Shaxsiy kanal (akusher-ginekolog)</t>
  </si>
  <si>
    <t xml:space="preserve">V149</t>
  </si>
  <si>
    <t xml:space="preserve">Ultrasound: How to Scan</t>
  </si>
  <si>
    <t xml:space="preserve">https://www.youtube.com/watch?v=AxuGkz78pBA</t>
  </si>
  <si>
    <t xml:space="preserve">Radiology Frameworks</t>
  </si>
  <si>
    <t xml:space="preserve">Ta’lim kanali (Radiology Frameworks)</t>
  </si>
  <si>
    <t xml:space="preserve">V150</t>
  </si>
  <si>
    <t xml:space="preserve">Anatomy of an Ultrasound Image</t>
  </si>
  <si>
    <t xml:space="preserve">https://www.youtube.com/watch?v=MhiAiPvxiUM</t>
  </si>
  <si>
    <t xml:space="preserve">V151</t>
  </si>
  <si>
    <t xml:space="preserve">Ergonomics in Sonography</t>
  </si>
  <si>
    <t xml:space="preserve">https://www.youtube.com/watch?v=v1Sbi4wdMVs</t>
  </si>
  <si>
    <t xml:space="preserve">Ta’lim markazi (Gulfcoast)</t>
  </si>
  <si>
    <t xml:space="preserve">V152</t>
  </si>
  <si>
    <t xml:space="preserve">Scanning Ergonomics and Your Safety: Reducing Sonographers' Risk of Injury</t>
  </si>
  <si>
    <t xml:space="preserve">https://www.youtube.com/watch?v=ZFsYdpEkRRc</t>
  </si>
  <si>
    <t xml:space="preserve">Biodex Rehabilitation</t>
  </si>
  <si>
    <t xml:space="preserve">Ishlab chiqaruvchi (Biodex)</t>
  </si>
  <si>
    <t xml:space="preserve">V153</t>
  </si>
  <si>
    <t xml:space="preserve">How To Avoid Getting Injured as a Sonographer</t>
  </si>
  <si>
    <t xml:space="preserve">https://www.youtube.com/watch?v=gH1EabSgLMk</t>
  </si>
  <si>
    <t xml:space="preserve">The Skilled Sonographer </t>
  </si>
  <si>
    <t xml:space="preserve">Shaxsiy kanal (sonografist)</t>
  </si>
  <si>
    <t xml:space="preserve">V154</t>
  </si>
  <si>
    <t xml:space="preserve">Decoding Ultrasound Language | Understanding Hyperechoic, Hypoechoic, Echogenicity, Isoechoic, and ?</t>
  </si>
  <si>
    <t xml:space="preserve">https://www.youtube.com/watch?v=OBzbE0H9FUM</t>
  </si>
  <si>
    <t xml:space="preserve">Dr Ali Waqar</t>
  </si>
  <si>
    <t xml:space="preserve">V155</t>
  </si>
  <si>
    <t xml:space="preserve">Anechoic vs Hypoechoic vs Hyperechoic Explained (Ultrasound Basics) #ultrasound </t>
  </si>
  <si>
    <t xml:space="preserve">https://www.youtube.com/watch?v=VCq-ZQg6i08</t>
  </si>
  <si>
    <t xml:space="preserve">Ultrasound for Beginners</t>
  </si>
  <si>
    <t xml:space="preserve">V156</t>
  </si>
  <si>
    <t xml:space="preserve">Generalised Hypoechoic and Hyperechoic Differential Diagnosis</t>
  </si>
  <si>
    <t xml:space="preserve">https://www.youtube.com/watch?v=CV3jWuFSHo4</t>
  </si>
  <si>
    <t xml:space="preserve">Ultrasound &amp; Radiology Teaching </t>
  </si>
  <si>
    <t xml:space="preserve">V157</t>
  </si>
  <si>
    <t xml:space="preserve">How to Write a Great Report: Diagnostic Radiologist's Perspective</t>
  </si>
  <si>
    <t xml:space="preserve">https://www.youtube.com/watch?v=TKPTNFeMGTA</t>
  </si>
  <si>
    <t xml:space="preserve">ARRS</t>
  </si>
  <si>
    <t xml:space="preserve">Professional jamiyat (ARRS)</t>
  </si>
  <si>
    <t xml:space="preserve">V158</t>
  </si>
  <si>
    <t xml:space="preserve">Create More Effective Radiology Reports</t>
  </si>
  <si>
    <t xml:space="preserve">https://www.youtube.com/watch?v=jIn1ZDOUY00</t>
  </si>
  <si>
    <t xml:space="preserve">V159</t>
  </si>
  <si>
    <t xml:space="preserve">Liver Ultrasound Reporting | Liver Diseases Scan Reports | How To Write USG Report | Abdominal USG</t>
  </si>
  <si>
    <t xml:space="preserve">https://www.youtube.com/watch?v=3S48hbwkFdg</t>
  </si>
  <si>
    <t xml:space="preserve">V160</t>
  </si>
  <si>
    <t xml:space="preserve">How to write a gynaecology ultrasound report</t>
  </si>
  <si>
    <t xml:space="preserve">https://www.youtube.com/watch?v=3ECCimg6KSE</t>
  </si>
  <si>
    <t xml:space="preserve">Gynaecology Ultrasound</t>
  </si>
  <si>
    <t xml:space="preserve">Ta’lim kanali (ginekologiya)</t>
  </si>
  <si>
    <t xml:space="preserve">V161</t>
  </si>
  <si>
    <t xml:space="preserve">Liver Ultrasound: Using Shear Wave Elastography and Attenuation in diagnosing Fibrosis &amp; Steatosis</t>
  </si>
  <si>
    <t xml:space="preserve">https://www.youtube.com/watch?v=NnoHlaxJhes</t>
  </si>
  <si>
    <t xml:space="preserve">International Society of Liver Ultrasound</t>
  </si>
  <si>
    <t xml:space="preserve">Professional jamiyat</t>
  </si>
  <si>
    <t xml:space="preserve">Taklif: GPT-1 (2026-10-17)</t>
  </si>
  <si>
    <t xml:space="preserve">V162</t>
  </si>
  <si>
    <t xml:space="preserve">Ultasound Troubleshoot The Common Bile Duct CBD</t>
  </si>
  <si>
    <t xml:space="preserve">https://www.youtube.com/watch?v=l_Ef3D9-8jc</t>
  </si>
  <si>
    <t xml:space="preserve">Michael Schick</t>
  </si>
  <si>
    <t xml:space="preserve">Shaxsiy kanal</t>
  </si>
  <si>
    <t xml:space="preserve">V163</t>
  </si>
  <si>
    <t xml:space="preserve">Scanning the Common Bile Duct CBD</t>
  </si>
  <si>
    <t xml:space="preserve">https://www.youtube.com/watch?v=10Tus9CBjG4</t>
  </si>
  <si>
    <t xml:space="preserve">V164</t>
  </si>
  <si>
    <t xml:space="preserve">Renal Transplant Doppler Ultrasound Normal Vs Abnormal Images | Transplant Complication | Kidney USG</t>
  </si>
  <si>
    <t xml:space="preserve">https://www.youtube.com/watch?v=7d4luvgDnnU</t>
  </si>
  <si>
    <t xml:space="preserve">Klinik holatlar</t>
  </si>
  <si>
    <t xml:space="preserve">V165</t>
  </si>
  <si>
    <t xml:space="preserve">Point of Care Ultrasound for Ascites (POCUS)</t>
  </si>
  <si>
    <t xml:space="preserve">https://www.youtube.com/watch?v=4M_mon2ubH0</t>
  </si>
  <si>
    <t xml:space="preserve">Stanford Medicine 25</t>
  </si>
  <si>
    <t xml:space="preserve">Universitet</t>
  </si>
  <si>
    <t xml:space="preserve">V166</t>
  </si>
  <si>
    <t xml:space="preserve">Endometrial Thickness Ultrasound Image Appearances | Endometrium Menstrual Cycle USG Images</t>
  </si>
  <si>
    <t xml:space="preserve">https://www.youtube.com/watch?v=zYUjp9_GHCg</t>
  </si>
  <si>
    <t xml:space="preserve">V167</t>
  </si>
  <si>
    <t xml:space="preserve">Corpus Luteum on Transvaginal Ultrasound</t>
  </si>
  <si>
    <t xml:space="preserve">https://www.youtube.com/watch?v=lkb3nwp_jIE</t>
  </si>
  <si>
    <t xml:space="preserve">Stavros Mousourakis</t>
  </si>
  <si>
    <t xml:space="preserve">Shifokor kanali</t>
  </si>
  <si>
    <t xml:space="preserve">V168</t>
  </si>
  <si>
    <t xml:space="preserve">The ultrasound diagnosis of adenomyosis</t>
  </si>
  <si>
    <t xml:space="preserve">https://www.youtube.com/watch?v=pUDjkNvsfEc</t>
  </si>
  <si>
    <t xml:space="preserve">V169</t>
  </si>
  <si>
    <t xml:space="preserve">Case Review: Ultrasound of Uterine Adenomyosis</t>
  </si>
  <si>
    <t xml:space="preserve">https://www.youtube.com/watch?v=jnrb8dKKHvw</t>
  </si>
  <si>
    <t xml:space="preserve">Ta’lim kanali (Radquarters)</t>
  </si>
  <si>
    <t xml:space="preserve">V170</t>
  </si>
  <si>
    <t xml:space="preserve">Ovary Ultrasound Normal Vs Abnormal Image Appearances | Ovarian Pathologies On USG</t>
  </si>
  <si>
    <t xml:space="preserve">https://www.youtube.com/watch?v=Bg2LHJoIgao</t>
  </si>
  <si>
    <t xml:space="preserve">V171</t>
  </si>
  <si>
    <t xml:space="preserve">Case Review: Ultrasound of Endometrioma</t>
  </si>
  <si>
    <t xml:space="preserve">https://www.youtube.com/watch?v=iRhuwIV6msA</t>
  </si>
  <si>
    <t xml:space="preserve">V172</t>
  </si>
  <si>
    <t xml:space="preserve">Ultrasound Signs for diagnosing adnexal torsion</t>
  </si>
  <si>
    <t xml:space="preserve">https://www.youtube.com/watch?v=sLAIM8GJR3w</t>
  </si>
  <si>
    <t xml:space="preserve">V173</t>
  </si>
  <si>
    <t xml:space="preserve">Systematic approach to sonographic evaluation of the pelvis in women with suspected endometriosis</t>
  </si>
  <si>
    <t xml:space="preserve">https://www.youtube.com/watch?v=Ql7RBhjJ7GE</t>
  </si>
  <si>
    <t xml:space="preserve">ISUOG Team</t>
  </si>
  <si>
    <t xml:space="preserve">Professional jamiyat (ISUOG)</t>
  </si>
  <si>
    <t xml:space="preserve">Ilg‘or</t>
  </si>
  <si>
    <t xml:space="preserve">V174</t>
  </si>
  <si>
    <t xml:space="preserve">Ultrasound of Hydrosalpinx, Pyosalpinx &amp; Tubo-ovarian Abscess</t>
  </si>
  <si>
    <t xml:space="preserve">https://www.youtube.com/watch?v=SLhqztA0E2I</t>
  </si>
  <si>
    <t xml:space="preserve">V175</t>
  </si>
  <si>
    <t xml:space="preserve">Imaging of Pelvic Inflammatory Disease, Part I</t>
  </si>
  <si>
    <t xml:space="preserve">https://www.youtube.com/watch?v=nnpASPO3WxQ</t>
  </si>
  <si>
    <t xml:space="preserve">V176</t>
  </si>
  <si>
    <t xml:space="preserve">IUD position on ultrasound</t>
  </si>
  <si>
    <t xml:space="preserve">https://www.youtube.com/watch?v=y7QZvbPdVC4</t>
  </si>
  <si>
    <t xml:space="preserve">V177</t>
  </si>
  <si>
    <t xml:space="preserve">Ovarian Cysts and Masses in Kids and Teens</t>
  </si>
  <si>
    <t xml:space="preserve">https://www.youtube.com/watch?v=oLmjuV11eTs</t>
  </si>
  <si>
    <t xml:space="preserve">Children's Colorado Pediatric Professionals</t>
  </si>
  <si>
    <t xml:space="preserve">Bolalar kasalxonasi (Children’s Colorado)</t>
  </si>
  <si>
    <t xml:space="preserve">V178</t>
  </si>
  <si>
    <t xml:space="preserve">Pediatric Ovarian Torsion</t>
  </si>
  <si>
    <t xml:space="preserve">https://www.youtube.com/watch?v=R2szHuS-jFc</t>
  </si>
  <si>
    <t xml:space="preserve">P2 Network</t>
  </si>
  <si>
    <t xml:space="preserve">Pediatriya ta’lim tarmog‘i</t>
  </si>
  <si>
    <t xml:space="preserve">V179</t>
  </si>
  <si>
    <t xml:space="preserve">Scrotal Ultrasound Everything You Should Know (part 1)</t>
  </si>
  <si>
    <t xml:space="preserve">https://www.youtube.com/watch?v=DZgK3I78PCA</t>
  </si>
  <si>
    <t xml:space="preserve">Ta’lim kanali (123radiology)</t>
  </si>
  <si>
    <t xml:space="preserve">V180</t>
  </si>
  <si>
    <t xml:space="preserve">Ultrasound of Epididymitis &amp; Orchitis</t>
  </si>
  <si>
    <t xml:space="preserve">https://www.youtube.com/watch?v=xVgVavfHn7I</t>
  </si>
  <si>
    <t xml:space="preserve">V181</t>
  </si>
  <si>
    <t xml:space="preserve">Ultrasound of Acute Epididymo Orchitis by Dr Arjun Kalyanpur</t>
  </si>
  <si>
    <t xml:space="preserve">https://www.youtube.com/watch?v=iVPJ4J4tP3g</t>
  </si>
  <si>
    <t xml:space="preserve">Radiology Teaching By radguru.net</t>
  </si>
  <si>
    <t xml:space="preserve">Shifokor kanali (radiolog)</t>
  </si>
  <si>
    <t xml:space="preserve">V182</t>
  </si>
  <si>
    <t xml:space="preserve">Global Ultrasound Institute:  Orchitis and Epididymitis on Point of Care Ultrasound</t>
  </si>
  <si>
    <t xml:space="preserve">https://www.youtube.com/watch?v=MzIelLQ4Gmo</t>
  </si>
  <si>
    <t xml:space="preserve">Global Ultrasound Institute</t>
  </si>
  <si>
    <t xml:space="preserve">Ta’lim markazi (Global Ultrasound Institute)</t>
  </si>
  <si>
    <t xml:space="preserve">V183</t>
  </si>
  <si>
    <t xml:space="preserve">Ultrasound of Varicocele</t>
  </si>
  <si>
    <t xml:space="preserve">https://www.youtube.com/watch?v=D-0Quvs4aL4</t>
  </si>
  <si>
    <t xml:space="preserve">V184</t>
  </si>
  <si>
    <t xml:space="preserve">04.17.04; 04.17.03</t>
  </si>
  <si>
    <t xml:space="preserve">Scrotal Ultrasound Normal Vs Abnormal Image Appearances | Scrotum, Testis, Epididymis USG Scan</t>
  </si>
  <si>
    <t xml:space="preserve">https://www.youtube.com/watch?v=69gsm1iMGr0</t>
  </si>
  <si>
    <t xml:space="preserve">V185</t>
  </si>
  <si>
    <t xml:space="preserve">Case of the Week: Testicular Epidermoid Cyst (Ultrasound)</t>
  </si>
  <si>
    <t xml:space="preserve">https://www.youtube.com/watch?v=uR_fIjMSmpo</t>
  </si>
  <si>
    <t xml:space="preserve">V186</t>
  </si>
  <si>
    <t xml:space="preserve">Testicular Fracture Ultrasound Findings</t>
  </si>
  <si>
    <t xml:space="preserve">https://www.youtube.com/watch?v=FwL7IKsfjZ0</t>
  </si>
  <si>
    <t xml:space="preserve">Joseph Minardi</t>
  </si>
  <si>
    <t xml:space="preserve">Shifokor kanali (shoshilinch tibbiyot)</t>
  </si>
  <si>
    <t xml:space="preserve">V187</t>
  </si>
  <si>
    <t xml:space="preserve">Bedside Ultrasound in a Case of Blunt Scrotal Trauma 1</t>
  </si>
  <si>
    <t xml:space="preserve">https://www.youtube.com/watch?v=VFsn-LfKCjI</t>
  </si>
  <si>
    <t xml:space="preserve">WestJEM</t>
  </si>
  <si>
    <t xml:space="preserve">Ilmiy jurnal (WestJEM)</t>
  </si>
  <si>
    <t xml:space="preserve">V188</t>
  </si>
  <si>
    <t xml:space="preserve">Bladder and Prostate Ultrasound</t>
  </si>
  <si>
    <t xml:space="preserve">https://www.youtube.com/watch?v=TyuYETb4k_I</t>
  </si>
  <si>
    <t xml:space="preserve">V189</t>
  </si>
  <si>
    <t xml:space="preserve">Prostate Ultrasound Normal Vs Abnormal Image Appearances | Transrectal (TRUS) &amp; Transabdominal USG</t>
  </si>
  <si>
    <t xml:space="preserve">https://www.youtube.com/watch?v=vGKgUPf3A64</t>
  </si>
  <si>
    <t xml:space="preserve">V190</t>
  </si>
  <si>
    <t xml:space="preserve">How to Measure Urinary Bladder and Prostate Volume (Demo For Residents)</t>
  </si>
  <si>
    <t xml:space="preserve">https://www.youtube.com/watch?v=oAoqrEsk5_k</t>
  </si>
  <si>
    <t xml:space="preserve">V191</t>
  </si>
  <si>
    <t xml:space="preserve">Penile Ultrasound in  Erectile Dysfunction</t>
  </si>
  <si>
    <t xml:space="preserve">https://www.youtube.com/watch?v=d23v9RM3GXA</t>
  </si>
  <si>
    <t xml:space="preserve">Ta’lim kanali (Radiology Without Borders)</t>
  </si>
  <si>
    <t xml:space="preserve">V192</t>
  </si>
  <si>
    <t xml:space="preserve">Procedural video shows how to perform in-office Penile Duplex Ultrasound for Erectile Dysfunction</t>
  </si>
  <si>
    <t xml:space="preserve">https://www.youtube.com/watch?v=uts5CNIBuXk</t>
  </si>
  <si>
    <t xml:space="preserve">Omer Raheem MD</t>
  </si>
  <si>
    <t xml:space="preserve">Shifokor kanali (urolog)</t>
  </si>
  <si>
    <t xml:space="preserve">4:25</t>
  </si>
  <si>
    <t xml:space="preserve">V193</t>
  </si>
  <si>
    <t xml:space="preserve">Ultrasound of normal early pregnancy</t>
  </si>
  <si>
    <t xml:space="preserve">https://www.youtube.com/watch?v=kWHAzsYec6o</t>
  </si>
  <si>
    <t xml:space="preserve">V194</t>
  </si>
  <si>
    <t xml:space="preserve">Intrauterine Pregnancy Identification with Point-of-Care Ultrasound (5MS)</t>
  </si>
  <si>
    <t xml:space="preserve">https://www.youtube.com/watch?v=f_GR7AZEDWo</t>
  </si>
  <si>
    <t xml:space="preserve">Ta’lim kanali (Core Ultrasound)</t>
  </si>
  <si>
    <t xml:space="preserve">V195</t>
  </si>
  <si>
    <t xml:space="preserve">Early Pregnancy TVS: Normal Intrauterine Gestation: Yolk Sac, Double Decidual Sac &amp; Corpus Luteum</t>
  </si>
  <si>
    <t xml:space="preserve">https://www.youtube.com/watch?v=lKWYc414iro</t>
  </si>
  <si>
    <t xml:space="preserve">Ultrasound videos</t>
  </si>
  <si>
    <t xml:space="preserve">V196</t>
  </si>
  <si>
    <t xml:space="preserve">Early pregnancy ultrasound explained : GS , YS and FP</t>
  </si>
  <si>
    <t xml:space="preserve">https://www.youtube.com/watch?v=77ArLz9A7yI</t>
  </si>
  <si>
    <t xml:space="preserve">Alaa Elsayed  , M.D.</t>
  </si>
  <si>
    <t xml:space="preserve">V197</t>
  </si>
  <si>
    <t xml:space="preserve">Early Pregnancy Ultrasound: Assessment of Gestational Age | Crown-Rump Length &amp; Biparietal Diameter</t>
  </si>
  <si>
    <t xml:space="preserve">https://www.youtube.com/watch?v=dgk8uNfJnAQ</t>
  </si>
  <si>
    <t xml:space="preserve">Ta’lim platformasi (Medmastery)</t>
  </si>
  <si>
    <t xml:space="preserve">V198</t>
  </si>
  <si>
    <t xml:space="preserve">How To Measure Crown Rump Length (CRL) On Ultrasound | Intrauterine Pregnancy Obstetric USG Scan</t>
  </si>
  <si>
    <t xml:space="preserve">https://www.youtube.com/watch?v=4T39JIOiytw</t>
  </si>
  <si>
    <t xml:space="preserve">V199</t>
  </si>
  <si>
    <t xml:space="preserve">Ultrasound of First Trimester Pregnancy</t>
  </si>
  <si>
    <t xml:space="preserve">https://www.youtube.com/watch?v=b-W_PCM7Tfk</t>
  </si>
  <si>
    <t xml:space="preserve">Universitet (Michigan Medicine)</t>
  </si>
  <si>
    <t xml:space="preserve">V200</t>
  </si>
  <si>
    <t xml:space="preserve">Early Pregnancy Failure, A simplified Ultrasound Approach</t>
  </si>
  <si>
    <t xml:space="preserve">https://www.youtube.com/watch?v=raIclmdJOPo</t>
  </si>
  <si>
    <t xml:space="preserve">V201</t>
  </si>
  <si>
    <t xml:space="preserve">Diagnosing Pregnancy Failure with POCUS</t>
  </si>
  <si>
    <t xml:space="preserve">https://www.youtube.com/watch?v=HAe1cqz3NBs</t>
  </si>
  <si>
    <t xml:space="preserve">Klinika ta’lim seriyasi (MetroHealth)</t>
  </si>
  <si>
    <t xml:space="preserve">V202</t>
  </si>
  <si>
    <t xml:space="preserve">Case Review: Ultrasound of Complete Molar Pregnancy</t>
  </si>
  <si>
    <t xml:space="preserve">https://www.youtube.com/watch?v=V4VuRC5oC8c</t>
  </si>
  <si>
    <t xml:space="preserve">V203</t>
  </si>
  <si>
    <t xml:space="preserve">Molar Pregnancy || Hydatidiform Mole || Gestational Trophoblastic Disease || Ultrasound || Case 38</t>
  </si>
  <si>
    <t xml:space="preserve">https://www.youtube.com/watch?v=0Fa60LWMuPk</t>
  </si>
  <si>
    <t xml:space="preserve">Imaging Study</t>
  </si>
  <si>
    <t xml:space="preserve">V204</t>
  </si>
  <si>
    <t xml:space="preserve">ISUOG Practice Guidelines: performance of 11–14-week ultrasound scan</t>
  </si>
  <si>
    <t xml:space="preserve">https://www.youtube.com/watch?v=uCbcN87colY</t>
  </si>
  <si>
    <t xml:space="preserve">V205</t>
  </si>
  <si>
    <t xml:space="preserve">AIUM Webinar: Systematic Evaluation of the 11-14 Week Fetus, Touching on ISUOG Guidelines</t>
  </si>
  <si>
    <t xml:space="preserve">https://www.youtube.com/watch?v=edk-IFhNPp0</t>
  </si>
  <si>
    <t xml:space="preserve">V206</t>
  </si>
  <si>
    <t xml:space="preserve">Nasal bone assessment and absent nasal bone at 11-13 weeks</t>
  </si>
  <si>
    <t xml:space="preserve">https://www.youtube.com/watch?v=4jsv2ClMV6o</t>
  </si>
  <si>
    <t xml:space="preserve">London Pregnancy Clinic</t>
  </si>
  <si>
    <t xml:space="preserve">Klinika (London Pregnancy Clinic)</t>
  </si>
  <si>
    <t xml:space="preserve">V207</t>
  </si>
  <si>
    <t xml:space="preserve">Fetal Ductus Venosus Doppler Ultrasound Interpretation</t>
  </si>
  <si>
    <t xml:space="preserve">https://www.youtube.com/watch?v=3z53bFanal4</t>
  </si>
  <si>
    <t xml:space="preserve">AAUN Obs and Gynae</t>
  </si>
  <si>
    <t xml:space="preserve">Ta’lim kanali (akusherlik)</t>
  </si>
  <si>
    <t xml:space="preserve">V208</t>
  </si>
  <si>
    <t xml:space="preserve">Fetal tricuspid regurgitation</t>
  </si>
  <si>
    <t xml:space="preserve">https://www.youtube.com/watch?v=cL8aSaXYjuA</t>
  </si>
  <si>
    <t xml:space="preserve">Dr Ashutosh Gupta (Fetal &amp; Genetic Clinic)</t>
  </si>
  <si>
    <t xml:space="preserve">Shifokor kanali (fetal medicine)</t>
  </si>
  <si>
    <t xml:space="preserve">V209</t>
  </si>
  <si>
    <t xml:space="preserve">ISUOG 2020 Karl Oliver Kagan - First trimester anomaly scan</t>
  </si>
  <si>
    <t xml:space="preserve">https://www.youtube.com/watch?v=yTRL5DDVsn0</t>
  </si>
  <si>
    <t xml:space="preserve">Global Medical Business at Canon Inc.</t>
  </si>
  <si>
    <t xml:space="preserve">ISUOG kongressi (Canon kanali)</t>
  </si>
  <si>
    <t xml:space="preserve">V210</t>
  </si>
  <si>
    <t xml:space="preserve">Early Pregnancy Anomaly Scan at 11-13 weeks: ISUOG Approved Course</t>
  </si>
  <si>
    <t xml:space="preserve">https://www.youtube.com/watch?v=ILdHR_ZTt0c</t>
  </si>
  <si>
    <t xml:space="preserve">Klinika (London Pregnancy Clinic), ISUOG tasdiqlagan kurs</t>
  </si>
  <si>
    <t xml:space="preserve">V211</t>
  </si>
  <si>
    <t xml:space="preserve">ISUOG First trimester fetal malformation course 27 February 2022</t>
  </si>
  <si>
    <t xml:space="preserve">https://www.youtube.com/watch?v=j6HKEUrJs0U</t>
  </si>
  <si>
    <t xml:space="preserve">V212</t>
  </si>
  <si>
    <t xml:space="preserve">Fetal Ultrasound in the 2nd Trimester</t>
  </si>
  <si>
    <t xml:space="preserve">https://www.youtube.com/watch?v=-FRkMaG7ok4</t>
  </si>
  <si>
    <t xml:space="preserve">V213</t>
  </si>
  <si>
    <t xml:space="preserve">Fetus Ultrasound , Fetal Biometry, Part4 [ Fetal Weight Estimation ]</t>
  </si>
  <si>
    <t xml:space="preserve">https://www.youtube.com/watch?v=dKS3AFX1cAc</t>
  </si>
  <si>
    <t xml:space="preserve">Sonography_Radiology</t>
  </si>
  <si>
    <t xml:space="preserve">V214</t>
  </si>
  <si>
    <t xml:space="preserve">Fetal Head Ultrasound Normal Vs Abnormal Images | Cloverleaf/Lemon/Strawberry Sign Skull USG</t>
  </si>
  <si>
    <t xml:space="preserve">https://www.youtube.com/watch?v=eSnBj7k4RHI</t>
  </si>
  <si>
    <t xml:space="preserve">V215</t>
  </si>
  <si>
    <t xml:space="preserve">Fetal Spine Ultrasound Normal Vs Abnormal Image Appearances | Spinal Abnormalities | Obstetric USG</t>
  </si>
  <si>
    <t xml:space="preserve">https://www.youtube.com/watch?v=mjA7tOUJDtQ</t>
  </si>
  <si>
    <t xml:space="preserve">V216</t>
  </si>
  <si>
    <t xml:space="preserve">Fetal Face Ultrasound Normal Vs Abnormal Image Appearances | Eye Abnormalities | Obstetric USG</t>
  </si>
  <si>
    <t xml:space="preserve">https://www.youtube.com/watch?v=cRdiTjNfKoc</t>
  </si>
  <si>
    <t xml:space="preserve">V217</t>
  </si>
  <si>
    <t xml:space="preserve">Fetal Kidneys Ultrasound Normal VS Abnormal Image Appearances | Kidney Abnormalities USG | Ob/Gynae</t>
  </si>
  <si>
    <t xml:space="preserve">https://www.youtube.com/watch?v=6EQ7Klt5deY</t>
  </si>
  <si>
    <t xml:space="preserve">V218</t>
  </si>
  <si>
    <t xml:space="preserve">Fetal Bladder Ultrasound Normal Vs Abnormal Images | Genitourinary Tract Abnormalities USG</t>
  </si>
  <si>
    <t xml:space="preserve">https://www.youtube.com/watch?v=CEdkxDrsUl0</t>
  </si>
  <si>
    <t xml:space="preserve">V219</t>
  </si>
  <si>
    <t xml:space="preserve">Ultrasound of Amniotic Fluid</t>
  </si>
  <si>
    <t xml:space="preserve">https://www.youtube.com/watch?v=aonx_SmsNUg</t>
  </si>
  <si>
    <t xml:space="preserve">V220</t>
  </si>
  <si>
    <t xml:space="preserve">How to Measure Cervical Length on Ultrasound? | How to Predict Preterm Labour from Cervical Length?</t>
  </si>
  <si>
    <t xml:space="preserve">https://www.youtube.com/watch?v=S0VT5FIdusM</t>
  </si>
  <si>
    <t xml:space="preserve">V221</t>
  </si>
  <si>
    <t xml:space="preserve">Cervical length measurement - transabdominal/transvaginal ultrasound, management of shortened cervix</t>
  </si>
  <si>
    <t xml:space="preserve">https://www.youtube.com/watch?v=xK2n8FL-FDQ</t>
  </si>
  <si>
    <t xml:space="preserve">Medic Notes</t>
  </si>
  <si>
    <t xml:space="preserve">V222</t>
  </si>
  <si>
    <t xml:space="preserve">What are Chorionicity &amp; Amnionicity? I Dr. Shobha Venkat I Cloudnine Hospital</t>
  </si>
  <si>
    <t xml:space="preserve">https://www.youtube.com/watch?v=uiHuUQAK5aA</t>
  </si>
  <si>
    <t xml:space="preserve">Cloudnine Hospitals</t>
  </si>
  <si>
    <t xml:space="preserve">Kasalxona (Cloudnine)</t>
  </si>
  <si>
    <t xml:space="preserve">V223</t>
  </si>
  <si>
    <t xml:space="preserve">NEW Third trimester obstetric ultrasound ISUOG Practice Guidelines - Asma Khalil - UOG Journal</t>
  </si>
  <si>
    <t xml:space="preserve">https://www.youtube.com/watch?v=8msfDgSs2DQ</t>
  </si>
  <si>
    <t xml:space="preserve">V224</t>
  </si>
  <si>
    <t xml:space="preserve">Fetal Growth Restriction: Clinical Updates</t>
  </si>
  <si>
    <t xml:space="preserve">https://www.youtube.com/watch?v=4kiYVtQRp5Q</t>
  </si>
  <si>
    <t xml:space="preserve">Beth Israel Deaconess Medical Center (BIDMC)</t>
  </si>
  <si>
    <t xml:space="preserve">Universitet kasalxonasi (BIDMC)</t>
  </si>
  <si>
    <t xml:space="preserve">V225</t>
  </si>
  <si>
    <t xml:space="preserve">Obstetric Ultrasound Normal Vs Abnormal Images | Fetal, Placenta, Umbilical Cord Pathologies USG</t>
  </si>
  <si>
    <t xml:space="preserve">https://www.youtube.com/watch?v=mJ1qLENEmCU</t>
  </si>
  <si>
    <t xml:space="preserve">V226</t>
  </si>
  <si>
    <t xml:space="preserve">ISUOG 2020 Fabricio Costa – Uterine artery Doppler technique for pre-eclampsia prediction</t>
  </si>
  <si>
    <t xml:space="preserve">https://www.youtube.com/watch?v=FWCc-4uc4Gg</t>
  </si>
  <si>
    <t xml:space="preserve">V227</t>
  </si>
  <si>
    <t xml:space="preserve">How To Scan The Uterine Artery | Doppler Ultrasound Probe Positioning | Transducer Placement USG</t>
  </si>
  <si>
    <t xml:space="preserve">https://www.youtube.com/watch?v=NAJ8vEHi47g</t>
  </si>
  <si>
    <t xml:space="preserve">V228</t>
  </si>
  <si>
    <t xml:space="preserve">Uterine Artery Spectral Doppler Ultrasound Normal Vs Abnormal Images | Pregnant/Nongravid Uterus USG</t>
  </si>
  <si>
    <t xml:space="preserve">https://www.youtube.com/watch?v=95hfv5CDagk</t>
  </si>
  <si>
    <t xml:space="preserve">V229</t>
  </si>
  <si>
    <t xml:space="preserve">Umbilical Artery Doppler Ultrasound Normal Vs Abnormal Image Appearances | Spectral Doppler USG</t>
  </si>
  <si>
    <t xml:space="preserve">https://www.youtube.com/watch?v=Y0i9aEq3nPI</t>
  </si>
  <si>
    <t xml:space="preserve">V230</t>
  </si>
  <si>
    <t xml:space="preserve">Umbilical Artery Doppler interpretation</t>
  </si>
  <si>
    <t xml:space="preserve">https://www.youtube.com/watch?v=t9Nfrkfx2yY</t>
  </si>
  <si>
    <t xml:space="preserve">V231</t>
  </si>
  <si>
    <t xml:space="preserve">Fetal Middle Cerebral Artery Doppler Ultrasound Normal Vs Abnormal Image Appearances | MCA USG</t>
  </si>
  <si>
    <t xml:space="preserve">https://www.youtube.com/watch?v=mgSbrOJtYF0</t>
  </si>
  <si>
    <t xml:space="preserve">V232</t>
  </si>
  <si>
    <t xml:space="preserve">Middle Cerebral Artery Doppler Ultrasound Interpretation / Ultrasound in Fetal Growth Assessment</t>
  </si>
  <si>
    <t xml:space="preserve">https://www.youtube.com/watch?v=tiyIh86V1w0</t>
  </si>
  <si>
    <t xml:space="preserve">V233</t>
  </si>
  <si>
    <t xml:space="preserve">Fix Your Scan Fridays #3: Brain Sparing Explained – MCA vs Umbilical Artery Doppler &amp; When to Worry</t>
  </si>
  <si>
    <t xml:space="preserve">https://www.youtube.com/watch?v=k4zizDotKGY</t>
  </si>
  <si>
    <t xml:space="preserve">Panorama Scan</t>
  </si>
  <si>
    <t xml:space="preserve">Klinika (Panorama Scan)</t>
  </si>
  <si>
    <t xml:space="preserve">V234</t>
  </si>
  <si>
    <t xml:space="preserve">Placental Dysfunction and Fetal Growth Restriction: Getting Ahead of the Game</t>
  </si>
  <si>
    <t xml:space="preserve">https://www.youtube.com/watch?v=uJNNdtixjaI</t>
  </si>
  <si>
    <t xml:space="preserve">Johns Hopkins Medicine</t>
  </si>
  <si>
    <t xml:space="preserve">Universitet (Johns Hopkins Medicine)</t>
  </si>
  <si>
    <t xml:space="preserve">V235</t>
  </si>
  <si>
    <t xml:space="preserve">05.21.02; 05.21.03</t>
  </si>
  <si>
    <t xml:space="preserve">Obstetric Doppler Made Easy</t>
  </si>
  <si>
    <t xml:space="preserve">https://www.youtube.com/watch?v=5fdcofNDsnc</t>
  </si>
  <si>
    <t xml:space="preserve">V236</t>
  </si>
  <si>
    <t xml:space="preserve">Obstetric Doppler - How I Do It | Dr Alpana Joshi | UMBILICAL ARTERY DOPPLER | MCA PI |</t>
  </si>
  <si>
    <t xml:space="preserve">https://www.youtube.com/watch?v=S3hdw5ps9Y4</t>
  </si>
  <si>
    <t xml:space="preserve">V237</t>
  </si>
  <si>
    <t xml:space="preserve">Amniotic Fluid Assessment - Ultrasound Scanning Technique</t>
  </si>
  <si>
    <t xml:space="preserve">https://www.youtube.com/watch?v=f_rImBA5p0o</t>
  </si>
  <si>
    <t xml:space="preserve">V238</t>
  </si>
  <si>
    <t xml:space="preserve">Third Trimester Deepest Vertical Pocket</t>
  </si>
  <si>
    <t xml:space="preserve">https://www.youtube.com/watch?v=xZ0XGDjMP-Y</t>
  </si>
  <si>
    <t xml:space="preserve">V239</t>
  </si>
  <si>
    <t xml:space="preserve">Assessment of Fetal Wellbeing | Ultrasound</t>
  </si>
  <si>
    <t xml:space="preserve">https://www.youtube.com/watch?v=H4pFkouRNQU</t>
  </si>
  <si>
    <t xml:space="preserve">sqadia.com</t>
  </si>
  <si>
    <t xml:space="preserve">Ta’lim platformasi (sqadia)</t>
  </si>
  <si>
    <t xml:space="preserve">V240</t>
  </si>
  <si>
    <t xml:space="preserve">sFGR in Monochorionic Twins ~ Dr  Nitin Chaubal</t>
  </si>
  <si>
    <t xml:space="preserve">https://www.youtube.com/watch?v=tY8LfQZix6c</t>
  </si>
  <si>
    <t xml:space="preserve">Society of Fetal Medicine</t>
  </si>
  <si>
    <t xml:space="preserve">Professional jamiyat (Society of Fetal Medicine)</t>
  </si>
  <si>
    <t xml:space="preserve">V241</t>
  </si>
  <si>
    <t xml:space="preserve">Twin to Twin Transfusion Syndrome</t>
  </si>
  <si>
    <t xml:space="preserve">https://www.youtube.com/watch?v=LwsIsm4LVlA</t>
  </si>
  <si>
    <t xml:space="preserve">University Hospitals</t>
  </si>
  <si>
    <t xml:space="preserve">Kasalxona (University Hospitals)</t>
  </si>
  <si>
    <t xml:space="preserve">V242</t>
  </si>
  <si>
    <t xml:space="preserve">Monochorionic Twin Pregnancies:  Complications other than TTTS.</t>
  </si>
  <si>
    <t xml:space="preserve">https://www.youtube.com/watch?v=rHw1juJvsOo</t>
  </si>
  <si>
    <t xml:space="preserve">The TAPS Support Foundation</t>
  </si>
  <si>
    <t xml:space="preserve">Bemorlar jamg‘armasi (TAPS Support Foundation)</t>
  </si>
  <si>
    <t xml:space="preserve">V243</t>
  </si>
  <si>
    <t xml:space="preserve">3D/4D Workshop: Practical application of volume ultrasound in fetal medicine</t>
  </si>
  <si>
    <t xml:space="preserve">https://www.youtube.com/watch?v=Pg1ZNXv8_Jo</t>
  </si>
  <si>
    <t xml:space="preserve">Praenatal-Zuerich.ch</t>
  </si>
  <si>
    <t xml:space="preserve">Klinika (Praenatal-Zuerich)</t>
  </si>
  <si>
    <t xml:space="preserve">V244</t>
  </si>
  <si>
    <t xml:space="preserve">Thyroid Ultrasound Guided FNA</t>
  </si>
  <si>
    <t xml:space="preserve">https://www.youtube.com/watch?v=58pckPHl5ss</t>
  </si>
  <si>
    <t xml:space="preserve">Richard Harding, MD, FACS</t>
  </si>
  <si>
    <t xml:space="preserve">Shifokor kanali (endokrin jarroh)</t>
  </si>
  <si>
    <t xml:space="preserve">V245</t>
  </si>
  <si>
    <t xml:space="preserve">Thyroid sampling via fine needle aspiration (english version)</t>
  </si>
  <si>
    <t xml:space="preserve">https://www.youtube.com/watch?v=VYqv6z9M3qk</t>
  </si>
  <si>
    <t xml:space="preserve">OPASRH</t>
  </si>
  <si>
    <t xml:space="preserve">Ta’lim kanali (OPASRH)</t>
  </si>
  <si>
    <t xml:space="preserve">V246</t>
  </si>
  <si>
    <t xml:space="preserve">Breast Ultrasound - normal anatomy</t>
  </si>
  <si>
    <t xml:space="preserve">https://www.youtube.com/watch?v=-QlMiyUl1nQ</t>
  </si>
  <si>
    <t xml:space="preserve">Radiology Assistant</t>
  </si>
  <si>
    <t xml:space="preserve">Ta’lim markazi (Radiology Assistant)</t>
  </si>
  <si>
    <t xml:space="preserve">V247</t>
  </si>
  <si>
    <t xml:space="preserve">Breast Ultrasound Indications Technique Normal Anatomy</t>
  </si>
  <si>
    <t xml:space="preserve">https://www.youtube.com/watch?v=ZvVwU57osa4</t>
  </si>
  <si>
    <t xml:space="preserve">V248</t>
  </si>
  <si>
    <t xml:space="preserve">Breast Ultrasound Probe Positioning | Sagittal, Radial Views &amp; Clock System USG Transducer Placement</t>
  </si>
  <si>
    <t xml:space="preserve">https://www.youtube.com/watch?v=Hlb-rO_dc8s</t>
  </si>
  <si>
    <t xml:space="preserve">V249</t>
  </si>
  <si>
    <t xml:space="preserve">06.23.03; 06.23.05</t>
  </si>
  <si>
    <t xml:space="preserve">Breast Ultrasound Normal Vs Abnormal Image Appearances Comparison | BI-RADS Classification USG</t>
  </si>
  <si>
    <t xml:space="preserve">https://www.youtube.com/watch?v=x_oYxvyv11s</t>
  </si>
  <si>
    <t xml:space="preserve">V250</t>
  </si>
  <si>
    <t xml:space="preserve">Ultrasound showing Periductal Mastitis</t>
  </si>
  <si>
    <t xml:space="preserve">https://www.youtube.com/watch?v=hOuvpubuSaw</t>
  </si>
  <si>
    <t xml:space="preserve">Ultrasound Daily Cases</t>
  </si>
  <si>
    <t xml:space="preserve">Ta’lim kanali (klinik holatlar)</t>
  </si>
  <si>
    <t xml:space="preserve">V251</t>
  </si>
  <si>
    <t xml:space="preserve">Mastitis &amp; Breast Abscess | High Yield FMGE Topic</t>
  </si>
  <si>
    <t xml:space="preserve">https://www.youtube.com/watch?v=4tPKM69ZMHE</t>
  </si>
  <si>
    <t xml:space="preserve">Cerebellum Academy</t>
  </si>
  <si>
    <t xml:space="preserve">6:30</t>
  </si>
  <si>
    <t xml:space="preserve">V252</t>
  </si>
  <si>
    <t xml:space="preserve">Ultrasound Protocol Breast Implants</t>
  </si>
  <si>
    <t xml:space="preserve">https://www.youtube.com/watch?v=VuaIfoh8Ptc</t>
  </si>
  <si>
    <t xml:space="preserve">5:50</t>
  </si>
  <si>
    <t xml:space="preserve">V253</t>
  </si>
  <si>
    <t xml:space="preserve">Ultrasound of the Salivary Glands | The Complete Guide</t>
  </si>
  <si>
    <t xml:space="preserve">https://www.youtube.com/watch?v=FCz-gDAicd8</t>
  </si>
  <si>
    <t xml:space="preserve">Sonography Minutes</t>
  </si>
  <si>
    <t xml:space="preserve">Ta’lim kanali (Sonography Minutes)</t>
  </si>
  <si>
    <t xml:space="preserve">V254</t>
  </si>
  <si>
    <t xml:space="preserve">Ultrasound of Submandibular Sialolithiasis (Salivary Stones)</t>
  </si>
  <si>
    <t xml:space="preserve">https://www.youtube.com/watch?v=hEq1Y8Pm3fg</t>
  </si>
  <si>
    <t xml:space="preserve">V255</t>
  </si>
  <si>
    <t xml:space="preserve">Ultrasound of Pleomorphic Adenoma of the Parotid Gland</t>
  </si>
  <si>
    <t xml:space="preserve">https://www.youtube.com/watch?v=FcDaoIzxgcM</t>
  </si>
  <si>
    <t xml:space="preserve">V256</t>
  </si>
  <si>
    <t xml:space="preserve">1. Lymph node anatomy, physiology &amp; normal ultrasound appearance</t>
  </si>
  <si>
    <t xml:space="preserve">https://www.youtube.com/watch?v=hWXD8EeJo6s</t>
  </si>
  <si>
    <t xml:space="preserve">Ta’lim kanali (Sononerds)</t>
  </si>
  <si>
    <t xml:space="preserve">V257</t>
  </si>
  <si>
    <t xml:space="preserve">New #UOGJournal video on the terms &amp; deﬁnitions to describe the sonographic features of lymph nodes</t>
  </si>
  <si>
    <t xml:space="preserve">https://www.youtube.com/watch?v=UWwkysQdNIU</t>
  </si>
  <si>
    <t xml:space="preserve">V258</t>
  </si>
  <si>
    <t xml:space="preserve">Ultrasound of Cervical Lymph Nodes</t>
  </si>
  <si>
    <t xml:space="preserve">https://www.youtube.com/watch?v=4z6I3yGVS-M</t>
  </si>
  <si>
    <t xml:space="preserve">V259</t>
  </si>
  <si>
    <t xml:space="preserve">Introduction to Soft Tissue Ultrasound</t>
  </si>
  <si>
    <t xml:space="preserve">https://www.youtube.com/watch?v=LBgLEM2jm-c</t>
  </si>
  <si>
    <t xml:space="preserve">V260</t>
  </si>
  <si>
    <t xml:space="preserve">Soft Tissue Ultrasound: Lumps &amp; Bumps</t>
  </si>
  <si>
    <t xml:space="preserve">https://www.youtube.com/watch?v=X-e_WsgWjUU</t>
  </si>
  <si>
    <t xml:space="preserve">V261</t>
  </si>
  <si>
    <t xml:space="preserve">Ultrasound of Epidermal Inclusion Cyst</t>
  </si>
  <si>
    <t xml:space="preserve">https://www.youtube.com/watch?v=mEJU6T0Ac2c</t>
  </si>
  <si>
    <t xml:space="preserve">V262</t>
  </si>
  <si>
    <t xml:space="preserve">Ultrasound of Retinal vs Vitreous Detachment</t>
  </si>
  <si>
    <t xml:space="preserve">https://www.youtube.com/watch?v=gNLTZipajwM</t>
  </si>
  <si>
    <t xml:space="preserve">Ta’lim kanali (EM:RAP)</t>
  </si>
  <si>
    <t xml:space="preserve">V263</t>
  </si>
  <si>
    <t xml:space="preserve">Ocular Ultrasound: Retinal Detachment</t>
  </si>
  <si>
    <t xml:space="preserve">https://www.youtube.com/watch?v=PAJ5UomIm4w</t>
  </si>
  <si>
    <t xml:space="preserve">ALiEM Educational Videos</t>
  </si>
  <si>
    <t xml:space="preserve">Ta’lim kanali (ALiEM)</t>
  </si>
  <si>
    <t xml:space="preserve">V264</t>
  </si>
  <si>
    <t xml:space="preserve">Identifying Retinal Detachment with POCUS</t>
  </si>
  <si>
    <t xml:space="preserve">https://www.youtube.com/watch?v=RmxR883d7DQ</t>
  </si>
  <si>
    <t xml:space="preserve">V265</t>
  </si>
  <si>
    <t xml:space="preserve">Superficial vein thrombosis - Ultrasound</t>
  </si>
  <si>
    <t xml:space="preserve">https://www.youtube.com/watch?v=mWFupi4YOBA</t>
  </si>
  <si>
    <t xml:space="preserve">E-learn Radiology</t>
  </si>
  <si>
    <t xml:space="preserve">V266</t>
  </si>
  <si>
    <t xml:space="preserve">Pseudoaneurysm Sonography</t>
  </si>
  <si>
    <t xml:space="preserve">https://www.youtube.com/watch?v=I2vhPP1VgkA</t>
  </si>
  <si>
    <t xml:space="preserve">Ta’lim kanali (Sonographic Tendencies)</t>
  </si>
  <si>
    <t xml:space="preserve">V267</t>
  </si>
  <si>
    <t xml:space="preserve">Using 2D and colour ultrasound to assess dialysis fistulas</t>
  </si>
  <si>
    <t xml:space="preserve">https://www.youtube.com/watch?v=ADQxr0da_yk</t>
  </si>
  <si>
    <t xml:space="preserve">V268</t>
  </si>
  <si>
    <t xml:space="preserve">Vascular ultrasound basics</t>
  </si>
  <si>
    <t xml:space="preserve">https://www.youtube.com/watch?v=ihXKv9qqbZw</t>
  </si>
  <si>
    <t xml:space="preserve">ABC Vascular Ultrasound</t>
  </si>
  <si>
    <t xml:space="preserve">Ta’lim kanali (ABC Vascular Ultrasound)</t>
  </si>
  <si>
    <t xml:space="preserve">V269</t>
  </si>
  <si>
    <t xml:space="preserve">Vascular Imaging Webinar Series: Physics, Knobology, And Hemodynamics</t>
  </si>
  <si>
    <t xml:space="preserve">https://www.youtube.com/watch?v=X739XUv0xkE</t>
  </si>
  <si>
    <t xml:space="preserve">PAHO TV</t>
  </si>
  <si>
    <t xml:space="preserve">Xalqaro tashkilot (PAHO / JSST)</t>
  </si>
  <si>
    <t xml:space="preserve">V270</t>
  </si>
  <si>
    <t xml:space="preserve">Monophasic, Biphasic &amp; Triphasic Spectral Doppler Waveforms | Vascular Ultrasound Analysis (USG)</t>
  </si>
  <si>
    <t xml:space="preserve">https://www.youtube.com/watch?v=IaejYqKM6mI</t>
  </si>
  <si>
    <t xml:space="preserve">V271</t>
  </si>
  <si>
    <t xml:space="preserve">Vertebral Arteries &amp; Subclavian Steal: Here's the Breakdown You Need by an Ultrasound Tech</t>
  </si>
  <si>
    <t xml:space="preserve">https://www.youtube.com/watch?v=TeGAC9MoZow</t>
  </si>
  <si>
    <t xml:space="preserve">Path2Passing </t>
  </si>
  <si>
    <t xml:space="preserve">V272</t>
  </si>
  <si>
    <t xml:space="preserve">Duplex Scanning of the Subclavian Veins and Arteries (September 2018)</t>
  </si>
  <si>
    <t xml:space="preserve">https://www.youtube.com/watch?v=VYhlgQu-JOI</t>
  </si>
  <si>
    <t xml:space="preserve">Intersocietal Accreditation Commission</t>
  </si>
  <si>
    <t xml:space="preserve">Akkreditatsiya tashkiloti (IAC)</t>
  </si>
  <si>
    <t xml:space="preserve">V273</t>
  </si>
  <si>
    <t xml:space="preserve">IAC Carotid Stenosis Diagnostic Criteria: A Discussion with Dr. Heather Gornik</t>
  </si>
  <si>
    <t xml:space="preserve">https://www.youtube.com/watch?v=pXjCmheNuug</t>
  </si>
  <si>
    <t xml:space="preserve">V274</t>
  </si>
  <si>
    <t xml:space="preserve">Identifying carotid artery disease with ultrasound</t>
  </si>
  <si>
    <t xml:space="preserve">https://www.youtube.com/watch?v=66KjiicFGL4</t>
  </si>
  <si>
    <t xml:space="preserve">V275</t>
  </si>
  <si>
    <t xml:space="preserve">Vascular Imaging Webinar Series: DVT And Venous Insufficiency</t>
  </si>
  <si>
    <t xml:space="preserve">https://www.youtube.com/watch?v=KLt-sO1G74A</t>
  </si>
  <si>
    <t xml:space="preserve">V276</t>
  </si>
  <si>
    <t xml:space="preserve">Part 1: Varicose veins ultrasound assessment: GSV anatomy assessment</t>
  </si>
  <si>
    <t xml:space="preserve">https://www.youtube.com/watch?v=n5HblR27soE</t>
  </si>
  <si>
    <t xml:space="preserve">V277</t>
  </si>
  <si>
    <t xml:space="preserve">Part 3: Primary varicose veins of the great saphenous vein. Saphenofemoral junction reflux test</t>
  </si>
  <si>
    <t xml:space="preserve">https://www.youtube.com/watch?v=QFDDU7lpsuA</t>
  </si>
  <si>
    <t xml:space="preserve">V278</t>
  </si>
  <si>
    <t xml:space="preserve">Ultrasound and Venous Insufficiency (Ulises Baltazar, MD and William Marston, MD) October 28, 2020</t>
  </si>
  <si>
    <t xml:space="preserve">https://www.youtube.com/watch?v=JwIWZuq5o14</t>
  </si>
  <si>
    <t xml:space="preserve">Kasalxona (Houston Methodist)</t>
  </si>
  <si>
    <t xml:space="preserve">V279</t>
  </si>
  <si>
    <t xml:space="preserve">Aorta Duplex (Doppler) Protocol</t>
  </si>
  <si>
    <t xml:space="preserve">https://www.youtube.com/watch?v=0fwT622SLB8</t>
  </si>
  <si>
    <t xml:space="preserve">V280</t>
  </si>
  <si>
    <t xml:space="preserve">POCUS: Differentiating the Aorta and IVC</t>
  </si>
  <si>
    <t xml:space="preserve">https://www.youtube.com/watch?v=QaQNYFjvKxs</t>
  </si>
  <si>
    <t xml:space="preserve">POCUS Certification Academy</t>
  </si>
  <si>
    <t xml:space="preserve">Ta’lim kanali (POCUS)</t>
  </si>
  <si>
    <t xml:space="preserve">V281</t>
  </si>
  <si>
    <t xml:space="preserve">How to Scan the Abdominal Aorta with Ultrasound</t>
  </si>
  <si>
    <t xml:space="preserve">https://www.youtube.com/watch?v=fyegmq-hMhI</t>
  </si>
  <si>
    <t xml:space="preserve">Ishlab chiqaruvchi (GE HealthCare)</t>
  </si>
  <si>
    <t xml:space="preserve">V282</t>
  </si>
  <si>
    <t xml:space="preserve">Renal/Kidney Transplant Duplex Protocol</t>
  </si>
  <si>
    <t xml:space="preserve">https://www.youtube.com/watch?v=KGFphcefwXA</t>
  </si>
  <si>
    <t xml:space="preserve">V283</t>
  </si>
  <si>
    <t xml:space="preserve">Ultrasound of Renal Transplant Vascular Complications: What to Know</t>
  </si>
  <si>
    <t xml:space="preserve">https://www.youtube.com/watch?v=eNsLjk2fJxc</t>
  </si>
  <si>
    <t xml:space="preserve">Qidiruvdagi ma’lumot</t>
  </si>
  <si>
    <t xml:space="preserve">Muammo</t>
  </si>
  <si>
    <t xml:space="preserve">Qaror</t>
  </si>
  <si>
    <t xml:space="preserve">https://www.youtube.com/watch?v=bynlxFY8R_I</t>
  </si>
  <si>
    <t xml:space="preserve">Qidiruvda: “Unit 24: Patient Safety &amp; Bioeffects Sononerds Physics”</t>
  </si>
  <si>
    <t xml:space="preserve">Sahifa boshqa videoni berdi: “Ultrasound Reflection &amp; Refraction Explained” (Ultrasound for Beginners)</t>
  </si>
  <si>
    <t xml:space="preserve">Ziddiyat — qo‘lda tekshirish kerak</t>
  </si>
  <si>
    <t xml:space="preserve">https://www.youtube.com/watch?v=EwoohZ4dHZc</t>
  </si>
  <si>
    <t xml:space="preserve">Qidiruvda: “Ultrasound Physics with Sononerds Unit 15a”</t>
  </si>
  <si>
    <t xml:space="preserve">Sahifa “Unit 19: Doppler Physics” metadatasini berdi</t>
  </si>
  <si>
    <t xml:space="preserve">https://www.youtube.com/watch?v=BBvS4uwNF5U</t>
  </si>
  <si>
    <t xml:space="preserve">Qidiruvda: “Ultrasound Physics - Angle Correction for Doppler”</t>
  </si>
  <si>
    <t xml:space="preserve">Sahifa “Sononerds Unit 6b” metadatasini berdi</t>
  </si>
  <si>
    <t xml:space="preserve">https://www.youtube.com/watch?v=Fz2-LSMEov0</t>
  </si>
  <si>
    <t xml:space="preserve">Qidiruvda: “Disinfection of Ultrasound Devices”</t>
  </si>
  <si>
    <t xml:space="preserve">Sahifa “Proper POCUS Cleaning and Disinfection” (V-katalogda bor) ni berdi</t>
  </si>
  <si>
    <t xml:space="preserve">https://www.youtube.com/watch?v=xMHvz-43Fdk</t>
  </si>
  <si>
    <t xml:space="preserve">10 Ultrasound Artifacts That Can Improve Your Diagnosis! (VetImageLab, 2025-03-01)</t>
  </si>
  <si>
    <t xml:space="preserve">Veterinariya kanali</t>
  </si>
  <si>
    <t xml:space="preserve">Rad etildi — mavzuga mos emas</t>
  </si>
  <si>
    <t xml:space="preserve">https://www.youtube.com/watch?v=vRC-Mbj2gI0</t>
  </si>
  <si>
    <t xml:space="preserve">Ultrasound Physics Part 5 | ACOUSTIC IMPEDANCE (Sonographer Central, 2026-09-15)</t>
  </si>
  <si>
    <t xml:space="preserve">Yangi kanal, ishonchliligi noma’lum</t>
  </si>
  <si>
    <t xml:space="preserve">Zaxira</t>
  </si>
  <si>
    <t xml:space="preserve">https://www.youtube.com/watch?v=cMwLknD6ZMA</t>
  </si>
  <si>
    <t xml:space="preserve">Ultrasound Artifacts Explained (Circus of Physics, 2026-03-17)</t>
  </si>
  <si>
    <t xml:space="preserve">Umumiy fizika kanali, tibbiy ishonchliligi noma’lum</t>
  </si>
  <si>
    <t xml:space="preserve">https://www.youtube.com/watch?v=DNPx-XrdCuQ</t>
  </si>
  <si>
    <t xml:space="preserve">Ultrasound Training General Pediatric Protocols and the Abdomen</t>
  </si>
  <si>
    <t xml:space="preserve">oEmbed 401: yopiq yoki joylashtirish taqiqlangan</t>
  </si>
  <si>
    <t xml:space="preserve">Rad etildi</t>
  </si>
  <si>
    <t xml:space="preserve">https://www.youtube.com/watch?v=CVIUh9LKl78</t>
  </si>
  <si>
    <t xml:space="preserve">Introduction to ObGyn Ultrasound - Image Orientation</t>
  </si>
  <si>
    <t xml:space="preserve">oEmbed 403: yopiq</t>
  </si>
  <si>
    <t xml:space="preserve">https://www.youtube.com/watch?v=ahMemzGlSRQ</t>
  </si>
  <si>
    <t xml:space="preserve">Do’s and Don’ts of Ultrasound Ergonomics (BB Imaging)</t>
  </si>
  <si>
    <t xml:space="preserve">Serverda o‘ynamadi</t>
  </si>
  <si>
    <t xml:space="preserve">https://www.youtube.com/watch?v=iqi43TKHuVY</t>
  </si>
  <si>
    <t xml:space="preserve">A Brief Introduction to Ultrasound Measurement (Mobius Institute)</t>
  </si>
  <si>
    <t xml:space="preserve">Sanoat ultratovushi (tibbiy emas)</t>
  </si>
  <si>
    <t xml:space="preserve">https://www.youtube.com/watch?v=Ktj83BMnaoM</t>
  </si>
  <si>
    <t xml:space="preserve">Ultrasound Probe Orientation, Movements &amp; Planes Explained (eConceptual)</t>
  </si>
  <si>
    <t xml:space="preserve">upxTXulI7Vw bilan bir xil dars, boshqa kanalda</t>
  </si>
  <si>
    <t xml:space="preserve">Takroriy</t>
  </si>
  <si>
    <t xml:space="preserve">https://www.youtube.com/watch?v=u-gS07N-hV0</t>
  </si>
  <si>
    <t xml:space="preserve">Sonographer answers IMPORTANT ultrasound questions (lolgeselle)</t>
  </si>
  <si>
    <t xml:space="preserve">Umumiy savol-javob, mundarija mavzusiga aniq tegmaydi</t>
  </si>
  <si>
    <t xml:space="preserve">Server: “This video is not available” (oEmbed 401 yoki o‘ynamaydi)</t>
  </si>
  <si>
    <t xml:space="preserve">Ilovadan olib tashlandi</t>
  </si>
  <si>
    <t xml:space="preserve">https://www.youtube.com/watch?v=rXJlIqMys04</t>
  </si>
  <si>
    <t xml:space="preserve">Ultrasound of the Pancreas (GPT taklifi)</t>
  </si>
  <si>
    <t xml:space="preserve">https://www.youtube.com/watch?v=TQW8TUirVHA</t>
  </si>
  <si>
    <t xml:space="preserve">The New SRU Consensus of Routine Pelvis Ultrasound for Endometriosis</t>
  </si>
  <si>
    <t xml:space="preserve">https://www.youtube.com/watch?v=DcfhBvF1wYQ</t>
  </si>
  <si>
    <t xml:space="preserve">The ABCiDEa of how to diagnose endometriosis on pelvic ultrasound 2019</t>
  </si>
  <si>
    <t xml:space="preserve">16.7 da 3 ta dars yetarli</t>
  </si>
  <si>
    <t xml:space="preserve">https://www.youtube.com/watch?v=QL404TsHKvs</t>
  </si>
  <si>
    <t xml:space="preserve">Penile Doppler Explained: Normal Study vs Arterial Insufficiency and Venous Leak</t>
  </si>
  <si>
    <t xml:space="preserve">17.9 da 2 ta dars yetarli; kanal noma’lum</t>
  </si>
  <si>
    <t xml:space="preserve">https://www.youtube.com/watch?v=vw9xRBwzzxg</t>
  </si>
  <si>
    <t xml:space="preserve">Ultrasound Correct Crown Rump Length (CRL) measurement</t>
  </si>
  <si>
    <t xml:space="preserve">oEmbed 401</t>
  </si>
  <si>
    <t xml:space="preserve">https://www.youtube.com/watch?v=TaSSS4Fsi5o</t>
  </si>
  <si>
    <t xml:space="preserve">Ultrasound Training: Assessment of Fetal Growth and High-Risk Pregnancies</t>
  </si>
  <si>
    <t xml:space="preserve">https://www.youtube.com/watch?v=iEWhdk598aM</t>
  </si>
  <si>
    <t xml:space="preserve">Ultrasound of fetal anomalies of urinary tract</t>
  </si>
  <si>
    <t xml:space="preserve">https://www.youtube.com/watch?v=yii4FkVbrTc</t>
  </si>
  <si>
    <t xml:space="preserve">Twin Pregnancy Ultrasound: Lambda vs. T Sign Explained</t>
  </si>
  <si>
    <t xml:space="preserve">oEmbed 403</t>
  </si>
  <si>
    <t xml:space="preserve">https://www.youtube.com/watch?v=TfrPtbu7FX0</t>
  </si>
  <si>
    <t xml:space="preserve">Middle cerebral artery (MCA) peak systolic velocity Measurement</t>
  </si>
  <si>
    <t xml:space="preserve">oEmbed 404: o‘chirilgan</t>
  </si>
  <si>
    <t xml:space="preserve">https://www.youtube.com/watch?v=A1JQ63kvGPA</t>
  </si>
  <si>
    <t xml:space="preserve">Understanding the 3 Sacs Seen on 6-Week Pregnancy Ultrasound</t>
  </si>
  <si>
    <t xml:space="preserve">18.2 da 2 ta dars yetarli</t>
  </si>
  <si>
    <t xml:space="preserve">https://www.youtube.com/watch?v=ElIOxFQFICo</t>
  </si>
  <si>
    <t xml:space="preserve">Detailed anomaly scan (Pregnancy Calendar)</t>
  </si>
  <si>
    <t xml:space="preserve">Manba ishonchliligi past</t>
  </si>
  <si>
    <t xml:space="preserve">https://www.youtube.com/watch?v=dA2Jn5EAmTc</t>
  </si>
  <si>
    <t xml:space="preserve">BASICS OF 3D &amp; 4D ULTRASOUND ACQUISITION. (FDUC Benin TV)</t>
  </si>
  <si>
    <t xml:space="preserve">Manba ishonchliligi noma’lum</t>
  </si>
  <si>
    <t xml:space="preserve">https://www.youtube.com/watch?v=0oiJtKoJ6VY</t>
  </si>
  <si>
    <t xml:space="preserve">Breast Ultrasound - Structures &amp; Layers of the Breast</t>
  </si>
  <si>
    <t xml:space="preserve">https://www.youtube.com/watch?v=4UUsEKViZ4M</t>
  </si>
  <si>
    <t xml:space="preserve">Breast Ultrasound - Annotating an Image</t>
  </si>
  <si>
    <t xml:space="preserve">https://www.youtube.com/watch?v=3JlAdn1emEA</t>
  </si>
  <si>
    <t xml:space="preserve">Breast Ultrasound- Fibrocystic Changes</t>
  </si>
  <si>
    <t xml:space="preserve">https://www.youtube.com/watch?v=6SrUgCU0OCE</t>
  </si>
  <si>
    <t xml:space="preserve">Benign vs Malignant Characteristics of Breast Pathology on Ultrasound</t>
  </si>
  <si>
    <t xml:space="preserve">https://www.youtube.com/watch?v=ODVWAijqcS4</t>
  </si>
  <si>
    <t xml:space="preserve">Breast Ultrasound Mass Characterization (Shape, Margins &amp; Borders)</t>
  </si>
  <si>
    <t xml:space="preserve">https://www.youtube.com/watch?v=HdG8R0CRWlU</t>
  </si>
  <si>
    <t xml:space="preserve">Breast Ultrasound (Silicone Intracapsular vs Extracapsular Implant Rupture)</t>
  </si>
  <si>
    <t xml:space="preserve">https://www.youtube.com/watch?v=whSfFq9WPIM</t>
  </si>
  <si>
    <t xml:space="preserve">Male Breast Ultrasound</t>
  </si>
  <si>
    <t xml:space="preserve">https://www.youtube.com/watch?v=m7W79rixPZU</t>
  </si>
  <si>
    <t xml:space="preserve">Breast Ultrasound- Male Breast Pathology (Pseudo-Gynecomastia)</t>
  </si>
  <si>
    <t xml:space="preserve">https://www.youtube.com/watch?v=NXdmwnSjhx8</t>
  </si>
  <si>
    <t xml:space="preserve">Inflammatory conditions of the breast</t>
  </si>
  <si>
    <t xml:space="preserve">https://www.youtube.com/watch?v=UtgJ85-OdHM</t>
  </si>
  <si>
    <t xml:space="preserve">Ultrasound Evaluation of Regional Lymph Nodes.</t>
  </si>
  <si>
    <t xml:space="preserve">24.2 da 3 ta dars yetarli</t>
  </si>
  <si>
    <t xml:space="preserve">https://www.youtube.com/watch?v=poGrtzLVDLk</t>
  </si>
  <si>
    <t xml:space="preserve">Salivary Glands Ultrasound Normal Vs Abnormal Images</t>
  </si>
  <si>
    <t xml:space="preserve">24.1 da 3 ta dars yetarli</t>
  </si>
  <si>
    <t xml:space="preserve">https://www.youtube.com/watch?v=I4lJJs_eUGg</t>
  </si>
  <si>
    <t xml:space="preserve">Sonographic evaluation of the liver transplant - Lecture</t>
  </si>
  <si>
    <t xml:space="preserve">https://www.youtube.com/watch?v=76hyW1-XkGk</t>
  </si>
  <si>
    <t xml:space="preserve">Severe stenosis of the internal carotid artery: ultrasound diagnostic criteria</t>
  </si>
  <si>
    <t xml:space="preserve">25.3 da 3 ta dars yetarli</t>
  </si>
  <si>
    <t xml:space="preserve">https://www.youtube.com/watch?v=_DiApj4D3jc</t>
  </si>
  <si>
    <t xml:space="preserve">Carotid Artery Color/Spectral Doppler Ultrasound Normal Vs Abnormal Images</t>
  </si>
  <si>
    <t xml:space="preserve">https://www.youtube.com/watch?v=hbVxhOV6NFw</t>
  </si>
  <si>
    <t xml:space="preserve">Vascular ultrasound made simple</t>
  </si>
  <si>
    <t xml:space="preserve">25.1 da 3 ta dars yetarli</t>
  </si>
  <si>
    <t xml:space="preserve">https://www.youtube.com/watch?v=dRVXK3DjBzk</t>
  </si>
  <si>
    <t xml:space="preserve">Complete Subclavian Artery Steal Syndrome ultrasound criteria</t>
  </si>
  <si>
    <t xml:space="preserve">25.2 da yetarli</t>
  </si>
  <si>
    <t xml:space="preserve">https://www.youtube.com/watch?v=-4tJgiWazjA</t>
  </si>
  <si>
    <t xml:space="preserve">Saphenous Vein Doppler Ultrasound Normal Vs Abnormal</t>
  </si>
  <si>
    <t xml:space="preserve">25.6 da 3 ta dars yetarli</t>
  </si>
  <si>
    <t xml:space="preserve">https://www.youtube.com/watch?v=tqt1Wr5-q-E</t>
  </si>
  <si>
    <t xml:space="preserve">Duplex Exam of Aorta and IVC - Case Study (MintMedical)</t>
  </si>
  <si>
    <t xml:space="preserve">25.7 da 3 ta dars yetarli</t>
  </si>
  <si>
    <t xml:space="preserve">Kichik mavzular</t>
  </si>
  <si>
    <t xml:space="preserve">Video topilgan mavzular</t>
  </si>
  <si>
    <t xml:space="preserve">Video qamrovi</t>
  </si>
  <si>
    <t xml:space="preserve">Yetishmaydi</t>
  </si>
  <si>
    <t xml:space="preserve">Qisman</t>
  </si>
  <si>
    <t xml:space="preserve">Jami</t>
  </si>
  <si>
    <t xml:space="preserve">Loyiha holati (oldindan belgilangan mezonlar)</t>
  </si>
  <si>
    <t xml:space="preserve">Mezon</t>
  </si>
  <si>
    <t xml:space="preserve">Qanday hisoblanadi</t>
  </si>
  <si>
    <t xml:space="preserve">Natija</t>
  </si>
  <si>
    <t xml:space="preserve">Mundarija to‘liqligi</t>
  </si>
  <si>
    <t xml:space="preserve">Kodlangan kichik mavzular / berilgan mundarijadagi kichik mavzular (253)</t>
  </si>
  <si>
    <t xml:space="preserve">Video qamrovi (butun kurs)</t>
  </si>
  <si>
    <t xml:space="preserve">Kamida bitta videosi bor kichik mavzular / jami</t>
  </si>
  <si>
    <t xml:space="preserve">Video qamrovi (I bo‘lim)</t>
  </si>
  <si>
    <t xml:space="preserve">I bo‘limda kamida bitta videosi bor kichik mavzular / I bo‘lim mavzulari</t>
  </si>
  <si>
    <t xml:space="preserve">URL tekshiruvi</t>
  </si>
  <si>
    <t xml:space="preserve">Havolasi server (oEmbed) yoki sahifa orqali tasdiqlangan videolar / katalogdagi barcha videolar (ishlamaydiganlari ham maxrajda)</t>
  </si>
  <si>
    <t xml:space="preserve">Sifat auditi</t>
  </si>
  <si>
    <t xml:space="preserve">To‘liq ko‘rilib 6 mezon bo‘yicha baholangan videolar / katalogdagi videolar</t>
  </si>
  <si>
    <t xml:space="preserve">Mavjud material</t>
  </si>
  <si>
    <t xml:space="preserve">Qayerda</t>
  </si>
  <si>
    <t xml:space="preserve">Mazmuni</t>
  </si>
  <si>
    <t xml:space="preserve">SHOKALONdagi o‘rni</t>
  </si>
  <si>
    <t xml:space="preserve">SHOKALON — strategiya va birinchi reja</t>
  </si>
  <si>
    <t xml:space="preserve">Hujjat, 2026-10-11</t>
  </si>
  <si>
    <t xml:space="preserve">13 ta qorin bo‘shlig‘i videosi (jigar, CBD, elastografiya, pankreas, buyrak)</t>
  </si>
  <si>
    <t xml:space="preserve">Mavjud, saqlandi</t>
  </si>
  <si>
    <t xml:space="preserve">Katalogda V001–V013</t>
  </si>
  <si>
    <t xml:space="preserve">Oldingi mundarija (boshqa suhbatda)</t>
  </si>
  <si>
    <t xml:space="preserve">Bu sessiyada topilmadi</t>
  </si>
  <si>
    <t xml:space="preserve">Siz aytgan avvalgi mundarija</t>
  </si>
  <si>
    <t xml:space="preserve">Topilmadi</t>
  </si>
  <si>
    <t xml:space="preserve">Matnini yuborsangiz, 33 bobli mundarija bilan solishtiraman</t>
  </si>
  <si>
    <t xml:space="preserve">Telefondagi video papkalar</t>
  </si>
  <si>
    <t xml:space="preserve">Telefon, “Video” ilovasi (skrinshot, 2026-10-11)</t>
  </si>
  <si>
    <t xml:space="preserve">Doplerografiya 20, Exokardiografiya 32, Neyrosonografiya 19, Qalqonsimon bez 17, Qorin bo‘shlig‘i va ginekologiya 15, Sut bezi va limfa tugunlari 19, xomila 47, VIDEO 10, Movies 16</t>
  </si>
  <si>
    <t xml:space="preserve">Mavjud, lekin tekshirilmagan</t>
  </si>
  <si>
    <t xml:space="preserve">Fayl nomlari ko‘rinmaydi; ro‘yxatini yuborsangiz katalogga “mahalliy fayl” sifatida bog‘layman</t>
  </si>
  <si>
    <t xml:space="preserve">Jigar o‘choqlari ultratovush diagnostikasi qo‘llanmasi</t>
  </si>
  <si>
    <t xml:space="preserve">Hujjat, 2026-10-07</t>
  </si>
  <si>
    <t xml:space="preserve">Jigar fokal hosilalari</t>
  </si>
  <si>
    <t xml:space="preserve">3-bosqich (atlas): 03.10.05, 03.10.06, 03.10.09</t>
  </si>
  <si>
    <t xml:space="preserve">УЗД тести, Senior daraja УЗД саволлари</t>
  </si>
  <si>
    <t xml:space="preserve">Hujjatlar, 2026-10-06</t>
  </si>
  <si>
    <t xml:space="preserve">Test savollari (kirill)</t>
  </si>
  <si>
    <t xml:space="preserve">4-bosqich (testlar); mundarija kodlariga bog‘lash kerak</t>
  </si>
  <si>
    <t xml:space="preserve">Neonatal exokardiografiya — amaliy qo‘llanma</t>
  </si>
  <si>
    <t xml:space="preserve">Hujjat, 2026-09-27</t>
  </si>
  <si>
    <t xml:space="preserve">Chaqaloqlar exokardiografiyasi</t>
  </si>
  <si>
    <t xml:space="preserve">3-bosqich: 09.27.09, 08.26.12</t>
  </si>
  <si>
    <t xml:space="preserve">UZI lug‘ati (228 atama)</t>
  </si>
  <si>
    <t xml:space="preserve">Dual Replay repozitoriysi, assets/uzi_glossary.tsv</t>
  </si>
  <si>
    <t xml:space="preserve">Shifokor tekshirgan atamalar</t>
  </si>
  <si>
    <t xml:space="preserve">Mavjud va tekshirilgan</t>
  </si>
  <si>
    <t xml:space="preserve">7-bosqich (tarjima) uchun yagona atama standarti</t>
  </si>
  <si>
    <t xml:space="preserve">Dual Replay uz ilovasi</t>
  </si>
  <si>
    <t xml:space="preserve">GitHub: botanikjon-droid/dual-sub-replay, claude/uzi-glossary-speech (08d0668)</t>
  </si>
  <si>
    <t xml:space="preserve">Subtitr, tarjima, lug‘at, ovoz</t>
  </si>
  <si>
    <t xml:space="preserve">Mavjud</t>
  </si>
  <si>
    <t xml:space="preserve">9-bosqich: katalog JSON sifatida ilovaga kiradi</t>
  </si>
  <si>
    <t xml:space="preserve">Mundarija auditi</t>
  </si>
  <si>
    <t xml:space="preserve">Tur</t>
  </si>
  <si>
    <t xml:space="preserve">Kod(lar)</t>
  </si>
  <si>
    <t xml:space="preserve">Taklif</t>
  </si>
  <si>
    <t xml:space="preserve">Takror</t>
  </si>
  <si>
    <t xml:space="preserve">01.02.07 / 01.06.05</t>
  </si>
  <si>
    <t xml:space="preserve">Datchik gigiyenasi ikki joyda</t>
  </si>
  <si>
    <t xml:space="preserve">2.7 da qoldirish, 6.5 da havola</t>
  </si>
  <si>
    <t xml:space="preserve">03.15.01, 03.15.02 / 07.25.07</t>
  </si>
  <si>
    <t xml:space="preserve">Aorta va pastki kava vena ikki joyda</t>
  </si>
  <si>
    <t xml:space="preserve">15-bobda klinik qism, 25.7 da Doppler qismi; yoki 25.7 ni olib tashlash</t>
  </si>
  <si>
    <t xml:space="preserve">03.10.07 / 12.30.04, 12.30.06</t>
  </si>
  <si>
    <t xml:space="preserve">Jigar elastografiyasi ikki joyda</t>
  </si>
  <si>
    <t xml:space="preserve">10.7 — qisqa klinik ko‘rinish, 30-bob — texnika; havola bilan</t>
  </si>
  <si>
    <t xml:space="preserve">06.22.07 / 12.32.03</t>
  </si>
  <si>
    <t xml:space="preserve">Biopsiya ikki joyda</t>
  </si>
  <si>
    <t xml:space="preserve">22.7 ni “ko‘rsatmalar” bilan cheklash</t>
  </si>
  <si>
    <t xml:space="preserve">05.21.08 / 08.26.12 / 09.27.09</t>
  </si>
  <si>
    <t xml:space="preserve">Homila va bolalar yuragi uch joyda</t>
  </si>
  <si>
    <t xml:space="preserve">Har birining yoshi va maqsadini aniq ajratish</t>
  </si>
  <si>
    <t xml:space="preserve">04.16.08 / 05.18.06</t>
  </si>
  <si>
    <t xml:space="preserve">Ektopik homiladorlik ikki joyda</t>
  </si>
  <si>
    <t xml:space="preserve">16.8 — chanoq suyuqligi, 18.6 — asosiy mavzu</t>
  </si>
  <si>
    <t xml:space="preserve">Tartib</t>
  </si>
  <si>
    <t xml:space="preserve">Doppler aliasing Doppler asoslaridan (5-bob) oldin</t>
  </si>
  <si>
    <t xml:space="preserve">5-bob oxiriga ko‘chirish yoki 4.5 ni “Doppler artefaktlariga kirish” deb qoldirish</t>
  </si>
  <si>
    <t xml:space="preserve">Atama</t>
  </si>
  <si>
    <t xml:space="preserve">“Eksenel” rezolyutsiya</t>
  </si>
  <si>
    <t xml:space="preserve">“Aksial” rezolyutsiya</t>
  </si>
  <si>
    <t xml:space="preserve">Inglizcha “compound imaging, harmonic imaging”</t>
  </si>
  <si>
    <t xml:space="preserve">“kompaund va garmonik tasvirlash (compound, harmonic)”</t>
  </si>
  <si>
    <t xml:space="preserve">01.02.01 / 01.02.02</t>
  </si>
  <si>
    <t xml:space="preserve">“transduser” va “datchik” aralash</t>
  </si>
  <si>
    <t xml:space="preserve">Lug‘atdagidek “datchik” asosiy, “transduser” qavsda</t>
  </si>
  <si>
    <t xml:space="preserve">VIII bo‘lim</t>
  </si>
  <si>
    <t xml:space="preserve">“ECHOKARDIOGRAFIYA” va 26.13 da “EchoKG”</t>
  </si>
  <si>
    <t xml:space="preserve">Bir xil yozuv: “Exokardiografiya (EchoKG)”</t>
  </si>
  <si>
    <t xml:space="preserve">US LI-RADS yo‘q</t>
  </si>
  <si>
    <t xml:space="preserve">Jigar saratoni xavfi guruhida UZI skriningi qo‘shish</t>
  </si>
  <si>
    <t xml:space="preserve">ACR GB-RADS yo‘q</t>
  </si>
  <si>
    <t xml:space="preserve">O‘t pufagi devori qalinlashuvi tasnifi qo‘shish</t>
  </si>
  <si>
    <t xml:space="preserve">Yo‘ldosh akkretasi spektri yo‘q</t>
  </si>
  <si>
    <t xml:space="preserve">Qo‘shish</t>
  </si>
  <si>
    <t xml:space="preserve">Kengaytirish</t>
  </si>
  <si>
    <t xml:space="preserve">Neyrosonografiya bitta mavzu</t>
  </si>
  <si>
    <t xml:space="preserve">Alohida bob (normal anatomiya, IVH darajalari, PVL, gidrotsefaliya, Doppler)</t>
  </si>
  <si>
    <t xml:space="preserve">Loyihadan chetga chiqishlar va tuzatish (2026-10-17)</t>
  </si>
  <si>
    <t xml:space="preserve">Chetga chiqish</t>
  </si>
  <si>
    <t xml:space="preserve">Prompt talabi</t>
  </si>
  <si>
    <t xml:space="preserve">Nima qilindi</t>
  </si>
  <si>
    <t xml:space="preserve">Ikki alohida katalog: ilovada 135 dars (bo‘lim → mavzu), Excel’da 50 video (kod bilan); ilova darslarining kodi va Video ID’si yo‘q edi</t>
  </si>
  <si>
    <t xml:space="preserve">“Har bir videoga noyob ID va mundarija kodi”</t>
  </si>
  <si>
    <t xml:space="preserve">Ilovadagi barcha 135 dars yagona Katalogga kiritildi: Video ID, asosiy va qo‘shimcha kod; “Izoh” ustunida ilovadagi joyi</t>
  </si>
  <si>
    <t xml:space="preserve">Tuzatildi</t>
  </si>
  <si>
    <t xml:space="preserve">Ilovada 3 ta ishlamaydigan havola bor edi</t>
  </si>
  <si>
    <t xml:space="preserve">“Havolalar to‘g‘riligini tekshirish”</t>
  </si>
  <si>
    <t xml:space="preserve">Server tekshiruvi; 3 tasi almashtirildi; eski qatorlar “Ishlamaydi” deb saqlandi</t>
  </si>
  <si>
    <t xml:space="preserve">Bosqichlar aralashgan: katalog tugamasdan ilovada tarjima tugmasi, konspekt-PDF va test qilingan (7, 11-bosqichlar)</t>
  </si>
  <si>
    <t xml:space="preserve">“Bosqichlarni aralashtirma”</t>
  </si>
  <si>
    <t xml:space="preserve">Siz so‘ragan funksiyalar o‘chirilmadi. Katalog yakunlanmaguncha atlas, test va prezentatsiya bo‘yicha yangi ish boshlanmaydi</t>
  </si>
  <si>
    <t xml:space="preserve">To‘xtatildi</t>
  </si>
  <si>
    <t xml:space="preserve">Ilova bo‘limlari (asoslar + 11 tekshiruv turi) 33 bobli tuzilmadan farq qiladi</t>
  </si>
  <si>
    <t xml:space="preserve">Mundarija asosiy tuzilma</t>
  </si>
  <si>
    <t xml:space="preserve">Ilova qulay ko‘rinish sifatida qoladi; bog‘lanish Katalogdagi kodlar orqali. Ilovada kod ko‘rsatish — 9-bosqichda</t>
  </si>
  <si>
    <t xml:space="preserve">Rejalashtirildi</t>
  </si>
  <si>
    <t xml:space="preserve">Ilova katalogi v1 (82 dars) uchun daraja va 30 ballik baho yo‘q</t>
  </si>
  <si>
    <t xml:space="preserve">Daraja va baho</t>
  </si>
  <si>
    <t xml:space="preserve">Daraja “Belgilanmagan”; ballar faqat video ko‘rilgach qo‘yiladi</t>
  </si>
  <si>
    <t xml:space="preserve">Ochiq</t>
  </si>
  <si>
    <t xml:space="preserve">Ommaviy SRT tarjimasi boshlanmagan; ilovada faqat ko‘rish paytidagi jonli tarjima bor</t>
  </si>
  <si>
    <t xml:space="preserve">“Subtitrlar to‘liq yig‘ilmaguncha tarjimaga o‘tma”</t>
  </si>
  <si>
    <t xml:space="preserve">Mos — o‘zgarish shart emas</t>
  </si>
  <si>
    <t xml:space="preserve">Mos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</si>
</sst>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%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2"/>
      <name val="Arial"/>
      <family val="0"/>
      <charset val="1"/>
    </font>
    <font>
      <u val="single"/>
      <sz val="10"/>
      <color rgb="FF0563C1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FFF2CC"/>
        <bgColor rgb="FFE7E6E6"/>
      </patternFill>
    </fill>
    <fill>
      <patternFill patternType="solid">
        <fgColor rgb="FF1F4E78"/>
        <bgColor rgb="FF003366"/>
      </patternFill>
    </fill>
    <fill>
      <patternFill patternType="solid">
        <fgColor rgb="FFFFE699"/>
        <bgColor rgb="FFFFF2CC"/>
      </patternFill>
    </fill>
    <fill>
      <patternFill patternType="solid">
        <fgColor rgb="FFF8CBAD"/>
        <bgColor rgb="FFFFE699"/>
      </patternFill>
    </fill>
    <fill>
      <patternFill patternType="solid">
        <fgColor rgb="FFD9E1F2"/>
        <bgColor rgb="FFE7E6E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5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3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6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6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3">
    <dxf>
      <fill>
        <patternFill patternType="solid">
          <fgColor rgb="FF1F4E78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C6EFCE"/>
          <bgColor rgb="FF000000"/>
        </patternFill>
      </fill>
    </dxf>
    <dxf>
      <fill>
        <patternFill patternType="solid">
          <fgColor rgb="FFE7E6E6"/>
          <bgColor rgb="FF000000"/>
        </patternFill>
      </fill>
    </dxf>
    <dxf>
      <fill>
        <patternFill patternType="solid">
          <fgColor rgb="FFF8CBAD"/>
          <bgColor rgb="FF000000"/>
        </patternFill>
      </fill>
    </dxf>
    <dxf>
      <fill>
        <patternFill patternType="solid">
          <fgColor rgb="FFFFE699"/>
          <bgColor rgb="FF000000"/>
        </patternFill>
      </fill>
    </dxf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FCE"/>
        </patternFill>
      </fill>
    </dxf>
    <dxf>
      <fill>
        <patternFill>
          <bgColor rgb="FFE7E6E6"/>
        </patternFill>
      </fill>
    </dxf>
    <dxf>
      <fill>
        <patternFill patternType="solid">
          <fgColor rgb="FF0563C1"/>
          <bgColor rgb="FF000000"/>
        </patternFill>
      </fill>
    </dxf>
    <dxf>
      <fill>
        <patternFill patternType="solid">
          <fgColor rgb="FFFFF2CC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E7E6E6"/>
      <rgbColor rgb="FF660066"/>
      <rgbColor rgb="FFFF8080"/>
      <rgbColor rgb="FF0563C1"/>
      <rgbColor rgb="FFD9E1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E699"/>
      <rgbColor rgb="FF99CCFF"/>
      <rgbColor rgb="FFFF99CC"/>
      <rgbColor rgb="FFCC99FF"/>
      <rgbColor rgb="FFF8CBAD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1F4E78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4.xml.rels><?xml version="1.0" encoding="UTF-8"?>
<Relationships xmlns="http://schemas.openxmlformats.org/package/2006/relationships"><Relationship Id="rId1" Type="http://schemas.openxmlformats.org/officeDocument/2006/relationships/hyperlink" Target="https://www.youtube.com/watch?v=GgEFNTCF3hE" TargetMode="External"/><Relationship Id="rId2" Type="http://schemas.openxmlformats.org/officeDocument/2006/relationships/hyperlink" Target="https://www.youtube.com/watch?v=oUO9OtDKkIo" TargetMode="External"/><Relationship Id="rId3" Type="http://schemas.openxmlformats.org/officeDocument/2006/relationships/hyperlink" Target="https://www.youtube.com/watch?v=EHNIZ5YyVgw" TargetMode="External"/><Relationship Id="rId4" Type="http://schemas.openxmlformats.org/officeDocument/2006/relationships/hyperlink" Target="https://www.youtube.com/watch?v=oQkzUPrnVt8" TargetMode="External"/><Relationship Id="rId5" Type="http://schemas.openxmlformats.org/officeDocument/2006/relationships/hyperlink" Target="https://www.youtube.com/watch?v=mS5n2wNjuDs" TargetMode="External"/><Relationship Id="rId6" Type="http://schemas.openxmlformats.org/officeDocument/2006/relationships/hyperlink" Target="https://www.youtube.com/watch?v=yGlP6mraFsI" TargetMode="External"/><Relationship Id="rId7" Type="http://schemas.openxmlformats.org/officeDocument/2006/relationships/hyperlink" Target="https://www.youtube.com/watch?v=1RNmygm6Crs" TargetMode="External"/><Relationship Id="rId8" Type="http://schemas.openxmlformats.org/officeDocument/2006/relationships/hyperlink" Target="https://www.youtube.com/watch?v=G-LbrNbOd-Y" TargetMode="External"/><Relationship Id="rId9" Type="http://schemas.openxmlformats.org/officeDocument/2006/relationships/hyperlink" Target="https://www.youtube.com/watch?v=QiS7Xxya_2U" TargetMode="External"/>
</Relationships>
</file>

<file path=xl/worksheets/_rels/sheet5.xml.rels><?xml version="1.0" encoding="UTF-8"?>
<Relationships xmlns="http://schemas.openxmlformats.org/package/2006/relationships"><Relationship Id="rId1" Type="http://schemas.openxmlformats.org/officeDocument/2006/relationships/hyperlink" Target="https://www.youtube.com/watch?v=x6hXhLNc-jU" TargetMode="External"/><Relationship Id="rId2" Type="http://schemas.openxmlformats.org/officeDocument/2006/relationships/hyperlink" Target="https://www.youtube.com/watch?v=JSUsM8aN1XU" TargetMode="External"/><Relationship Id="rId3" Type="http://schemas.openxmlformats.org/officeDocument/2006/relationships/hyperlink" Target="https://www.youtube.com/watch?v=GvvGZENUvWc" TargetMode="External"/><Relationship Id="rId4" Type="http://schemas.openxmlformats.org/officeDocument/2006/relationships/hyperlink" Target="https://www.youtube.com/watch?v=U50O8_fsemY" TargetMode="External"/><Relationship Id="rId5" Type="http://schemas.openxmlformats.org/officeDocument/2006/relationships/hyperlink" Target="https://www.youtube.com/watch?v=eoze_8nUjfA" TargetMode="External"/><Relationship Id="rId6" Type="http://schemas.openxmlformats.org/officeDocument/2006/relationships/hyperlink" Target="https://www.youtube.com/watch?v=3pIL7c-8UH8" TargetMode="External"/><Relationship Id="rId7" Type="http://schemas.openxmlformats.org/officeDocument/2006/relationships/hyperlink" Target="https://www.youtube.com/watch?v=luK0ElID9Hs" TargetMode="External"/><Relationship Id="rId8" Type="http://schemas.openxmlformats.org/officeDocument/2006/relationships/hyperlink" Target="https://www.youtube.com/watch?v=xLYBOf2da8s" TargetMode="External"/><Relationship Id="rId9" Type="http://schemas.openxmlformats.org/officeDocument/2006/relationships/hyperlink" Target="https://www.youtube.com/watch?v=SS-ATlJ9OCk" TargetMode="External"/><Relationship Id="rId10" Type="http://schemas.openxmlformats.org/officeDocument/2006/relationships/hyperlink" Target="https://www.youtube.com/watch?v=yK_ETT0yZ5Q" TargetMode="External"/><Relationship Id="rId11" Type="http://schemas.openxmlformats.org/officeDocument/2006/relationships/hyperlink" Target="https://www.youtube.com/watch?v=8JjIbqp5kVI" TargetMode="External"/><Relationship Id="rId12" Type="http://schemas.openxmlformats.org/officeDocument/2006/relationships/hyperlink" Target="https://www.youtube.com/watch?v=LsK7ykAjHog" TargetMode="External"/><Relationship Id="rId13" Type="http://schemas.openxmlformats.org/officeDocument/2006/relationships/hyperlink" Target="https://www.youtube.com/watch?v=eSekFP_KIQk" TargetMode="External"/><Relationship Id="rId14" Type="http://schemas.openxmlformats.org/officeDocument/2006/relationships/hyperlink" Target="https://www.youtube.com/watch?v=c6PQzbzJgUg" TargetMode="External"/><Relationship Id="rId15" Type="http://schemas.openxmlformats.org/officeDocument/2006/relationships/hyperlink" Target="https://www.youtube.com/watch?v=UFU9zVAa6WM" TargetMode="External"/><Relationship Id="rId16" Type="http://schemas.openxmlformats.org/officeDocument/2006/relationships/hyperlink" Target="https://www.youtube.com/watch?v=jv748J0XB-0" TargetMode="External"/><Relationship Id="rId17" Type="http://schemas.openxmlformats.org/officeDocument/2006/relationships/hyperlink" Target="https://www.youtube.com/watch?v=htzA4DUZz_s" TargetMode="External"/><Relationship Id="rId18" Type="http://schemas.openxmlformats.org/officeDocument/2006/relationships/hyperlink" Target="https://www.youtube.com/watch?v=-zXuz0mqe_Q" TargetMode="External"/><Relationship Id="rId19" Type="http://schemas.openxmlformats.org/officeDocument/2006/relationships/hyperlink" Target="https://www.youtube.com/watch?v=Q1YPZ-04dag" TargetMode="External"/><Relationship Id="rId20" Type="http://schemas.openxmlformats.org/officeDocument/2006/relationships/hyperlink" Target="https://www.youtube.com/watch?v=77LZeskg4Eg" TargetMode="External"/><Relationship Id="rId21" Type="http://schemas.openxmlformats.org/officeDocument/2006/relationships/hyperlink" Target="https://www.youtube.com/watch?v=TSHVXMbS2jM" TargetMode="External"/><Relationship Id="rId22" Type="http://schemas.openxmlformats.org/officeDocument/2006/relationships/hyperlink" Target="https://www.youtube.com/watch?v=HC_tHnNZJ-Q" TargetMode="External"/><Relationship Id="rId23" Type="http://schemas.openxmlformats.org/officeDocument/2006/relationships/hyperlink" Target="https://www.youtube.com/watch?v=QzZEKS1x0l8" TargetMode="External"/><Relationship Id="rId24" Type="http://schemas.openxmlformats.org/officeDocument/2006/relationships/hyperlink" Target="https://www.youtube.com/watch?v=C0OFM297MlU" TargetMode="External"/><Relationship Id="rId25" Type="http://schemas.openxmlformats.org/officeDocument/2006/relationships/hyperlink" Target="https://www.youtube.com/watch?v=iLVeRa95WQc" TargetMode="External"/><Relationship Id="rId26" Type="http://schemas.openxmlformats.org/officeDocument/2006/relationships/hyperlink" Target="https://www.youtube.com/watch?v=0rmwXyPXwhs" TargetMode="External"/><Relationship Id="rId27" Type="http://schemas.openxmlformats.org/officeDocument/2006/relationships/hyperlink" Target="https://www.youtube.com/watch?v=EvZSiMTiePI" TargetMode="External"/><Relationship Id="rId28" Type="http://schemas.openxmlformats.org/officeDocument/2006/relationships/hyperlink" Target="https://www.youtube.com/watch?v=UYtaDkhVrmQ" TargetMode="External"/><Relationship Id="rId29" Type="http://schemas.openxmlformats.org/officeDocument/2006/relationships/hyperlink" Target="https://www.youtube.com/watch?v=_8R-IiuLM0k" TargetMode="External"/><Relationship Id="rId30" Type="http://schemas.openxmlformats.org/officeDocument/2006/relationships/hyperlink" Target="https://www.youtube.com/watch?v=8nS4NYD_LnU" TargetMode="External"/><Relationship Id="rId31" Type="http://schemas.openxmlformats.org/officeDocument/2006/relationships/hyperlink" Target="https://www.youtube.com/watch?v=mKomnw4PEwE" TargetMode="External"/><Relationship Id="rId32" Type="http://schemas.openxmlformats.org/officeDocument/2006/relationships/hyperlink" Target="https://www.youtube.com/watch?v=z6n7C_4rHhk" TargetMode="External"/><Relationship Id="rId33" Type="http://schemas.openxmlformats.org/officeDocument/2006/relationships/hyperlink" Target="https://www.youtube.com/watch?v=hMPA6hVPh0A" TargetMode="External"/><Relationship Id="rId34" Type="http://schemas.openxmlformats.org/officeDocument/2006/relationships/hyperlink" Target="https://www.youtube.com/watch?v=x8suZz5FeuM" TargetMode="External"/><Relationship Id="rId35" Type="http://schemas.openxmlformats.org/officeDocument/2006/relationships/hyperlink" Target="https://www.youtube.com/watch?v=AvbdjCMA8OU" TargetMode="External"/><Relationship Id="rId36" Type="http://schemas.openxmlformats.org/officeDocument/2006/relationships/hyperlink" Target="https://www.youtube.com/watch?v=imM2qJY_bEI" TargetMode="External"/><Relationship Id="rId37" Type="http://schemas.openxmlformats.org/officeDocument/2006/relationships/hyperlink" Target="https://www.youtube.com/watch?v=48m-hcI8i1g" TargetMode="External"/><Relationship Id="rId38" Type="http://schemas.openxmlformats.org/officeDocument/2006/relationships/hyperlink" Target="https://www.youtube.com/watch?v=0U2Pcu2SjeM" TargetMode="External"/><Relationship Id="rId39" Type="http://schemas.openxmlformats.org/officeDocument/2006/relationships/hyperlink" Target="https://www.youtube.com/watch?v=SN6_YKVl-U0" TargetMode="External"/><Relationship Id="rId40" Type="http://schemas.openxmlformats.org/officeDocument/2006/relationships/hyperlink" Target="https://www.youtube.com/watch?v=SyYkOglVVLo" TargetMode="External"/><Relationship Id="rId41" Type="http://schemas.openxmlformats.org/officeDocument/2006/relationships/hyperlink" Target="https://www.youtube.com/watch?v=NjcYR_tO1iw" TargetMode="External"/><Relationship Id="rId42" Type="http://schemas.openxmlformats.org/officeDocument/2006/relationships/hyperlink" Target="https://www.youtube.com/watch?v=Xq7VJ864GIg" TargetMode="External"/><Relationship Id="rId43" Type="http://schemas.openxmlformats.org/officeDocument/2006/relationships/hyperlink" Target="https://www.youtube.com/watch?v=R2yTdxP-j8I" TargetMode="External"/><Relationship Id="rId44" Type="http://schemas.openxmlformats.org/officeDocument/2006/relationships/hyperlink" Target="https://www.youtube.com/watch?v=NrWKEJD-_RA" TargetMode="External"/><Relationship Id="rId45" Type="http://schemas.openxmlformats.org/officeDocument/2006/relationships/hyperlink" Target="https://www.youtube.com/watch?v=dIvPZ6Mhraw" TargetMode="External"/><Relationship Id="rId46" Type="http://schemas.openxmlformats.org/officeDocument/2006/relationships/hyperlink" Target="https://www.youtube.com/watch?v=LeI3ns30mvg" TargetMode="External"/><Relationship Id="rId47" Type="http://schemas.openxmlformats.org/officeDocument/2006/relationships/hyperlink" Target="https://www.youtube.com/watch?v=U6swOcsO6c0" TargetMode="External"/><Relationship Id="rId48" Type="http://schemas.openxmlformats.org/officeDocument/2006/relationships/hyperlink" Target="https://www.youtube.com/watch?v=wHdEZaY4M2g" TargetMode="External"/><Relationship Id="rId49" Type="http://schemas.openxmlformats.org/officeDocument/2006/relationships/hyperlink" Target="https://www.youtube.com/watch?v=3cWIePSocMA" TargetMode="External"/><Relationship Id="rId50" Type="http://schemas.openxmlformats.org/officeDocument/2006/relationships/hyperlink" Target="https://www.youtube.com/watch?v=XdSrvyKCpfw" TargetMode="External"/><Relationship Id="rId51" Type="http://schemas.openxmlformats.org/officeDocument/2006/relationships/hyperlink" Target="https://www.youtube.com/watch?v=12AEms8K5oY" TargetMode="External"/><Relationship Id="rId52" Type="http://schemas.openxmlformats.org/officeDocument/2006/relationships/hyperlink" Target="https://www.youtube.com/watch?v=BEkT3_979fw" TargetMode="External"/><Relationship Id="rId53" Type="http://schemas.openxmlformats.org/officeDocument/2006/relationships/hyperlink" Target="https://www.youtube.com/watch?v=y8VPgK-tToA" TargetMode="External"/><Relationship Id="rId54" Type="http://schemas.openxmlformats.org/officeDocument/2006/relationships/hyperlink" Target="https://www.youtube.com/watch?v=HnG1GieOkUk" TargetMode="External"/><Relationship Id="rId55" Type="http://schemas.openxmlformats.org/officeDocument/2006/relationships/hyperlink" Target="https://www.youtube.com/watch?v=XJ_4bkD8bbg" TargetMode="External"/><Relationship Id="rId56" Type="http://schemas.openxmlformats.org/officeDocument/2006/relationships/hyperlink" Target="https://www.youtube.com/watch?v=aQRtyG32s1o" TargetMode="External"/><Relationship Id="rId57" Type="http://schemas.openxmlformats.org/officeDocument/2006/relationships/hyperlink" Target="https://www.youtube.com/watch?v=J5gRFeZ7cZU" TargetMode="External"/><Relationship Id="rId58" Type="http://schemas.openxmlformats.org/officeDocument/2006/relationships/hyperlink" Target="https://www.youtube.com/watch?v=8pETh6qhIdM" TargetMode="External"/><Relationship Id="rId59" Type="http://schemas.openxmlformats.org/officeDocument/2006/relationships/hyperlink" Target="https://www.youtube.com/watch?v=A9jHe08T4VE" TargetMode="External"/><Relationship Id="rId60" Type="http://schemas.openxmlformats.org/officeDocument/2006/relationships/hyperlink" Target="https://www.youtube.com/watch?v=enp-lIVqyBQ" TargetMode="External"/><Relationship Id="rId61" Type="http://schemas.openxmlformats.org/officeDocument/2006/relationships/hyperlink" Target="https://www.youtube.com/watch?v=374A77l6es0" TargetMode="External"/><Relationship Id="rId62" Type="http://schemas.openxmlformats.org/officeDocument/2006/relationships/hyperlink" Target="https://www.youtube.com/watch?v=IsJeMgxTFMU" TargetMode="External"/><Relationship Id="rId63" Type="http://schemas.openxmlformats.org/officeDocument/2006/relationships/hyperlink" Target="https://www.youtube.com/watch?v=e-DBRFgQPYw" TargetMode="External"/><Relationship Id="rId64" Type="http://schemas.openxmlformats.org/officeDocument/2006/relationships/hyperlink" Target="https://www.youtube.com/watch?v=CZpeA_lJ6rE" TargetMode="External"/><Relationship Id="rId65" Type="http://schemas.openxmlformats.org/officeDocument/2006/relationships/hyperlink" Target="https://www.youtube.com/watch?v=4JTq2gyW5Nw" TargetMode="External"/><Relationship Id="rId66" Type="http://schemas.openxmlformats.org/officeDocument/2006/relationships/hyperlink" Target="https://www.youtube.com/watch?v=FpiqQs0gwgI" TargetMode="External"/><Relationship Id="rId67" Type="http://schemas.openxmlformats.org/officeDocument/2006/relationships/hyperlink" Target="https://www.youtube.com/watch?v=GcS3jKyR5sg" TargetMode="External"/><Relationship Id="rId68" Type="http://schemas.openxmlformats.org/officeDocument/2006/relationships/hyperlink" Target="https://www.youtube.com/watch?v=sD-aFMQxT08" TargetMode="External"/><Relationship Id="rId69" Type="http://schemas.openxmlformats.org/officeDocument/2006/relationships/hyperlink" Target="https://www.youtube.com/watch?v=JoQtlTNrGZA" TargetMode="External"/><Relationship Id="rId70" Type="http://schemas.openxmlformats.org/officeDocument/2006/relationships/hyperlink" Target="https://www.youtube.com/watch?v=veQhbLyqLyU" TargetMode="External"/><Relationship Id="rId71" Type="http://schemas.openxmlformats.org/officeDocument/2006/relationships/hyperlink" Target="https://www.youtube.com/watch?v=qdlb0bl2eOI" TargetMode="External"/><Relationship Id="rId72" Type="http://schemas.openxmlformats.org/officeDocument/2006/relationships/hyperlink" Target="https://www.youtube.com/watch?v=vSba7T95CXQ" TargetMode="External"/><Relationship Id="rId73" Type="http://schemas.openxmlformats.org/officeDocument/2006/relationships/hyperlink" Target="https://www.youtube.com/watch?v=ji2I3Pv1R0g" TargetMode="External"/><Relationship Id="rId74" Type="http://schemas.openxmlformats.org/officeDocument/2006/relationships/hyperlink" Target="https://www.youtube.com/watch?v=YC3-xfRxwYU" TargetMode="External"/><Relationship Id="rId75" Type="http://schemas.openxmlformats.org/officeDocument/2006/relationships/hyperlink" Target="https://www.youtube.com/watch?v=R6rX5Qclgl8" TargetMode="External"/><Relationship Id="rId76" Type="http://schemas.openxmlformats.org/officeDocument/2006/relationships/hyperlink" Target="https://www.youtube.com/watch?v=gcGHNdrgYW8" TargetMode="External"/><Relationship Id="rId77" Type="http://schemas.openxmlformats.org/officeDocument/2006/relationships/hyperlink" Target="https://www.youtube.com/watch?v=sxLmYjilCxM" TargetMode="External"/><Relationship Id="rId78" Type="http://schemas.openxmlformats.org/officeDocument/2006/relationships/hyperlink" Target="https://www.youtube.com/watch?v=ULezXrne5n4" TargetMode="External"/><Relationship Id="rId79" Type="http://schemas.openxmlformats.org/officeDocument/2006/relationships/hyperlink" Target="https://www.youtube.com/watch?v=nPoCYs7uKC0" TargetMode="External"/><Relationship Id="rId80" Type="http://schemas.openxmlformats.org/officeDocument/2006/relationships/hyperlink" Target="https://www.youtube.com/watch?v=LEd7IzICClE" TargetMode="External"/><Relationship Id="rId81" Type="http://schemas.openxmlformats.org/officeDocument/2006/relationships/hyperlink" Target="https://www.youtube.com/watch?v=nhVo53WChSA" TargetMode="External"/><Relationship Id="rId82" Type="http://schemas.openxmlformats.org/officeDocument/2006/relationships/hyperlink" Target="https://www.youtube.com/watch?v=FbXwoxwS1Dw" TargetMode="External"/><Relationship Id="rId83" Type="http://schemas.openxmlformats.org/officeDocument/2006/relationships/hyperlink" Target="https://www.youtube.com/watch?v=IQ5pUWIu6mI" TargetMode="External"/><Relationship Id="rId84" Type="http://schemas.openxmlformats.org/officeDocument/2006/relationships/hyperlink" Target="https://www.youtube.com/watch?v=c6A81JiJMSE" TargetMode="External"/><Relationship Id="rId85" Type="http://schemas.openxmlformats.org/officeDocument/2006/relationships/hyperlink" Target="https://www.youtube.com/watch?v=vpmcgZ7lGFs" TargetMode="External"/><Relationship Id="rId86" Type="http://schemas.openxmlformats.org/officeDocument/2006/relationships/hyperlink" Target="https://www.youtube.com/watch?v=uyaaVrrBj0I" TargetMode="External"/><Relationship Id="rId87" Type="http://schemas.openxmlformats.org/officeDocument/2006/relationships/hyperlink" Target="https://www.youtube.com/watch?v=zG8ZZHEMLGA" TargetMode="External"/><Relationship Id="rId88" Type="http://schemas.openxmlformats.org/officeDocument/2006/relationships/hyperlink" Target="https://www.youtube.com/watch?v=0QdwB2Jr4_o" TargetMode="External"/><Relationship Id="rId89" Type="http://schemas.openxmlformats.org/officeDocument/2006/relationships/hyperlink" Target="https://www.youtube.com/watch?v=im0gKSxURbg" TargetMode="External"/><Relationship Id="rId90" Type="http://schemas.openxmlformats.org/officeDocument/2006/relationships/hyperlink" Target="https://www.youtube.com/watch?v=6IV2OcpLUz4" TargetMode="External"/><Relationship Id="rId91" Type="http://schemas.openxmlformats.org/officeDocument/2006/relationships/hyperlink" Target="https://www.youtube.com/watch?v=JJFx_Se8kvc" TargetMode="External"/><Relationship Id="rId92" Type="http://schemas.openxmlformats.org/officeDocument/2006/relationships/hyperlink" Target="https://www.youtube.com/watch?v=fPPNqhd9DRk" TargetMode="External"/><Relationship Id="rId93" Type="http://schemas.openxmlformats.org/officeDocument/2006/relationships/hyperlink" Target="https://www.youtube.com/watch?v=_xXJgRVC0pU" TargetMode="External"/><Relationship Id="rId94" Type="http://schemas.openxmlformats.org/officeDocument/2006/relationships/hyperlink" Target="https://www.youtube.com/watch?v=7qIoGhlrbVc" TargetMode="External"/><Relationship Id="rId95" Type="http://schemas.openxmlformats.org/officeDocument/2006/relationships/hyperlink" Target="https://www.youtube.com/watch?v=xrHiJtoggUI" TargetMode="External"/><Relationship Id="rId96" Type="http://schemas.openxmlformats.org/officeDocument/2006/relationships/hyperlink" Target="https://www.youtube.com/watch?v=l8heXKDGcOA" TargetMode="External"/><Relationship Id="rId97" Type="http://schemas.openxmlformats.org/officeDocument/2006/relationships/hyperlink" Target="https://www.youtube.com/watch?v=hW9FYG60OUY" TargetMode="External"/><Relationship Id="rId98" Type="http://schemas.openxmlformats.org/officeDocument/2006/relationships/hyperlink" Target="https://www.youtube.com/watch?v=LQGIWOlGW0E" TargetMode="External"/><Relationship Id="rId99" Type="http://schemas.openxmlformats.org/officeDocument/2006/relationships/hyperlink" Target="https://www.youtube.com/watch?v=qAyRTluQxU8" TargetMode="External"/><Relationship Id="rId100" Type="http://schemas.openxmlformats.org/officeDocument/2006/relationships/hyperlink" Target="https://www.youtube.com/watch?v=yGg7Ci88HrQ" TargetMode="External"/><Relationship Id="rId101" Type="http://schemas.openxmlformats.org/officeDocument/2006/relationships/hyperlink" Target="https://www.youtube.com/watch?v=bwuUR_Z8kb4" TargetMode="External"/><Relationship Id="rId102" Type="http://schemas.openxmlformats.org/officeDocument/2006/relationships/hyperlink" Target="https://www.youtube.com/watch?v=sA8Sje-Amu0" TargetMode="External"/><Relationship Id="rId103" Type="http://schemas.openxmlformats.org/officeDocument/2006/relationships/hyperlink" Target="https://www.youtube.com/watch?v=22qAYGU1Y0o" TargetMode="External"/><Relationship Id="rId104" Type="http://schemas.openxmlformats.org/officeDocument/2006/relationships/hyperlink" Target="https://www.youtube.com/watch?v=Q7KWVNuxHDU" TargetMode="External"/><Relationship Id="rId105" Type="http://schemas.openxmlformats.org/officeDocument/2006/relationships/hyperlink" Target="https://www.youtube.com/watch?v=L8nAxK3fSpU" TargetMode="External"/><Relationship Id="rId106" Type="http://schemas.openxmlformats.org/officeDocument/2006/relationships/hyperlink" Target="https://www.youtube.com/watch?v=CENa72T47j0" TargetMode="External"/><Relationship Id="rId107" Type="http://schemas.openxmlformats.org/officeDocument/2006/relationships/hyperlink" Target="https://www.youtube.com/watch?v=g2_xvYaH7QI" TargetMode="External"/><Relationship Id="rId108" Type="http://schemas.openxmlformats.org/officeDocument/2006/relationships/hyperlink" Target="https://www.youtube.com/watch?v=Ooy4tdaxGg0" TargetMode="External"/><Relationship Id="rId109" Type="http://schemas.openxmlformats.org/officeDocument/2006/relationships/hyperlink" Target="https://www.youtube.com/watch?v=BA4K6lfcdAM" TargetMode="External"/><Relationship Id="rId110" Type="http://schemas.openxmlformats.org/officeDocument/2006/relationships/hyperlink" Target="https://www.youtube.com/watch?v=3_7pAMUD588" TargetMode="External"/><Relationship Id="rId111" Type="http://schemas.openxmlformats.org/officeDocument/2006/relationships/hyperlink" Target="https://www.youtube.com/watch?v=K3JX3u59UhY" TargetMode="External"/><Relationship Id="rId112" Type="http://schemas.openxmlformats.org/officeDocument/2006/relationships/hyperlink" Target="https://www.youtube.com/watch?v=yJs1OxjtPu8" TargetMode="External"/><Relationship Id="rId113" Type="http://schemas.openxmlformats.org/officeDocument/2006/relationships/hyperlink" Target="https://www.youtube.com/watch?v=YCnH12uhPDU" TargetMode="External"/><Relationship Id="rId114" Type="http://schemas.openxmlformats.org/officeDocument/2006/relationships/hyperlink" Target="https://www.youtube.com/watch?v=AltM6ycwADA" TargetMode="External"/><Relationship Id="rId115" Type="http://schemas.openxmlformats.org/officeDocument/2006/relationships/hyperlink" Target="https://www.youtube.com/watch?v=KKwAIzhnpCA" TargetMode="External"/><Relationship Id="rId116" Type="http://schemas.openxmlformats.org/officeDocument/2006/relationships/hyperlink" Target="https://www.youtube.com/watch?v=XTi_JtdnMJM" TargetMode="External"/><Relationship Id="rId117" Type="http://schemas.openxmlformats.org/officeDocument/2006/relationships/hyperlink" Target="https://www.youtube.com/watch?v=MBXIHbNMIH4" TargetMode="External"/><Relationship Id="rId118" Type="http://schemas.openxmlformats.org/officeDocument/2006/relationships/hyperlink" Target="https://www.youtube.com/watch?v=s729yinUGbY" TargetMode="External"/><Relationship Id="rId119" Type="http://schemas.openxmlformats.org/officeDocument/2006/relationships/hyperlink" Target="https://www.youtube.com/watch?v=kK-KIbFOzQw" TargetMode="External"/><Relationship Id="rId120" Type="http://schemas.openxmlformats.org/officeDocument/2006/relationships/hyperlink" Target="https://www.youtube.com/watch?v=BWQaxujCQOs" TargetMode="External"/><Relationship Id="rId121" Type="http://schemas.openxmlformats.org/officeDocument/2006/relationships/hyperlink" Target="https://www.youtube.com/watch?v=UN4SN43I_6A" TargetMode="External"/><Relationship Id="rId122" Type="http://schemas.openxmlformats.org/officeDocument/2006/relationships/hyperlink" Target="https://www.youtube.com/watch?v=-i6o2uF0r8s" TargetMode="External"/><Relationship Id="rId123" Type="http://schemas.openxmlformats.org/officeDocument/2006/relationships/hyperlink" Target="https://www.youtube.com/watch?v=asGR_FOFljA" TargetMode="External"/><Relationship Id="rId124" Type="http://schemas.openxmlformats.org/officeDocument/2006/relationships/hyperlink" Target="https://www.youtube.com/watch?v=KD67TdZK70Q" TargetMode="External"/><Relationship Id="rId125" Type="http://schemas.openxmlformats.org/officeDocument/2006/relationships/hyperlink" Target="https://www.youtube.com/watch?v=mOrHMGMVSh4" TargetMode="External"/><Relationship Id="rId126" Type="http://schemas.openxmlformats.org/officeDocument/2006/relationships/hyperlink" Target="https://www.youtube.com/watch?v=WP1xj15MjnM" TargetMode="External"/><Relationship Id="rId127" Type="http://schemas.openxmlformats.org/officeDocument/2006/relationships/hyperlink" Target="https://www.youtube.com/watch?v=dLuWKMY8cV8" TargetMode="External"/><Relationship Id="rId128" Type="http://schemas.openxmlformats.org/officeDocument/2006/relationships/hyperlink" Target="https://www.youtube.com/watch?v=M-X7PIuxHS0" TargetMode="External"/><Relationship Id="rId129" Type="http://schemas.openxmlformats.org/officeDocument/2006/relationships/hyperlink" Target="https://www.youtube.com/watch?v=b3NaWMh6tgQ" TargetMode="External"/><Relationship Id="rId130" Type="http://schemas.openxmlformats.org/officeDocument/2006/relationships/hyperlink" Target="https://www.youtube.com/watch?v=sWR9a3tBZVY" TargetMode="External"/><Relationship Id="rId131" Type="http://schemas.openxmlformats.org/officeDocument/2006/relationships/hyperlink" Target="https://www.youtube.com/watch?v=1pkokOa9arg" TargetMode="External"/><Relationship Id="rId132" Type="http://schemas.openxmlformats.org/officeDocument/2006/relationships/hyperlink" Target="https://www.youtube.com/watch?v=BwSJCkTBN0c" TargetMode="External"/><Relationship Id="rId133" Type="http://schemas.openxmlformats.org/officeDocument/2006/relationships/hyperlink" Target="https://www.youtube.com/watch?v=TCpKWtJ9g9A" TargetMode="External"/><Relationship Id="rId134" Type="http://schemas.openxmlformats.org/officeDocument/2006/relationships/hyperlink" Target="https://www.youtube.com/watch?v=BkBcQBgUdWw" TargetMode="External"/><Relationship Id="rId135" Type="http://schemas.openxmlformats.org/officeDocument/2006/relationships/hyperlink" Target="https://www.youtube.com/watch?v=_rakGya8Y3E" TargetMode="External"/><Relationship Id="rId136" Type="http://schemas.openxmlformats.org/officeDocument/2006/relationships/hyperlink" Target="https://www.youtube.com/watch?v=DY_RDyZBSL4" TargetMode="External"/><Relationship Id="rId137" Type="http://schemas.openxmlformats.org/officeDocument/2006/relationships/hyperlink" Target="https://www.youtube.com/watch?v=D91jcPrxIJw" TargetMode="External"/><Relationship Id="rId138" Type="http://schemas.openxmlformats.org/officeDocument/2006/relationships/hyperlink" Target="https://www.youtube.com/watch?v=7KNgLUA587w" TargetMode="External"/><Relationship Id="rId139" Type="http://schemas.openxmlformats.org/officeDocument/2006/relationships/hyperlink" Target="https://www.youtube.com/watch?v=eanifUMkxHo" TargetMode="External"/><Relationship Id="rId140" Type="http://schemas.openxmlformats.org/officeDocument/2006/relationships/hyperlink" Target="https://www.youtube.com/watch?v=2B1KRrid-b4" TargetMode="External"/><Relationship Id="rId141" Type="http://schemas.openxmlformats.org/officeDocument/2006/relationships/hyperlink" Target="https://www.youtube.com/watch?v=SCnuJpgJaxc" TargetMode="External"/><Relationship Id="rId142" Type="http://schemas.openxmlformats.org/officeDocument/2006/relationships/hyperlink" Target="https://www.youtube.com/watch?v=7F86WvNvU3U" TargetMode="External"/><Relationship Id="rId143" Type="http://schemas.openxmlformats.org/officeDocument/2006/relationships/hyperlink" Target="https://www.youtube.com/watch?v=F3s_Jh29H5w" TargetMode="External"/><Relationship Id="rId144" Type="http://schemas.openxmlformats.org/officeDocument/2006/relationships/hyperlink" Target="https://www.youtube.com/watch?v=03aBMNSCuzA" TargetMode="External"/><Relationship Id="rId145" Type="http://schemas.openxmlformats.org/officeDocument/2006/relationships/hyperlink" Target="https://www.youtube.com/watch?v=GhkNXh0m5Nk" TargetMode="External"/><Relationship Id="rId146" Type="http://schemas.openxmlformats.org/officeDocument/2006/relationships/hyperlink" Target="https://www.youtube.com/watch?v=2vT6TudpdLs" TargetMode="External"/><Relationship Id="rId147" Type="http://schemas.openxmlformats.org/officeDocument/2006/relationships/hyperlink" Target="https://www.youtube.com/watch?v=r5WvUEPhCfo" TargetMode="External"/><Relationship Id="rId148" Type="http://schemas.openxmlformats.org/officeDocument/2006/relationships/hyperlink" Target="https://www.youtube.com/watch?v=upxTXulI7Vw" TargetMode="External"/><Relationship Id="rId149" Type="http://schemas.openxmlformats.org/officeDocument/2006/relationships/hyperlink" Target="https://www.youtube.com/watch?v=AxuGkz78pBA" TargetMode="External"/><Relationship Id="rId150" Type="http://schemas.openxmlformats.org/officeDocument/2006/relationships/hyperlink" Target="https://www.youtube.com/watch?v=MhiAiPvxiUM" TargetMode="External"/><Relationship Id="rId151" Type="http://schemas.openxmlformats.org/officeDocument/2006/relationships/hyperlink" Target="https://www.youtube.com/watch?v=v1Sbi4wdMVs" TargetMode="External"/><Relationship Id="rId152" Type="http://schemas.openxmlformats.org/officeDocument/2006/relationships/hyperlink" Target="https://www.youtube.com/watch?v=ZFsYdpEkRRc" TargetMode="External"/><Relationship Id="rId153" Type="http://schemas.openxmlformats.org/officeDocument/2006/relationships/hyperlink" Target="https://www.youtube.com/watch?v=gH1EabSgLMk" TargetMode="External"/><Relationship Id="rId154" Type="http://schemas.openxmlformats.org/officeDocument/2006/relationships/hyperlink" Target="https://www.youtube.com/watch?v=OBzbE0H9FUM" TargetMode="External"/><Relationship Id="rId155" Type="http://schemas.openxmlformats.org/officeDocument/2006/relationships/hyperlink" Target="https://www.youtube.com/watch?v=VCq-ZQg6i08" TargetMode="External"/><Relationship Id="rId156" Type="http://schemas.openxmlformats.org/officeDocument/2006/relationships/hyperlink" Target="https://www.youtube.com/watch?v=CV3jWuFSHo4" TargetMode="External"/><Relationship Id="rId157" Type="http://schemas.openxmlformats.org/officeDocument/2006/relationships/hyperlink" Target="https://www.youtube.com/watch?v=TKPTNFeMGTA" TargetMode="External"/><Relationship Id="rId158" Type="http://schemas.openxmlformats.org/officeDocument/2006/relationships/hyperlink" Target="https://www.youtube.com/watch?v=jIn1ZDOUY00" TargetMode="External"/><Relationship Id="rId159" Type="http://schemas.openxmlformats.org/officeDocument/2006/relationships/hyperlink" Target="https://www.youtube.com/watch?v=3S48hbwkFdg" TargetMode="External"/><Relationship Id="rId160" Type="http://schemas.openxmlformats.org/officeDocument/2006/relationships/hyperlink" Target="https://www.youtube.com/watch?v=3ECCimg6KSE" TargetMode="External"/><Relationship Id="rId161" Type="http://schemas.openxmlformats.org/officeDocument/2006/relationships/hyperlink" Target="https://www.youtube.com/watch?v=NnoHlaxJhes" TargetMode="External"/><Relationship Id="rId162" Type="http://schemas.openxmlformats.org/officeDocument/2006/relationships/hyperlink" Target="https://www.youtube.com/watch?v=l_Ef3D9-8jc" TargetMode="External"/><Relationship Id="rId163" Type="http://schemas.openxmlformats.org/officeDocument/2006/relationships/hyperlink" Target="https://www.youtube.com/watch?v=10Tus9CBjG4" TargetMode="External"/><Relationship Id="rId164" Type="http://schemas.openxmlformats.org/officeDocument/2006/relationships/hyperlink" Target="https://www.youtube.com/watch?v=7d4luvgDnnU" TargetMode="External"/><Relationship Id="rId165" Type="http://schemas.openxmlformats.org/officeDocument/2006/relationships/hyperlink" Target="https://www.youtube.com/watch?v=4M_mon2ubH0" TargetMode="External"/><Relationship Id="rId166" Type="http://schemas.openxmlformats.org/officeDocument/2006/relationships/hyperlink" Target="https://www.youtube.com/watch?v=zYUjp9_GHCg" TargetMode="External"/><Relationship Id="rId167" Type="http://schemas.openxmlformats.org/officeDocument/2006/relationships/hyperlink" Target="https://www.youtube.com/watch?v=lkb3nwp_jIE" TargetMode="External"/><Relationship Id="rId168" Type="http://schemas.openxmlformats.org/officeDocument/2006/relationships/hyperlink" Target="https://www.youtube.com/watch?v=pUDjkNvsfEc" TargetMode="External"/><Relationship Id="rId169" Type="http://schemas.openxmlformats.org/officeDocument/2006/relationships/hyperlink" Target="https://www.youtube.com/watch?v=jnrb8dKKHvw" TargetMode="External"/><Relationship Id="rId170" Type="http://schemas.openxmlformats.org/officeDocument/2006/relationships/hyperlink" Target="https://www.youtube.com/watch?v=Bg2LHJoIgao" TargetMode="External"/><Relationship Id="rId171" Type="http://schemas.openxmlformats.org/officeDocument/2006/relationships/hyperlink" Target="https://www.youtube.com/watch?v=iRhuwIV6msA" TargetMode="External"/><Relationship Id="rId172" Type="http://schemas.openxmlformats.org/officeDocument/2006/relationships/hyperlink" Target="https://www.youtube.com/watch?v=sLAIM8GJR3w" TargetMode="External"/><Relationship Id="rId173" Type="http://schemas.openxmlformats.org/officeDocument/2006/relationships/hyperlink" Target="https://www.youtube.com/watch?v=Ql7RBhjJ7GE" TargetMode="External"/><Relationship Id="rId174" Type="http://schemas.openxmlformats.org/officeDocument/2006/relationships/hyperlink" Target="https://www.youtube.com/watch?v=SLhqztA0E2I" TargetMode="External"/><Relationship Id="rId175" Type="http://schemas.openxmlformats.org/officeDocument/2006/relationships/hyperlink" Target="https://www.youtube.com/watch?v=nnpASPO3WxQ" TargetMode="External"/><Relationship Id="rId176" Type="http://schemas.openxmlformats.org/officeDocument/2006/relationships/hyperlink" Target="https://www.youtube.com/watch?v=y7QZvbPdVC4" TargetMode="External"/><Relationship Id="rId177" Type="http://schemas.openxmlformats.org/officeDocument/2006/relationships/hyperlink" Target="https://www.youtube.com/watch?v=oLmjuV11eTs" TargetMode="External"/><Relationship Id="rId178" Type="http://schemas.openxmlformats.org/officeDocument/2006/relationships/hyperlink" Target="https://www.youtube.com/watch?v=R2szHuS-jFc" TargetMode="External"/><Relationship Id="rId179" Type="http://schemas.openxmlformats.org/officeDocument/2006/relationships/hyperlink" Target="https://www.youtube.com/watch?v=DZgK3I78PCA" TargetMode="External"/><Relationship Id="rId180" Type="http://schemas.openxmlformats.org/officeDocument/2006/relationships/hyperlink" Target="https://www.youtube.com/watch?v=xVgVavfHn7I" TargetMode="External"/><Relationship Id="rId181" Type="http://schemas.openxmlformats.org/officeDocument/2006/relationships/hyperlink" Target="https://www.youtube.com/watch?v=iVPJ4J4tP3g" TargetMode="External"/><Relationship Id="rId182" Type="http://schemas.openxmlformats.org/officeDocument/2006/relationships/hyperlink" Target="https://www.youtube.com/watch?v=MzIelLQ4Gmo" TargetMode="External"/><Relationship Id="rId183" Type="http://schemas.openxmlformats.org/officeDocument/2006/relationships/hyperlink" Target="https://www.youtube.com/watch?v=D-0Quvs4aL4" TargetMode="External"/><Relationship Id="rId184" Type="http://schemas.openxmlformats.org/officeDocument/2006/relationships/hyperlink" Target="https://www.youtube.com/watch?v=69gsm1iMGr0" TargetMode="External"/><Relationship Id="rId185" Type="http://schemas.openxmlformats.org/officeDocument/2006/relationships/hyperlink" Target="https://www.youtube.com/watch?v=uR_fIjMSmpo" TargetMode="External"/><Relationship Id="rId186" Type="http://schemas.openxmlformats.org/officeDocument/2006/relationships/hyperlink" Target="https://www.youtube.com/watch?v=FwL7IKsfjZ0" TargetMode="External"/><Relationship Id="rId187" Type="http://schemas.openxmlformats.org/officeDocument/2006/relationships/hyperlink" Target="https://www.youtube.com/watch?v=VFsn-LfKCjI" TargetMode="External"/><Relationship Id="rId188" Type="http://schemas.openxmlformats.org/officeDocument/2006/relationships/hyperlink" Target="https://www.youtube.com/watch?v=TyuYETb4k_I" TargetMode="External"/><Relationship Id="rId189" Type="http://schemas.openxmlformats.org/officeDocument/2006/relationships/hyperlink" Target="https://www.youtube.com/watch?v=vGKgUPf3A64" TargetMode="External"/><Relationship Id="rId190" Type="http://schemas.openxmlformats.org/officeDocument/2006/relationships/hyperlink" Target="https://www.youtube.com/watch?v=oAoqrEsk5_k" TargetMode="External"/><Relationship Id="rId191" Type="http://schemas.openxmlformats.org/officeDocument/2006/relationships/hyperlink" Target="https://www.youtube.com/watch?v=d23v9RM3GXA" TargetMode="External"/><Relationship Id="rId192" Type="http://schemas.openxmlformats.org/officeDocument/2006/relationships/hyperlink" Target="https://www.youtube.com/watch?v=uts5CNIBuXk" TargetMode="External"/><Relationship Id="rId193" Type="http://schemas.openxmlformats.org/officeDocument/2006/relationships/hyperlink" Target="https://www.youtube.com/watch?v=kWHAzsYec6o" TargetMode="External"/><Relationship Id="rId194" Type="http://schemas.openxmlformats.org/officeDocument/2006/relationships/hyperlink" Target="https://www.youtube.com/watch?v=f_GR7AZEDWo" TargetMode="External"/><Relationship Id="rId195" Type="http://schemas.openxmlformats.org/officeDocument/2006/relationships/hyperlink" Target="https://www.youtube.com/watch?v=lKWYc414iro" TargetMode="External"/><Relationship Id="rId196" Type="http://schemas.openxmlformats.org/officeDocument/2006/relationships/hyperlink" Target="https://www.youtube.com/watch?v=77ArLz9A7yI" TargetMode="External"/><Relationship Id="rId197" Type="http://schemas.openxmlformats.org/officeDocument/2006/relationships/hyperlink" Target="https://www.youtube.com/watch?v=dgk8uNfJnAQ" TargetMode="External"/><Relationship Id="rId198" Type="http://schemas.openxmlformats.org/officeDocument/2006/relationships/hyperlink" Target="https://www.youtube.com/watch?v=4T39JIOiytw" TargetMode="External"/><Relationship Id="rId199" Type="http://schemas.openxmlformats.org/officeDocument/2006/relationships/hyperlink" Target="https://www.youtube.com/watch?v=b-W_PCM7Tfk" TargetMode="External"/><Relationship Id="rId200" Type="http://schemas.openxmlformats.org/officeDocument/2006/relationships/hyperlink" Target="https://www.youtube.com/watch?v=raIclmdJOPo" TargetMode="External"/><Relationship Id="rId201" Type="http://schemas.openxmlformats.org/officeDocument/2006/relationships/hyperlink" Target="https://www.youtube.com/watch?v=HAe1cqz3NBs" TargetMode="External"/><Relationship Id="rId202" Type="http://schemas.openxmlformats.org/officeDocument/2006/relationships/hyperlink" Target="https://www.youtube.com/watch?v=V4VuRC5oC8c" TargetMode="External"/><Relationship Id="rId203" Type="http://schemas.openxmlformats.org/officeDocument/2006/relationships/hyperlink" Target="https://www.youtube.com/watch?v=0Fa60LWMuPk" TargetMode="External"/><Relationship Id="rId204" Type="http://schemas.openxmlformats.org/officeDocument/2006/relationships/hyperlink" Target="https://www.youtube.com/watch?v=uCbcN87colY" TargetMode="External"/><Relationship Id="rId205" Type="http://schemas.openxmlformats.org/officeDocument/2006/relationships/hyperlink" Target="https://www.youtube.com/watch?v=edk-IFhNPp0" TargetMode="External"/><Relationship Id="rId206" Type="http://schemas.openxmlformats.org/officeDocument/2006/relationships/hyperlink" Target="https://www.youtube.com/watch?v=4jsv2ClMV6o" TargetMode="External"/><Relationship Id="rId207" Type="http://schemas.openxmlformats.org/officeDocument/2006/relationships/hyperlink" Target="https://www.youtube.com/watch?v=3z53bFanal4" TargetMode="External"/><Relationship Id="rId208" Type="http://schemas.openxmlformats.org/officeDocument/2006/relationships/hyperlink" Target="https://www.youtube.com/watch?v=cL8aSaXYjuA" TargetMode="External"/><Relationship Id="rId209" Type="http://schemas.openxmlformats.org/officeDocument/2006/relationships/hyperlink" Target="https://www.youtube.com/watch?v=yTRL5DDVsn0" TargetMode="External"/><Relationship Id="rId210" Type="http://schemas.openxmlformats.org/officeDocument/2006/relationships/hyperlink" Target="https://www.youtube.com/watch?v=ILdHR_ZTt0c" TargetMode="External"/><Relationship Id="rId211" Type="http://schemas.openxmlformats.org/officeDocument/2006/relationships/hyperlink" Target="https://www.youtube.com/watch?v=j6HKEUrJs0U" TargetMode="External"/><Relationship Id="rId212" Type="http://schemas.openxmlformats.org/officeDocument/2006/relationships/hyperlink" Target="https://www.youtube.com/watch?v=-FRkMaG7ok4" TargetMode="External"/><Relationship Id="rId213" Type="http://schemas.openxmlformats.org/officeDocument/2006/relationships/hyperlink" Target="https://www.youtube.com/watch?v=dKS3AFX1cAc" TargetMode="External"/><Relationship Id="rId214" Type="http://schemas.openxmlformats.org/officeDocument/2006/relationships/hyperlink" Target="https://www.youtube.com/watch?v=eSnBj7k4RHI" TargetMode="External"/><Relationship Id="rId215" Type="http://schemas.openxmlformats.org/officeDocument/2006/relationships/hyperlink" Target="https://www.youtube.com/watch?v=mjA7tOUJDtQ" TargetMode="External"/><Relationship Id="rId216" Type="http://schemas.openxmlformats.org/officeDocument/2006/relationships/hyperlink" Target="https://www.youtube.com/watch?v=cRdiTjNfKoc" TargetMode="External"/><Relationship Id="rId217" Type="http://schemas.openxmlformats.org/officeDocument/2006/relationships/hyperlink" Target="https://www.youtube.com/watch?v=6EQ7Klt5deY" TargetMode="External"/><Relationship Id="rId218" Type="http://schemas.openxmlformats.org/officeDocument/2006/relationships/hyperlink" Target="https://www.youtube.com/watch?v=CEdkxDrsUl0" TargetMode="External"/><Relationship Id="rId219" Type="http://schemas.openxmlformats.org/officeDocument/2006/relationships/hyperlink" Target="https://www.youtube.com/watch?v=aonx_SmsNUg" TargetMode="External"/><Relationship Id="rId220" Type="http://schemas.openxmlformats.org/officeDocument/2006/relationships/hyperlink" Target="https://www.youtube.com/watch?v=S0VT5FIdusM" TargetMode="External"/><Relationship Id="rId221" Type="http://schemas.openxmlformats.org/officeDocument/2006/relationships/hyperlink" Target="https://www.youtube.com/watch?v=xK2n8FL-FDQ" TargetMode="External"/><Relationship Id="rId222" Type="http://schemas.openxmlformats.org/officeDocument/2006/relationships/hyperlink" Target="https://www.youtube.com/watch?v=uiHuUQAK5aA" TargetMode="External"/><Relationship Id="rId223" Type="http://schemas.openxmlformats.org/officeDocument/2006/relationships/hyperlink" Target="https://www.youtube.com/watch?v=8msfDgSs2DQ" TargetMode="External"/><Relationship Id="rId224" Type="http://schemas.openxmlformats.org/officeDocument/2006/relationships/hyperlink" Target="https://www.youtube.com/watch?v=4kiYVtQRp5Q" TargetMode="External"/><Relationship Id="rId225" Type="http://schemas.openxmlformats.org/officeDocument/2006/relationships/hyperlink" Target="https://www.youtube.com/watch?v=mJ1qLENEmCU" TargetMode="External"/><Relationship Id="rId226" Type="http://schemas.openxmlformats.org/officeDocument/2006/relationships/hyperlink" Target="https://www.youtube.com/watch?v=FWCc-4uc4Gg" TargetMode="External"/><Relationship Id="rId227" Type="http://schemas.openxmlformats.org/officeDocument/2006/relationships/hyperlink" Target="https://www.youtube.com/watch?v=NAJ8vEHi47g" TargetMode="External"/><Relationship Id="rId228" Type="http://schemas.openxmlformats.org/officeDocument/2006/relationships/hyperlink" Target="https://www.youtube.com/watch?v=95hfv5CDagk" TargetMode="External"/><Relationship Id="rId229" Type="http://schemas.openxmlformats.org/officeDocument/2006/relationships/hyperlink" Target="https://www.youtube.com/watch?v=Y0i9aEq3nPI" TargetMode="External"/><Relationship Id="rId230" Type="http://schemas.openxmlformats.org/officeDocument/2006/relationships/hyperlink" Target="https://www.youtube.com/watch?v=t9Nfrkfx2yY" TargetMode="External"/><Relationship Id="rId231" Type="http://schemas.openxmlformats.org/officeDocument/2006/relationships/hyperlink" Target="https://www.youtube.com/watch?v=mgSbrOJtYF0" TargetMode="External"/><Relationship Id="rId232" Type="http://schemas.openxmlformats.org/officeDocument/2006/relationships/hyperlink" Target="https://www.youtube.com/watch?v=tiyIh86V1w0" TargetMode="External"/><Relationship Id="rId233" Type="http://schemas.openxmlformats.org/officeDocument/2006/relationships/hyperlink" Target="https://www.youtube.com/watch?v=k4zizDotKGY" TargetMode="External"/><Relationship Id="rId234" Type="http://schemas.openxmlformats.org/officeDocument/2006/relationships/hyperlink" Target="https://www.youtube.com/watch?v=uJNNdtixjaI" TargetMode="External"/><Relationship Id="rId235" Type="http://schemas.openxmlformats.org/officeDocument/2006/relationships/hyperlink" Target="https://www.youtube.com/watch?v=5fdcofNDsnc" TargetMode="External"/><Relationship Id="rId236" Type="http://schemas.openxmlformats.org/officeDocument/2006/relationships/hyperlink" Target="https://www.youtube.com/watch?v=S3hdw5ps9Y4" TargetMode="External"/><Relationship Id="rId237" Type="http://schemas.openxmlformats.org/officeDocument/2006/relationships/hyperlink" Target="https://www.youtube.com/watch?v=f_rImBA5p0o" TargetMode="External"/><Relationship Id="rId238" Type="http://schemas.openxmlformats.org/officeDocument/2006/relationships/hyperlink" Target="https://www.youtube.com/watch?v=xZ0XGDjMP-Y" TargetMode="External"/><Relationship Id="rId239" Type="http://schemas.openxmlformats.org/officeDocument/2006/relationships/hyperlink" Target="https://www.youtube.com/watch?v=H4pFkouRNQU" TargetMode="External"/><Relationship Id="rId240" Type="http://schemas.openxmlformats.org/officeDocument/2006/relationships/hyperlink" Target="https://www.youtube.com/watch?v=tY8LfQZix6c" TargetMode="External"/><Relationship Id="rId241" Type="http://schemas.openxmlformats.org/officeDocument/2006/relationships/hyperlink" Target="https://www.youtube.com/watch?v=LwsIsm4LVlA" TargetMode="External"/><Relationship Id="rId242" Type="http://schemas.openxmlformats.org/officeDocument/2006/relationships/hyperlink" Target="https://www.youtube.com/watch?v=rHw1juJvsOo" TargetMode="External"/><Relationship Id="rId243" Type="http://schemas.openxmlformats.org/officeDocument/2006/relationships/hyperlink" Target="https://www.youtube.com/watch?v=Pg1ZNXv8_Jo" TargetMode="External"/><Relationship Id="rId244" Type="http://schemas.openxmlformats.org/officeDocument/2006/relationships/hyperlink" Target="https://www.youtube.com/watch?v=58pckPHl5ss" TargetMode="External"/><Relationship Id="rId245" Type="http://schemas.openxmlformats.org/officeDocument/2006/relationships/hyperlink" Target="https://www.youtube.com/watch?v=VYqv6z9M3qk" TargetMode="External"/><Relationship Id="rId246" Type="http://schemas.openxmlformats.org/officeDocument/2006/relationships/hyperlink" Target="https://www.youtube.com/watch?v=-QlMiyUl1nQ" TargetMode="External"/><Relationship Id="rId247" Type="http://schemas.openxmlformats.org/officeDocument/2006/relationships/hyperlink" Target="https://www.youtube.com/watch?v=ZvVwU57osa4" TargetMode="External"/><Relationship Id="rId248" Type="http://schemas.openxmlformats.org/officeDocument/2006/relationships/hyperlink" Target="https://www.youtube.com/watch?v=Hlb-rO_dc8s" TargetMode="External"/><Relationship Id="rId249" Type="http://schemas.openxmlformats.org/officeDocument/2006/relationships/hyperlink" Target="https://www.youtube.com/watch?v=x_oYxvyv11s" TargetMode="External"/><Relationship Id="rId250" Type="http://schemas.openxmlformats.org/officeDocument/2006/relationships/hyperlink" Target="https://www.youtube.com/watch?v=hOuvpubuSaw" TargetMode="External"/><Relationship Id="rId251" Type="http://schemas.openxmlformats.org/officeDocument/2006/relationships/hyperlink" Target="https://www.youtube.com/watch?v=4tPKM69ZMHE" TargetMode="External"/><Relationship Id="rId252" Type="http://schemas.openxmlformats.org/officeDocument/2006/relationships/hyperlink" Target="https://www.youtube.com/watch?v=VuaIfoh8Ptc" TargetMode="External"/><Relationship Id="rId253" Type="http://schemas.openxmlformats.org/officeDocument/2006/relationships/hyperlink" Target="https://www.youtube.com/watch?v=FCz-gDAicd8" TargetMode="External"/><Relationship Id="rId254" Type="http://schemas.openxmlformats.org/officeDocument/2006/relationships/hyperlink" Target="https://www.youtube.com/watch?v=hEq1Y8Pm3fg" TargetMode="External"/><Relationship Id="rId255" Type="http://schemas.openxmlformats.org/officeDocument/2006/relationships/hyperlink" Target="https://www.youtube.com/watch?v=FcDaoIzxgcM" TargetMode="External"/><Relationship Id="rId256" Type="http://schemas.openxmlformats.org/officeDocument/2006/relationships/hyperlink" Target="https://www.youtube.com/watch?v=hWXD8EeJo6s" TargetMode="External"/><Relationship Id="rId257" Type="http://schemas.openxmlformats.org/officeDocument/2006/relationships/hyperlink" Target="https://www.youtube.com/watch?v=UWwkysQdNIU" TargetMode="External"/><Relationship Id="rId258" Type="http://schemas.openxmlformats.org/officeDocument/2006/relationships/hyperlink" Target="https://www.youtube.com/watch?v=4z6I3yGVS-M" TargetMode="External"/><Relationship Id="rId259" Type="http://schemas.openxmlformats.org/officeDocument/2006/relationships/hyperlink" Target="https://www.youtube.com/watch?v=LBgLEM2jm-c" TargetMode="External"/><Relationship Id="rId260" Type="http://schemas.openxmlformats.org/officeDocument/2006/relationships/hyperlink" Target="https://www.youtube.com/watch?v=X-e_WsgWjUU" TargetMode="External"/><Relationship Id="rId261" Type="http://schemas.openxmlformats.org/officeDocument/2006/relationships/hyperlink" Target="https://www.youtube.com/watch?v=mEJU6T0Ac2c" TargetMode="External"/><Relationship Id="rId262" Type="http://schemas.openxmlformats.org/officeDocument/2006/relationships/hyperlink" Target="https://www.youtube.com/watch?v=gNLTZipajwM" TargetMode="External"/><Relationship Id="rId263" Type="http://schemas.openxmlformats.org/officeDocument/2006/relationships/hyperlink" Target="https://www.youtube.com/watch?v=PAJ5UomIm4w" TargetMode="External"/><Relationship Id="rId264" Type="http://schemas.openxmlformats.org/officeDocument/2006/relationships/hyperlink" Target="https://www.youtube.com/watch?v=RmxR883d7DQ" TargetMode="External"/><Relationship Id="rId265" Type="http://schemas.openxmlformats.org/officeDocument/2006/relationships/hyperlink" Target="https://www.youtube.com/watch?v=mWFupi4YOBA" TargetMode="External"/><Relationship Id="rId266" Type="http://schemas.openxmlformats.org/officeDocument/2006/relationships/hyperlink" Target="https://www.youtube.com/watch?v=I2vhPP1VgkA" TargetMode="External"/><Relationship Id="rId267" Type="http://schemas.openxmlformats.org/officeDocument/2006/relationships/hyperlink" Target="https://www.youtube.com/watch?v=ADQxr0da_yk" TargetMode="External"/><Relationship Id="rId268" Type="http://schemas.openxmlformats.org/officeDocument/2006/relationships/hyperlink" Target="https://www.youtube.com/watch?v=ihXKv9qqbZw" TargetMode="External"/><Relationship Id="rId269" Type="http://schemas.openxmlformats.org/officeDocument/2006/relationships/hyperlink" Target="https://www.youtube.com/watch?v=X739XUv0xkE" TargetMode="External"/><Relationship Id="rId270" Type="http://schemas.openxmlformats.org/officeDocument/2006/relationships/hyperlink" Target="https://www.youtube.com/watch?v=IaejYqKM6mI" TargetMode="External"/><Relationship Id="rId271" Type="http://schemas.openxmlformats.org/officeDocument/2006/relationships/hyperlink" Target="https://www.youtube.com/watch?v=TeGAC9MoZow" TargetMode="External"/><Relationship Id="rId272" Type="http://schemas.openxmlformats.org/officeDocument/2006/relationships/hyperlink" Target="https://www.youtube.com/watch?v=VYhlgQu-JOI" TargetMode="External"/><Relationship Id="rId273" Type="http://schemas.openxmlformats.org/officeDocument/2006/relationships/hyperlink" Target="https://www.youtube.com/watch?v=pXjCmheNuug" TargetMode="External"/><Relationship Id="rId274" Type="http://schemas.openxmlformats.org/officeDocument/2006/relationships/hyperlink" Target="https://www.youtube.com/watch?v=66KjiicFGL4" TargetMode="External"/><Relationship Id="rId275" Type="http://schemas.openxmlformats.org/officeDocument/2006/relationships/hyperlink" Target="https://www.youtube.com/watch?v=KLt-sO1G74A" TargetMode="External"/><Relationship Id="rId276" Type="http://schemas.openxmlformats.org/officeDocument/2006/relationships/hyperlink" Target="https://www.youtube.com/watch?v=n5HblR27soE" TargetMode="External"/><Relationship Id="rId277" Type="http://schemas.openxmlformats.org/officeDocument/2006/relationships/hyperlink" Target="https://www.youtube.com/watch?v=QFDDU7lpsuA" TargetMode="External"/><Relationship Id="rId278" Type="http://schemas.openxmlformats.org/officeDocument/2006/relationships/hyperlink" Target="https://www.youtube.com/watch?v=JwIWZuq5o14" TargetMode="External"/><Relationship Id="rId279" Type="http://schemas.openxmlformats.org/officeDocument/2006/relationships/hyperlink" Target="https://www.youtube.com/watch?v=0fwT622SLB8" TargetMode="External"/><Relationship Id="rId280" Type="http://schemas.openxmlformats.org/officeDocument/2006/relationships/hyperlink" Target="https://www.youtube.com/watch?v=QaQNYFjvKxs" TargetMode="External"/><Relationship Id="rId281" Type="http://schemas.openxmlformats.org/officeDocument/2006/relationships/hyperlink" Target="https://www.youtube.com/watch?v=fyegmq-hMhI" TargetMode="External"/><Relationship Id="rId282" Type="http://schemas.openxmlformats.org/officeDocument/2006/relationships/hyperlink" Target="https://www.youtube.com/watch?v=KGFphcefwXA" TargetMode="External"/><Relationship Id="rId283" Type="http://schemas.openxmlformats.org/officeDocument/2006/relationships/hyperlink" Target="https://www.youtube.com/watch?v=eNsLjk2fJxc" TargetMode="External"/><Relationship Id="rId284" Type="http://schemas.openxmlformats.org/officeDocument/2006/relationships/drawing" Target="../drawings/drawing3.xml"/>
</Relationships>
</file>

<file path=xl/worksheets/_rels/sheet6.xml.rels><?xml version="1.0" encoding="UTF-8"?>
<Relationships xmlns="http://schemas.openxmlformats.org/package/2006/relationships"><Relationship Id="rId1" Type="http://schemas.openxmlformats.org/officeDocument/2006/relationships/hyperlink" Target="https://www.youtube.com/watch?v=bynlxFY8R_I" TargetMode="External"/><Relationship Id="rId2" Type="http://schemas.openxmlformats.org/officeDocument/2006/relationships/hyperlink" Target="https://www.youtube.com/watch?v=EwoohZ4dHZc" TargetMode="External"/><Relationship Id="rId3" Type="http://schemas.openxmlformats.org/officeDocument/2006/relationships/hyperlink" Target="https://www.youtube.com/watch?v=BBvS4uwNF5U" TargetMode="External"/><Relationship Id="rId4" Type="http://schemas.openxmlformats.org/officeDocument/2006/relationships/hyperlink" Target="https://www.youtube.com/watch?v=Fz2-LSMEov0" TargetMode="External"/><Relationship Id="rId5" Type="http://schemas.openxmlformats.org/officeDocument/2006/relationships/hyperlink" Target="https://www.youtube.com/watch?v=xMHvz-43Fdk" TargetMode="External"/><Relationship Id="rId6" Type="http://schemas.openxmlformats.org/officeDocument/2006/relationships/hyperlink" Target="https://www.youtube.com/watch?v=vRC-Mbj2gI0" TargetMode="External"/><Relationship Id="rId7" Type="http://schemas.openxmlformats.org/officeDocument/2006/relationships/hyperlink" Target="https://www.youtube.com/watch?v=cMwLknD6ZMA" TargetMode="External"/><Relationship Id="rId8" Type="http://schemas.openxmlformats.org/officeDocument/2006/relationships/hyperlink" Target="https://www.youtube.com/watch?v=DNPx-XrdCuQ" TargetMode="External"/><Relationship Id="rId9" Type="http://schemas.openxmlformats.org/officeDocument/2006/relationships/hyperlink" Target="https://www.youtube.com/watch?v=CVIUh9LKl78" TargetMode="External"/><Relationship Id="rId10" Type="http://schemas.openxmlformats.org/officeDocument/2006/relationships/hyperlink" Target="https://www.youtube.com/watch?v=ahMemzGlSRQ" TargetMode="External"/><Relationship Id="rId11" Type="http://schemas.openxmlformats.org/officeDocument/2006/relationships/hyperlink" Target="https://www.youtube.com/watch?v=iqi43TKHuVY" TargetMode="External"/><Relationship Id="rId12" Type="http://schemas.openxmlformats.org/officeDocument/2006/relationships/hyperlink" Target="https://www.youtube.com/watch?v=Ktj83BMnaoM" TargetMode="External"/><Relationship Id="rId13" Type="http://schemas.openxmlformats.org/officeDocument/2006/relationships/hyperlink" Target="https://www.youtube.com/watch?v=u-gS07N-hV0" TargetMode="External"/><Relationship Id="rId14" Type="http://schemas.openxmlformats.org/officeDocument/2006/relationships/hyperlink" Target="https://www.youtube.com/watch?v=C0OFM297MlU" TargetMode="External"/><Relationship Id="rId15" Type="http://schemas.openxmlformats.org/officeDocument/2006/relationships/hyperlink" Target="https://www.youtube.com/watch?v=SN6_YKVl-U0" TargetMode="External"/><Relationship Id="rId16" Type="http://schemas.openxmlformats.org/officeDocument/2006/relationships/hyperlink" Target="https://www.youtube.com/watch?v=SyYkOglVVLo" TargetMode="External"/><Relationship Id="rId17" Type="http://schemas.openxmlformats.org/officeDocument/2006/relationships/hyperlink" Target="https://www.youtube.com/watch?v=rXJlIqMys04" TargetMode="External"/><Relationship Id="rId18" Type="http://schemas.openxmlformats.org/officeDocument/2006/relationships/hyperlink" Target="https://www.youtube.com/watch?v=TQW8TUirVHA" TargetMode="External"/><Relationship Id="rId19" Type="http://schemas.openxmlformats.org/officeDocument/2006/relationships/hyperlink" Target="https://www.youtube.com/watch?v=DcfhBvF1wYQ" TargetMode="External"/><Relationship Id="rId20" Type="http://schemas.openxmlformats.org/officeDocument/2006/relationships/hyperlink" Target="https://www.youtube.com/watch?v=QL404TsHKvs" TargetMode="External"/><Relationship Id="rId21" Type="http://schemas.openxmlformats.org/officeDocument/2006/relationships/hyperlink" Target="https://www.youtube.com/watch?v=vw9xRBwzzxg" TargetMode="External"/><Relationship Id="rId22" Type="http://schemas.openxmlformats.org/officeDocument/2006/relationships/hyperlink" Target="https://www.youtube.com/watch?v=TaSSS4Fsi5o" TargetMode="External"/><Relationship Id="rId23" Type="http://schemas.openxmlformats.org/officeDocument/2006/relationships/hyperlink" Target="https://www.youtube.com/watch?v=iEWhdk598aM" TargetMode="External"/><Relationship Id="rId24" Type="http://schemas.openxmlformats.org/officeDocument/2006/relationships/hyperlink" Target="https://www.youtube.com/watch?v=yii4FkVbrTc" TargetMode="External"/><Relationship Id="rId25" Type="http://schemas.openxmlformats.org/officeDocument/2006/relationships/hyperlink" Target="https://www.youtube.com/watch?v=TfrPtbu7FX0" TargetMode="External"/><Relationship Id="rId26" Type="http://schemas.openxmlformats.org/officeDocument/2006/relationships/hyperlink" Target="https://www.youtube.com/watch?v=A1JQ63kvGPA" TargetMode="External"/><Relationship Id="rId27" Type="http://schemas.openxmlformats.org/officeDocument/2006/relationships/hyperlink" Target="https://www.youtube.com/watch?v=ElIOxFQFICo" TargetMode="External"/><Relationship Id="rId28" Type="http://schemas.openxmlformats.org/officeDocument/2006/relationships/hyperlink" Target="https://www.youtube.com/watch?v=dA2Jn5EAmTc" TargetMode="External"/><Relationship Id="rId29" Type="http://schemas.openxmlformats.org/officeDocument/2006/relationships/hyperlink" Target="https://www.youtube.com/watch?v=0oiJtKoJ6VY" TargetMode="External"/><Relationship Id="rId30" Type="http://schemas.openxmlformats.org/officeDocument/2006/relationships/hyperlink" Target="https://www.youtube.com/watch?v=4UUsEKViZ4M" TargetMode="External"/><Relationship Id="rId31" Type="http://schemas.openxmlformats.org/officeDocument/2006/relationships/hyperlink" Target="https://www.youtube.com/watch?v=3JlAdn1emEA" TargetMode="External"/><Relationship Id="rId32" Type="http://schemas.openxmlformats.org/officeDocument/2006/relationships/hyperlink" Target="https://www.youtube.com/watch?v=6SrUgCU0OCE" TargetMode="External"/><Relationship Id="rId33" Type="http://schemas.openxmlformats.org/officeDocument/2006/relationships/hyperlink" Target="https://www.youtube.com/watch?v=ODVWAijqcS4" TargetMode="External"/><Relationship Id="rId34" Type="http://schemas.openxmlformats.org/officeDocument/2006/relationships/hyperlink" Target="https://www.youtube.com/watch?v=HdG8R0CRWlU" TargetMode="External"/><Relationship Id="rId35" Type="http://schemas.openxmlformats.org/officeDocument/2006/relationships/hyperlink" Target="https://www.youtube.com/watch?v=whSfFq9WPIM" TargetMode="External"/><Relationship Id="rId36" Type="http://schemas.openxmlformats.org/officeDocument/2006/relationships/hyperlink" Target="https://www.youtube.com/watch?v=m7W79rixPZU" TargetMode="External"/><Relationship Id="rId37" Type="http://schemas.openxmlformats.org/officeDocument/2006/relationships/hyperlink" Target="https://www.youtube.com/watch?v=NXdmwnSjhx8" TargetMode="External"/><Relationship Id="rId38" Type="http://schemas.openxmlformats.org/officeDocument/2006/relationships/hyperlink" Target="https://www.youtube.com/watch?v=UtgJ85-OdHM" TargetMode="External"/><Relationship Id="rId39" Type="http://schemas.openxmlformats.org/officeDocument/2006/relationships/hyperlink" Target="https://www.youtube.com/watch?v=poGrtzLVDLk" TargetMode="External"/><Relationship Id="rId40" Type="http://schemas.openxmlformats.org/officeDocument/2006/relationships/hyperlink" Target="https://www.youtube.com/watch?v=I4lJJs_eUGg" TargetMode="External"/><Relationship Id="rId41" Type="http://schemas.openxmlformats.org/officeDocument/2006/relationships/hyperlink" Target="https://www.youtube.com/watch?v=76hyW1-XkGk" TargetMode="External"/><Relationship Id="rId42" Type="http://schemas.openxmlformats.org/officeDocument/2006/relationships/hyperlink" Target="https://www.youtube.com/watch?v=_DiApj4D3jc" TargetMode="External"/><Relationship Id="rId43" Type="http://schemas.openxmlformats.org/officeDocument/2006/relationships/hyperlink" Target="https://www.youtube.com/watch?v=hbVxhOV6NFw" TargetMode="External"/><Relationship Id="rId44" Type="http://schemas.openxmlformats.org/officeDocument/2006/relationships/hyperlink" Target="https://www.youtube.com/watch?v=dRVXK3DjBzk" TargetMode="External"/><Relationship Id="rId45" Type="http://schemas.openxmlformats.org/officeDocument/2006/relationships/hyperlink" Target="https://www.youtube.com/watch?v=-4tJgiWazjA" TargetMode="External"/><Relationship Id="rId46" Type="http://schemas.openxmlformats.org/officeDocument/2006/relationships/hyperlink" Target="https://www.youtube.com/watch?v=tqt1Wr5-q-E" TargetMode="Externa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100"/>
  </cols>
  <sheetData>
    <row r="1" customFormat="false" ht="48.5" hidden="false" customHeight="false" outlineLevel="0" collapsed="false">
      <c r="A1" s="1" t="s">
        <v>0</v>
      </c>
      <c r="B1" s="2"/>
    </row>
    <row r="2" customFormat="false" ht="15" hidden="false" customHeight="false" outlineLevel="0" collapsed="false">
      <c r="A2" s="3" t="s">
        <v>1</v>
      </c>
      <c r="B2" s="2" t="s">
        <v>2</v>
      </c>
    </row>
    <row r="3" customFormat="false" ht="23.85" hidden="false" customHeight="false" outlineLevel="0" collapsed="false">
      <c r="A3" s="3" t="s">
        <v>3</v>
      </c>
      <c r="B3" s="2" t="s">
        <v>4</v>
      </c>
    </row>
    <row r="4" customFormat="false" ht="15" hidden="false" customHeight="false" outlineLevel="0" collapsed="false">
      <c r="A4" s="2"/>
      <c r="B4" s="2"/>
    </row>
    <row r="5" customFormat="false" ht="23.85" hidden="false" customHeight="false" outlineLevel="0" collapsed="false">
      <c r="A5" s="3" t="s">
        <v>5</v>
      </c>
      <c r="B5" s="2" t="s">
        <v>6</v>
      </c>
    </row>
    <row r="6" customFormat="false" ht="23.85" hidden="false" customHeight="false" outlineLevel="0" collapsed="false">
      <c r="A6" s="3" t="s">
        <v>7</v>
      </c>
      <c r="B6" s="2" t="s">
        <v>8</v>
      </c>
    </row>
    <row r="7" customFormat="false" ht="23.85" hidden="false" customHeight="false" outlineLevel="0" collapsed="false">
      <c r="A7" s="3" t="s">
        <v>9</v>
      </c>
      <c r="B7" s="2" t="s">
        <v>10</v>
      </c>
    </row>
    <row r="8" customFormat="false" ht="15" hidden="false" customHeight="false" outlineLevel="0" collapsed="false">
      <c r="A8" s="3" t="s">
        <v>11</v>
      </c>
      <c r="B8" s="2" t="s">
        <v>12</v>
      </c>
    </row>
    <row r="9" customFormat="false" ht="15" hidden="false" customHeight="false" outlineLevel="0" collapsed="false">
      <c r="A9" s="2"/>
      <c r="B9" s="2"/>
    </row>
    <row r="10" customFormat="false" ht="15" hidden="false" customHeight="false" outlineLevel="0" collapsed="false">
      <c r="A10" s="3" t="s">
        <v>13</v>
      </c>
      <c r="B10" s="2"/>
    </row>
    <row r="11" customFormat="false" ht="23.85" hidden="false" customHeight="false" outlineLevel="0" collapsed="false">
      <c r="A11" s="3" t="s">
        <v>14</v>
      </c>
      <c r="B11" s="2" t="s">
        <v>15</v>
      </c>
    </row>
    <row r="12" customFormat="false" ht="23.85" hidden="false" customHeight="false" outlineLevel="0" collapsed="false">
      <c r="A12" s="3" t="s">
        <v>16</v>
      </c>
      <c r="B12" s="2" t="s">
        <v>17</v>
      </c>
    </row>
    <row r="13" customFormat="false" ht="15" hidden="false" customHeight="false" outlineLevel="0" collapsed="false">
      <c r="A13" s="3" t="s">
        <v>18</v>
      </c>
      <c r="B13" s="2" t="s">
        <v>19</v>
      </c>
    </row>
    <row r="14" customFormat="false" ht="23.85" hidden="false" customHeight="false" outlineLevel="0" collapsed="false">
      <c r="A14" s="3" t="s">
        <v>20</v>
      </c>
      <c r="B14" s="2" t="s">
        <v>21</v>
      </c>
    </row>
    <row r="15" customFormat="false" ht="15" hidden="false" customHeight="false" outlineLevel="0" collapsed="false">
      <c r="A15" s="3" t="s">
        <v>22</v>
      </c>
      <c r="B15" s="2" t="s">
        <v>23</v>
      </c>
    </row>
    <row r="16" customFormat="false" ht="23.85" hidden="false" customHeight="false" outlineLevel="0" collapsed="false">
      <c r="A16" s="4" t="s">
        <v>24</v>
      </c>
      <c r="B16" s="2" t="s">
        <v>25</v>
      </c>
    </row>
    <row r="17" customFormat="false" ht="15" hidden="false" customHeight="false" outlineLevel="0" collapsed="false">
      <c r="A17" s="2"/>
      <c r="B17" s="2"/>
    </row>
    <row r="18" customFormat="false" ht="23.85" hidden="false" customHeight="false" outlineLevel="0" collapsed="false">
      <c r="A18" s="3" t="s">
        <v>26</v>
      </c>
      <c r="B18" s="2" t="s">
        <v>27</v>
      </c>
    </row>
    <row r="19" customFormat="false" ht="15" hidden="false" customHeight="false" outlineLevel="0" collapsed="false">
      <c r="A19" s="3" t="s">
        <v>28</v>
      </c>
      <c r="B19" s="2" t="s">
        <v>29</v>
      </c>
    </row>
    <row r="20" customFormat="false" ht="15" hidden="false" customHeight="false" outlineLevel="0" collapsed="false">
      <c r="A20" s="2"/>
      <c r="B20" s="2"/>
    </row>
    <row r="21" customFormat="false" ht="23.85" hidden="false" customHeight="false" outlineLevel="0" collapsed="false">
      <c r="A21" s="3" t="s">
        <v>30</v>
      </c>
      <c r="B21" s="2" t="s">
        <v>31</v>
      </c>
    </row>
    <row r="22" customFormat="false" ht="35.05" hidden="false" customHeight="false" outlineLevel="0" collapsed="false">
      <c r="A22" s="3" t="s">
        <v>32</v>
      </c>
      <c r="B22" s="2" t="s">
        <v>33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3" min="2" style="0" width="30"/>
    <col collapsed="false" customWidth="true" hidden="false" outlineLevel="0" max="4" min="4" style="0" width="60"/>
    <col collapsed="false" customWidth="true" hidden="false" outlineLevel="0" max="6" min="5" style="0" width="10"/>
    <col collapsed="false" customWidth="true" hidden="false" outlineLevel="0" max="7" min="7" style="0" width="34"/>
    <col collapsed="false" customWidth="true" hidden="false" outlineLevel="0" max="8" min="8" style="0" width="24"/>
    <col collapsed="false" customWidth="true" hidden="false" outlineLevel="0" max="9" min="9" style="0" width="50"/>
  </cols>
  <sheetData>
    <row r="1" customFormat="false" ht="31.5" hidden="false" customHeight="true" outlineLevel="0" collapsed="false">
      <c r="A1" s="5" t="s">
        <v>34</v>
      </c>
      <c r="B1" s="5" t="s">
        <v>35</v>
      </c>
      <c r="C1" s="5" t="s">
        <v>36</v>
      </c>
      <c r="D1" s="5" t="s">
        <v>37</v>
      </c>
      <c r="E1" s="5" t="s">
        <v>38</v>
      </c>
      <c r="F1" s="5" t="s">
        <v>39</v>
      </c>
      <c r="G1" s="5" t="s">
        <v>40</v>
      </c>
      <c r="H1" s="5" t="s">
        <v>41</v>
      </c>
      <c r="I1" s="5" t="s">
        <v>42</v>
      </c>
    </row>
    <row r="2" customFormat="false" ht="23.85" hidden="false" customHeight="false" outlineLevel="0" collapsed="false">
      <c r="A2" s="6" t="s">
        <v>43</v>
      </c>
      <c r="B2" s="6" t="s">
        <v>44</v>
      </c>
      <c r="C2" s="6" t="s">
        <v>45</v>
      </c>
      <c r="D2" s="6" t="s">
        <v>46</v>
      </c>
      <c r="E2" s="6" t="n">
        <f aca="false">COUNTIFS(Katalog!$B:$B,A2,Katalog!$Q:$Q,"&lt;&gt;Ishlamaydi*")+COUNTIFS(Katalog!$C:$C,"*"&amp;A2&amp;"*",Katalog!$Q:$Q,"&lt;&gt;Ishlamaydi*")</f>
        <v>3</v>
      </c>
      <c r="F2" s="6"/>
      <c r="G2" s="6"/>
      <c r="H2" s="6" t="str">
        <f aca="false">IF(G2&lt;&gt;"","Takroriy",IF(E2=0,"Yetishmaydi",IF(F2="ha","Qisman to‘ldirilgan","Mavjud, lekin tekshirilmagan")))</f>
        <v>Mavjud, lekin tekshirilmagan</v>
      </c>
      <c r="I2" s="6"/>
    </row>
    <row r="3" customFormat="false" ht="23.85" hidden="false" customHeight="false" outlineLevel="0" collapsed="false">
      <c r="A3" s="6" t="s">
        <v>47</v>
      </c>
      <c r="B3" s="6" t="s">
        <v>44</v>
      </c>
      <c r="C3" s="6" t="s">
        <v>45</v>
      </c>
      <c r="D3" s="6" t="s">
        <v>48</v>
      </c>
      <c r="E3" s="6" t="n">
        <f aca="false">COUNTIFS(Katalog!$B:$B,A3,Katalog!$Q:$Q,"&lt;&gt;Ishlamaydi*")+COUNTIFS(Katalog!$C:$C,"*"&amp;A3&amp;"*",Katalog!$Q:$Q,"&lt;&gt;Ishlamaydi*")</f>
        <v>3</v>
      </c>
      <c r="F3" s="6"/>
      <c r="G3" s="6"/>
      <c r="H3" s="6" t="str">
        <f aca="false">IF(G3&lt;&gt;"","Takroriy",IF(E3=0,"Yetishmaydi",IF(F3="ha","Qisman to‘ldirilgan","Mavjud, lekin tekshirilmagan")))</f>
        <v>Mavjud, lekin tekshirilmagan</v>
      </c>
      <c r="I3" s="6"/>
    </row>
    <row r="4" customFormat="false" ht="23.85" hidden="false" customHeight="false" outlineLevel="0" collapsed="false">
      <c r="A4" s="6" t="s">
        <v>49</v>
      </c>
      <c r="B4" s="6" t="s">
        <v>44</v>
      </c>
      <c r="C4" s="6" t="s">
        <v>45</v>
      </c>
      <c r="D4" s="6" t="s">
        <v>50</v>
      </c>
      <c r="E4" s="6" t="n">
        <f aca="false">COUNTIFS(Katalog!$B:$B,A4,Katalog!$Q:$Q,"&lt;&gt;Ishlamaydi*")+COUNTIFS(Katalog!$C:$C,"*"&amp;A4&amp;"*",Katalog!$Q:$Q,"&lt;&gt;Ishlamaydi*")</f>
        <v>2</v>
      </c>
      <c r="F4" s="6"/>
      <c r="G4" s="6"/>
      <c r="H4" s="6" t="str">
        <f aca="false">IF(G4&lt;&gt;"","Takroriy",IF(E4=0,"Yetishmaydi",IF(F4="ha","Qisman to‘ldirilgan","Mavjud, lekin tekshirilmagan")))</f>
        <v>Mavjud, lekin tekshirilmagan</v>
      </c>
      <c r="I4" s="6"/>
    </row>
    <row r="5" customFormat="false" ht="23.85" hidden="false" customHeight="false" outlineLevel="0" collapsed="false">
      <c r="A5" s="6" t="s">
        <v>51</v>
      </c>
      <c r="B5" s="6" t="s">
        <v>44</v>
      </c>
      <c r="C5" s="6" t="s">
        <v>45</v>
      </c>
      <c r="D5" s="6" t="s">
        <v>52</v>
      </c>
      <c r="E5" s="6" t="n">
        <f aca="false">COUNTIFS(Katalog!$B:$B,A5,Katalog!$Q:$Q,"&lt;&gt;Ishlamaydi*")+COUNTIFS(Katalog!$C:$C,"*"&amp;A5&amp;"*",Katalog!$Q:$Q,"&lt;&gt;Ishlamaydi*")</f>
        <v>1</v>
      </c>
      <c r="F5" s="6"/>
      <c r="G5" s="6"/>
      <c r="H5" s="6" t="str">
        <f aca="false">IF(G5&lt;&gt;"","Takroriy",IF(E5=0,"Yetishmaydi",IF(F5="ha","Qisman to‘ldirilgan","Mavjud, lekin tekshirilmagan")))</f>
        <v>Mavjud, lekin tekshirilmagan</v>
      </c>
      <c r="I5" s="6"/>
    </row>
    <row r="6" customFormat="false" ht="23.85" hidden="false" customHeight="false" outlineLevel="0" collapsed="false">
      <c r="A6" s="6" t="s">
        <v>53</v>
      </c>
      <c r="B6" s="6" t="s">
        <v>44</v>
      </c>
      <c r="C6" s="6" t="s">
        <v>45</v>
      </c>
      <c r="D6" s="6" t="s">
        <v>54</v>
      </c>
      <c r="E6" s="6" t="n">
        <f aca="false">COUNTIFS(Katalog!$B:$B,A6,Katalog!$Q:$Q,"&lt;&gt;Ishlamaydi*")+COUNTIFS(Katalog!$C:$C,"*"&amp;A6&amp;"*",Katalog!$Q:$Q,"&lt;&gt;Ishlamaydi*")</f>
        <v>1</v>
      </c>
      <c r="F6" s="6" t="s">
        <v>55</v>
      </c>
      <c r="G6" s="6"/>
      <c r="H6" s="6" t="str">
        <f aca="false">IF(G6&lt;&gt;"","Takroriy",IF(E6=0,"Yetishmaydi",IF(F6="ha","Qisman to‘ldirilgan","Mavjud, lekin tekshirilmagan")))</f>
        <v>Qisman to‘ldirilgan</v>
      </c>
      <c r="I6" s="6"/>
    </row>
    <row r="7" customFormat="false" ht="23.85" hidden="false" customHeight="false" outlineLevel="0" collapsed="false">
      <c r="A7" s="6" t="s">
        <v>56</v>
      </c>
      <c r="B7" s="6" t="s">
        <v>44</v>
      </c>
      <c r="C7" s="6" t="s">
        <v>57</v>
      </c>
      <c r="D7" s="6" t="s">
        <v>58</v>
      </c>
      <c r="E7" s="6" t="n">
        <f aca="false">COUNTIFS(Katalog!$B:$B,A7,Katalog!$Q:$Q,"&lt;&gt;Ishlamaydi*")+COUNTIFS(Katalog!$C:$C,"*"&amp;A7&amp;"*",Katalog!$Q:$Q,"&lt;&gt;Ishlamaydi*")</f>
        <v>1</v>
      </c>
      <c r="F7" s="6"/>
      <c r="G7" s="6"/>
      <c r="H7" s="6" t="str">
        <f aca="false">IF(G7&lt;&gt;"","Takroriy",IF(E7=0,"Yetishmaydi",IF(F7="ha","Qisman to‘ldirilgan","Mavjud, lekin tekshirilmagan")))</f>
        <v>Mavjud, lekin tekshirilmagan</v>
      </c>
      <c r="I7" s="6"/>
    </row>
    <row r="8" customFormat="false" ht="23.85" hidden="false" customHeight="false" outlineLevel="0" collapsed="false">
      <c r="A8" s="6" t="s">
        <v>59</v>
      </c>
      <c r="B8" s="6" t="s">
        <v>44</v>
      </c>
      <c r="C8" s="6" t="s">
        <v>57</v>
      </c>
      <c r="D8" s="6" t="s">
        <v>60</v>
      </c>
      <c r="E8" s="6" t="n">
        <f aca="false">COUNTIFS(Katalog!$B:$B,A8,Katalog!$Q:$Q,"&lt;&gt;Ishlamaydi*")+COUNTIFS(Katalog!$C:$C,"*"&amp;A8&amp;"*",Katalog!$Q:$Q,"&lt;&gt;Ishlamaydi*")</f>
        <v>3</v>
      </c>
      <c r="F8" s="6"/>
      <c r="G8" s="6"/>
      <c r="H8" s="6" t="str">
        <f aca="false">IF(G8&lt;&gt;"","Takroriy",IF(E8=0,"Yetishmaydi",IF(F8="ha","Qisman to‘ldirilgan","Mavjud, lekin tekshirilmagan")))</f>
        <v>Mavjud, lekin tekshirilmagan</v>
      </c>
      <c r="I8" s="6"/>
    </row>
    <row r="9" customFormat="false" ht="23.85" hidden="false" customHeight="false" outlineLevel="0" collapsed="false">
      <c r="A9" s="6" t="s">
        <v>61</v>
      </c>
      <c r="B9" s="6" t="s">
        <v>44</v>
      </c>
      <c r="C9" s="6" t="s">
        <v>57</v>
      </c>
      <c r="D9" s="6" t="s">
        <v>62</v>
      </c>
      <c r="E9" s="6" t="n">
        <f aca="false">COUNTIFS(Katalog!$B:$B,A9,Katalog!$Q:$Q,"&lt;&gt;Ishlamaydi*")+COUNTIFS(Katalog!$C:$C,"*"&amp;A9&amp;"*",Katalog!$Q:$Q,"&lt;&gt;Ishlamaydi*")</f>
        <v>1</v>
      </c>
      <c r="F9" s="6" t="s">
        <v>55</v>
      </c>
      <c r="G9" s="6"/>
      <c r="H9" s="6" t="str">
        <f aca="false">IF(G9&lt;&gt;"","Takroriy",IF(E9=0,"Yetishmaydi",IF(F9="ha","Qisman to‘ldirilgan","Mavjud, lekin tekshirilmagan")))</f>
        <v>Qisman to‘ldirilgan</v>
      </c>
      <c r="I9" s="6"/>
    </row>
    <row r="10" customFormat="false" ht="23.85" hidden="false" customHeight="false" outlineLevel="0" collapsed="false">
      <c r="A10" s="6" t="s">
        <v>63</v>
      </c>
      <c r="B10" s="6" t="s">
        <v>44</v>
      </c>
      <c r="C10" s="6" t="s">
        <v>57</v>
      </c>
      <c r="D10" s="6" t="s">
        <v>64</v>
      </c>
      <c r="E10" s="6" t="n">
        <f aca="false">COUNTIFS(Katalog!$B:$B,A10,Katalog!$Q:$Q,"&lt;&gt;Ishlamaydi*")+COUNTIFS(Katalog!$C:$C,"*"&amp;A10&amp;"*",Katalog!$Q:$Q,"&lt;&gt;Ishlamaydi*")</f>
        <v>4</v>
      </c>
      <c r="F10" s="6"/>
      <c r="G10" s="6"/>
      <c r="H10" s="6" t="str">
        <f aca="false">IF(G10&lt;&gt;"","Takroriy",IF(E10=0,"Yetishmaydi",IF(F10="ha","Qisman to‘ldirilgan","Mavjud, lekin tekshirilmagan")))</f>
        <v>Mavjud, lekin tekshirilmagan</v>
      </c>
      <c r="I10" s="6" t="s">
        <v>65</v>
      </c>
    </row>
    <row r="11" customFormat="false" ht="23.85" hidden="false" customHeight="false" outlineLevel="0" collapsed="false">
      <c r="A11" s="6" t="s">
        <v>66</v>
      </c>
      <c r="B11" s="6" t="s">
        <v>44</v>
      </c>
      <c r="C11" s="6" t="s">
        <v>57</v>
      </c>
      <c r="D11" s="6" t="s">
        <v>67</v>
      </c>
      <c r="E11" s="6" t="n">
        <f aca="false">COUNTIFS(Katalog!$B:$B,A11,Katalog!$Q:$Q,"&lt;&gt;Ishlamaydi*")+COUNTIFS(Katalog!$C:$C,"*"&amp;A11&amp;"*",Katalog!$Q:$Q,"&lt;&gt;Ishlamaydi*")</f>
        <v>3</v>
      </c>
      <c r="F11" s="6"/>
      <c r="G11" s="6"/>
      <c r="H11" s="6" t="str">
        <f aca="false">IF(G11&lt;&gt;"","Takroriy",IF(E11=0,"Yetishmaydi",IF(F11="ha","Qisman to‘ldirilgan","Mavjud, lekin tekshirilmagan")))</f>
        <v>Mavjud, lekin tekshirilmagan</v>
      </c>
      <c r="I11" s="6"/>
    </row>
    <row r="12" customFormat="false" ht="23.85" hidden="false" customHeight="false" outlineLevel="0" collapsed="false">
      <c r="A12" s="6" t="s">
        <v>68</v>
      </c>
      <c r="B12" s="6" t="s">
        <v>44</v>
      </c>
      <c r="C12" s="6" t="s">
        <v>57</v>
      </c>
      <c r="D12" s="6" t="s">
        <v>69</v>
      </c>
      <c r="E12" s="6" t="n">
        <f aca="false">COUNTIFS(Katalog!$B:$B,A12,Katalog!$Q:$Q,"&lt;&gt;Ishlamaydi*")+COUNTIFS(Katalog!$C:$C,"*"&amp;A12&amp;"*",Katalog!$Q:$Q,"&lt;&gt;Ishlamaydi*")</f>
        <v>1</v>
      </c>
      <c r="F12" s="6" t="s">
        <v>55</v>
      </c>
      <c r="G12" s="6"/>
      <c r="H12" s="6" t="str">
        <f aca="false">IF(G12&lt;&gt;"","Takroriy",IF(E12=0,"Yetishmaydi",IF(F12="ha","Qisman to‘ldirilgan","Mavjud, lekin tekshirilmagan")))</f>
        <v>Qisman to‘ldirilgan</v>
      </c>
      <c r="I12" s="6" t="s">
        <v>70</v>
      </c>
    </row>
    <row r="13" customFormat="false" ht="23.85" hidden="false" customHeight="false" outlineLevel="0" collapsed="false">
      <c r="A13" s="6" t="s">
        <v>71</v>
      </c>
      <c r="B13" s="6" t="s">
        <v>44</v>
      </c>
      <c r="C13" s="6" t="s">
        <v>57</v>
      </c>
      <c r="D13" s="6" t="s">
        <v>72</v>
      </c>
      <c r="E13" s="6" t="n">
        <f aca="false">COUNTIFS(Katalog!$B:$B,A13,Katalog!$Q:$Q,"&lt;&gt;Ishlamaydi*")+COUNTIFS(Katalog!$C:$C,"*"&amp;A13&amp;"*",Katalog!$Q:$Q,"&lt;&gt;Ishlamaydi*")</f>
        <v>2</v>
      </c>
      <c r="F13" s="6" t="s">
        <v>55</v>
      </c>
      <c r="G13" s="6"/>
      <c r="H13" s="6" t="str">
        <f aca="false">IF(G13&lt;&gt;"","Takroriy",IF(E13=0,"Yetishmaydi",IF(F13="ha","Qisman to‘ldirilgan","Mavjud, lekin tekshirilmagan")))</f>
        <v>Qisman to‘ldirilgan</v>
      </c>
      <c r="I13" s="6"/>
    </row>
    <row r="14" customFormat="false" ht="23.85" hidden="false" customHeight="false" outlineLevel="0" collapsed="false">
      <c r="A14" s="6" t="s">
        <v>73</v>
      </c>
      <c r="B14" s="6" t="s">
        <v>44</v>
      </c>
      <c r="C14" s="6" t="s">
        <v>74</v>
      </c>
      <c r="D14" s="6" t="s">
        <v>75</v>
      </c>
      <c r="E14" s="6" t="n">
        <f aca="false">COUNTIFS(Katalog!$B:$B,A14,Katalog!$Q:$Q,"&lt;&gt;Ishlamaydi*")+COUNTIFS(Katalog!$C:$C,"*"&amp;A14&amp;"*",Katalog!$Q:$Q,"&lt;&gt;Ishlamaydi*")</f>
        <v>3</v>
      </c>
      <c r="F14" s="6"/>
      <c r="G14" s="6"/>
      <c r="H14" s="6" t="str">
        <f aca="false">IF(G14&lt;&gt;"","Takroriy",IF(E14=0,"Yetishmaydi",IF(F14="ha","Qisman to‘ldirilgan","Mavjud, lekin tekshirilmagan")))</f>
        <v>Mavjud, lekin tekshirilmagan</v>
      </c>
      <c r="I14" s="6"/>
    </row>
    <row r="15" customFormat="false" ht="23.85" hidden="false" customHeight="false" outlineLevel="0" collapsed="false">
      <c r="A15" s="6" t="s">
        <v>76</v>
      </c>
      <c r="B15" s="6" t="s">
        <v>44</v>
      </c>
      <c r="C15" s="6" t="s">
        <v>74</v>
      </c>
      <c r="D15" s="6" t="s">
        <v>77</v>
      </c>
      <c r="E15" s="6" t="n">
        <f aca="false">COUNTIFS(Katalog!$B:$B,A15,Katalog!$Q:$Q,"&lt;&gt;Ishlamaydi*")+COUNTIFS(Katalog!$C:$C,"*"&amp;A15&amp;"*",Katalog!$Q:$Q,"&lt;&gt;Ishlamaydi*")</f>
        <v>5</v>
      </c>
      <c r="F15" s="6"/>
      <c r="G15" s="6"/>
      <c r="H15" s="6" t="str">
        <f aca="false">IF(G15&lt;&gt;"","Takroriy",IF(E15=0,"Yetishmaydi",IF(F15="ha","Qisman to‘ldirilgan","Mavjud, lekin tekshirilmagan")))</f>
        <v>Mavjud, lekin tekshirilmagan</v>
      </c>
      <c r="I15" s="6"/>
    </row>
    <row r="16" customFormat="false" ht="23.85" hidden="false" customHeight="false" outlineLevel="0" collapsed="false">
      <c r="A16" s="6" t="s">
        <v>78</v>
      </c>
      <c r="B16" s="6" t="s">
        <v>44</v>
      </c>
      <c r="C16" s="6" t="s">
        <v>74</v>
      </c>
      <c r="D16" s="6" t="s">
        <v>79</v>
      </c>
      <c r="E16" s="6" t="n">
        <f aca="false">COUNTIFS(Katalog!$B:$B,A16,Katalog!$Q:$Q,"&lt;&gt;Ishlamaydi*")+COUNTIFS(Katalog!$C:$C,"*"&amp;A16&amp;"*",Katalog!$Q:$Q,"&lt;&gt;Ishlamaydi*")</f>
        <v>3</v>
      </c>
      <c r="F16" s="6"/>
      <c r="G16" s="6"/>
      <c r="H16" s="6" t="str">
        <f aca="false">IF(G16&lt;&gt;"","Takroriy",IF(E16=0,"Yetishmaydi",IF(F16="ha","Qisman to‘ldirilgan","Mavjud, lekin tekshirilmagan")))</f>
        <v>Mavjud, lekin tekshirilmagan</v>
      </c>
      <c r="I16" s="6"/>
    </row>
    <row r="17" customFormat="false" ht="23.85" hidden="false" customHeight="false" outlineLevel="0" collapsed="false">
      <c r="A17" s="6" t="s">
        <v>80</v>
      </c>
      <c r="B17" s="6" t="s">
        <v>44</v>
      </c>
      <c r="C17" s="6" t="s">
        <v>74</v>
      </c>
      <c r="D17" s="6" t="s">
        <v>81</v>
      </c>
      <c r="E17" s="6" t="n">
        <f aca="false">COUNTIFS(Katalog!$B:$B,A17,Katalog!$Q:$Q,"&lt;&gt;Ishlamaydi*")+COUNTIFS(Katalog!$C:$C,"*"&amp;A17&amp;"*",Katalog!$Q:$Q,"&lt;&gt;Ishlamaydi*")</f>
        <v>1</v>
      </c>
      <c r="F17" s="6" t="s">
        <v>55</v>
      </c>
      <c r="G17" s="6"/>
      <c r="H17" s="6" t="str">
        <f aca="false">IF(G17&lt;&gt;"","Takroriy",IF(E17=0,"Yetishmaydi",IF(F17="ha","Qisman to‘ldirilgan","Mavjud, lekin tekshirilmagan")))</f>
        <v>Qisman to‘ldirilgan</v>
      </c>
      <c r="I17" s="6"/>
    </row>
    <row r="18" customFormat="false" ht="23.85" hidden="false" customHeight="false" outlineLevel="0" collapsed="false">
      <c r="A18" s="6" t="s">
        <v>82</v>
      </c>
      <c r="B18" s="6" t="s">
        <v>44</v>
      </c>
      <c r="C18" s="6" t="s">
        <v>74</v>
      </c>
      <c r="D18" s="6" t="s">
        <v>83</v>
      </c>
      <c r="E18" s="6" t="n">
        <f aca="false">COUNTIFS(Katalog!$B:$B,A18,Katalog!$Q:$Q,"&lt;&gt;Ishlamaydi*")+COUNTIFS(Katalog!$C:$C,"*"&amp;A18&amp;"*",Katalog!$Q:$Q,"&lt;&gt;Ishlamaydi*")</f>
        <v>0</v>
      </c>
      <c r="F18" s="6"/>
      <c r="G18" s="6"/>
      <c r="H18" s="6" t="str">
        <f aca="false">IF(G18&lt;&gt;"","Takroriy",IF(E18=0,"Yetishmaydi",IF(F18="ha","Qisman to‘ldirilgan","Mavjud, lekin tekshirilmagan")))</f>
        <v>Yetishmaydi</v>
      </c>
      <c r="I18" s="6"/>
    </row>
    <row r="19" customFormat="false" ht="23.85" hidden="false" customHeight="false" outlineLevel="0" collapsed="false">
      <c r="A19" s="6" t="s">
        <v>84</v>
      </c>
      <c r="B19" s="6" t="s">
        <v>44</v>
      </c>
      <c r="C19" s="6" t="s">
        <v>74</v>
      </c>
      <c r="D19" s="6" t="s">
        <v>85</v>
      </c>
      <c r="E19" s="6" t="n">
        <f aca="false">COUNTIFS(Katalog!$B:$B,A19,Katalog!$Q:$Q,"&lt;&gt;Ishlamaydi*")+COUNTIFS(Katalog!$C:$C,"*"&amp;A19&amp;"*",Katalog!$Q:$Q,"&lt;&gt;Ishlamaydi*")</f>
        <v>1</v>
      </c>
      <c r="F19" s="6"/>
      <c r="G19" s="6"/>
      <c r="H19" s="6" t="str">
        <f aca="false">IF(G19&lt;&gt;"","Takroriy",IF(E19=0,"Yetishmaydi",IF(F19="ha","Qisman to‘ldirilgan","Mavjud, lekin tekshirilmagan")))</f>
        <v>Mavjud, lekin tekshirilmagan</v>
      </c>
      <c r="I19" s="6"/>
    </row>
    <row r="20" customFormat="false" ht="23.85" hidden="false" customHeight="false" outlineLevel="0" collapsed="false">
      <c r="A20" s="6" t="s">
        <v>86</v>
      </c>
      <c r="B20" s="6" t="s">
        <v>44</v>
      </c>
      <c r="C20" s="6" t="s">
        <v>87</v>
      </c>
      <c r="D20" s="6" t="s">
        <v>88</v>
      </c>
      <c r="E20" s="6" t="n">
        <f aca="false">COUNTIFS(Katalog!$B:$B,A20,Katalog!$Q:$Q,"&lt;&gt;Ishlamaydi*")+COUNTIFS(Katalog!$C:$C,"*"&amp;A20&amp;"*",Katalog!$Q:$Q,"&lt;&gt;Ishlamaydi*")</f>
        <v>2</v>
      </c>
      <c r="F20" s="6"/>
      <c r="G20" s="6"/>
      <c r="H20" s="6" t="str">
        <f aca="false">IF(G20&lt;&gt;"","Takroriy",IF(E20=0,"Yetishmaydi",IF(F20="ha","Qisman to‘ldirilgan","Mavjud, lekin tekshirilmagan")))</f>
        <v>Mavjud, lekin tekshirilmagan</v>
      </c>
      <c r="I20" s="6"/>
    </row>
    <row r="21" customFormat="false" ht="23.85" hidden="false" customHeight="false" outlineLevel="0" collapsed="false">
      <c r="A21" s="6" t="s">
        <v>89</v>
      </c>
      <c r="B21" s="6" t="s">
        <v>44</v>
      </c>
      <c r="C21" s="6" t="s">
        <v>87</v>
      </c>
      <c r="D21" s="6" t="s">
        <v>90</v>
      </c>
      <c r="E21" s="6" t="n">
        <f aca="false">COUNTIFS(Katalog!$B:$B,A21,Katalog!$Q:$Q,"&lt;&gt;Ishlamaydi*")+COUNTIFS(Katalog!$C:$C,"*"&amp;A21&amp;"*",Katalog!$Q:$Q,"&lt;&gt;Ishlamaydi*")</f>
        <v>1</v>
      </c>
      <c r="F21" s="6"/>
      <c r="G21" s="6"/>
      <c r="H21" s="6" t="str">
        <f aca="false">IF(G21&lt;&gt;"","Takroriy",IF(E21=0,"Yetishmaydi",IF(F21="ha","Qisman to‘ldirilgan","Mavjud, lekin tekshirilmagan")))</f>
        <v>Mavjud, lekin tekshirilmagan</v>
      </c>
      <c r="I21" s="6"/>
    </row>
    <row r="22" customFormat="false" ht="23.85" hidden="false" customHeight="false" outlineLevel="0" collapsed="false">
      <c r="A22" s="6" t="s">
        <v>91</v>
      </c>
      <c r="B22" s="6" t="s">
        <v>44</v>
      </c>
      <c r="C22" s="6" t="s">
        <v>87</v>
      </c>
      <c r="D22" s="6" t="s">
        <v>92</v>
      </c>
      <c r="E22" s="6" t="n">
        <f aca="false">COUNTIFS(Katalog!$B:$B,A22,Katalog!$Q:$Q,"&lt;&gt;Ishlamaydi*")+COUNTIFS(Katalog!$C:$C,"*"&amp;A22&amp;"*",Katalog!$Q:$Q,"&lt;&gt;Ishlamaydi*")</f>
        <v>2</v>
      </c>
      <c r="F22" s="6" t="s">
        <v>55</v>
      </c>
      <c r="G22" s="6"/>
      <c r="H22" s="6" t="str">
        <f aca="false">IF(G22&lt;&gt;"","Takroriy",IF(E22=0,"Yetishmaydi",IF(F22="ha","Qisman to‘ldirilgan","Mavjud, lekin tekshirilmagan")))</f>
        <v>Qisman to‘ldirilgan</v>
      </c>
      <c r="I22" s="6"/>
    </row>
    <row r="23" customFormat="false" ht="23.85" hidden="false" customHeight="false" outlineLevel="0" collapsed="false">
      <c r="A23" s="6" t="s">
        <v>93</v>
      </c>
      <c r="B23" s="6" t="s">
        <v>44</v>
      </c>
      <c r="C23" s="6" t="s">
        <v>87</v>
      </c>
      <c r="D23" s="6" t="s">
        <v>94</v>
      </c>
      <c r="E23" s="6" t="n">
        <f aca="false">COUNTIFS(Katalog!$B:$B,A23,Katalog!$Q:$Q,"&lt;&gt;Ishlamaydi*")+COUNTIFS(Katalog!$C:$C,"*"&amp;A23&amp;"*",Katalog!$Q:$Q,"&lt;&gt;Ishlamaydi*")</f>
        <v>2</v>
      </c>
      <c r="F23" s="6" t="s">
        <v>55</v>
      </c>
      <c r="G23" s="6"/>
      <c r="H23" s="6" t="str">
        <f aca="false">IF(G23&lt;&gt;"","Takroriy",IF(E23=0,"Yetishmaydi",IF(F23="ha","Qisman to‘ldirilgan","Mavjud, lekin tekshirilmagan")))</f>
        <v>Qisman to‘ldirilgan</v>
      </c>
      <c r="I23" s="6"/>
    </row>
    <row r="24" customFormat="false" ht="23.85" hidden="false" customHeight="false" outlineLevel="0" collapsed="false">
      <c r="A24" s="6" t="s">
        <v>95</v>
      </c>
      <c r="B24" s="6" t="s">
        <v>44</v>
      </c>
      <c r="C24" s="6" t="s">
        <v>87</v>
      </c>
      <c r="D24" s="6" t="s">
        <v>96</v>
      </c>
      <c r="E24" s="6" t="n">
        <f aca="false">COUNTIFS(Katalog!$B:$B,A24,Katalog!$Q:$Q,"&lt;&gt;Ishlamaydi*")+COUNTIFS(Katalog!$C:$C,"*"&amp;A24&amp;"*",Katalog!$Q:$Q,"&lt;&gt;Ishlamaydi*")</f>
        <v>2</v>
      </c>
      <c r="F24" s="6"/>
      <c r="G24" s="6"/>
      <c r="H24" s="6" t="str">
        <f aca="false">IF(G24&lt;&gt;"","Takroriy",IF(E24=0,"Yetishmaydi",IF(F24="ha","Qisman to‘ldirilgan","Mavjud, lekin tekshirilmagan")))</f>
        <v>Mavjud, lekin tekshirilmagan</v>
      </c>
      <c r="I24" s="6" t="s">
        <v>97</v>
      </c>
    </row>
    <row r="25" customFormat="false" ht="23.85" hidden="false" customHeight="false" outlineLevel="0" collapsed="false">
      <c r="A25" s="6" t="s">
        <v>98</v>
      </c>
      <c r="B25" s="6" t="s">
        <v>44</v>
      </c>
      <c r="C25" s="6" t="s">
        <v>87</v>
      </c>
      <c r="D25" s="6" t="s">
        <v>99</v>
      </c>
      <c r="E25" s="6" t="n">
        <f aca="false">COUNTIFS(Katalog!$B:$B,A25,Katalog!$Q:$Q,"&lt;&gt;Ishlamaydi*")+COUNTIFS(Katalog!$C:$C,"*"&amp;A25&amp;"*",Katalog!$Q:$Q,"&lt;&gt;Ishlamaydi*")</f>
        <v>3</v>
      </c>
      <c r="F25" s="6"/>
      <c r="G25" s="6"/>
      <c r="H25" s="6" t="str">
        <f aca="false">IF(G25&lt;&gt;"","Takroriy",IF(E25=0,"Yetishmaydi",IF(F25="ha","Qisman to‘ldirilgan","Mavjud, lekin tekshirilmagan")))</f>
        <v>Mavjud, lekin tekshirilmagan</v>
      </c>
      <c r="I25" s="6"/>
    </row>
    <row r="26" customFormat="false" ht="23.85" hidden="false" customHeight="false" outlineLevel="0" collapsed="false">
      <c r="A26" s="6" t="s">
        <v>100</v>
      </c>
      <c r="B26" s="6" t="s">
        <v>44</v>
      </c>
      <c r="C26" s="6" t="s">
        <v>101</v>
      </c>
      <c r="D26" s="6" t="s">
        <v>102</v>
      </c>
      <c r="E26" s="6" t="n">
        <f aca="false">COUNTIFS(Katalog!$B:$B,A26,Katalog!$Q:$Q,"&lt;&gt;Ishlamaydi*")+COUNTIFS(Katalog!$C:$C,"*"&amp;A26&amp;"*",Katalog!$Q:$Q,"&lt;&gt;Ishlamaydi*")</f>
        <v>1</v>
      </c>
      <c r="F26" s="6"/>
      <c r="G26" s="6"/>
      <c r="H26" s="6" t="str">
        <f aca="false">IF(G26&lt;&gt;"","Takroriy",IF(E26=0,"Yetishmaydi",IF(F26="ha","Qisman to‘ldirilgan","Mavjud, lekin tekshirilmagan")))</f>
        <v>Mavjud, lekin tekshirilmagan</v>
      </c>
      <c r="I26" s="6"/>
    </row>
    <row r="27" customFormat="false" ht="23.85" hidden="false" customHeight="false" outlineLevel="0" collapsed="false">
      <c r="A27" s="6" t="s">
        <v>103</v>
      </c>
      <c r="B27" s="6" t="s">
        <v>44</v>
      </c>
      <c r="C27" s="6" t="s">
        <v>101</v>
      </c>
      <c r="D27" s="6" t="s">
        <v>104</v>
      </c>
      <c r="E27" s="6" t="n">
        <f aca="false">COUNTIFS(Katalog!$B:$B,A27,Katalog!$Q:$Q,"&lt;&gt;Ishlamaydi*")+COUNTIFS(Katalog!$C:$C,"*"&amp;A27&amp;"*",Katalog!$Q:$Q,"&lt;&gt;Ishlamaydi*")</f>
        <v>2</v>
      </c>
      <c r="F27" s="6"/>
      <c r="G27" s="6"/>
      <c r="H27" s="6" t="str">
        <f aca="false">IF(G27&lt;&gt;"","Takroriy",IF(E27=0,"Yetishmaydi",IF(F27="ha","Qisman to‘ldirilgan","Mavjud, lekin tekshirilmagan")))</f>
        <v>Mavjud, lekin tekshirilmagan</v>
      </c>
      <c r="I27" s="6"/>
    </row>
    <row r="28" customFormat="false" ht="23.85" hidden="false" customHeight="false" outlineLevel="0" collapsed="false">
      <c r="A28" s="6" t="s">
        <v>105</v>
      </c>
      <c r="B28" s="6" t="s">
        <v>44</v>
      </c>
      <c r="C28" s="6" t="s">
        <v>101</v>
      </c>
      <c r="D28" s="6" t="s">
        <v>106</v>
      </c>
      <c r="E28" s="6" t="n">
        <f aca="false">COUNTIFS(Katalog!$B:$B,A28,Katalog!$Q:$Q,"&lt;&gt;Ishlamaydi*")+COUNTIFS(Katalog!$C:$C,"*"&amp;A28&amp;"*",Katalog!$Q:$Q,"&lt;&gt;Ishlamaydi*")</f>
        <v>1</v>
      </c>
      <c r="F28" s="6"/>
      <c r="G28" s="6"/>
      <c r="H28" s="6" t="str">
        <f aca="false">IF(G28&lt;&gt;"","Takroriy",IF(E28=0,"Yetishmaydi",IF(F28="ha","Qisman to‘ldirilgan","Mavjud, lekin tekshirilmagan")))</f>
        <v>Mavjud, lekin tekshirilmagan</v>
      </c>
      <c r="I28" s="6"/>
    </row>
    <row r="29" customFormat="false" ht="23.85" hidden="false" customHeight="false" outlineLevel="0" collapsed="false">
      <c r="A29" s="6" t="s">
        <v>107</v>
      </c>
      <c r="B29" s="6" t="s">
        <v>44</v>
      </c>
      <c r="C29" s="6" t="s">
        <v>101</v>
      </c>
      <c r="D29" s="6" t="s">
        <v>108</v>
      </c>
      <c r="E29" s="6" t="n">
        <f aca="false">COUNTIFS(Katalog!$B:$B,A29,Katalog!$Q:$Q,"&lt;&gt;Ishlamaydi*")+COUNTIFS(Katalog!$C:$C,"*"&amp;A29&amp;"*",Katalog!$Q:$Q,"&lt;&gt;Ishlamaydi*")</f>
        <v>1</v>
      </c>
      <c r="F29" s="6"/>
      <c r="G29" s="6"/>
      <c r="H29" s="6" t="str">
        <f aca="false">IF(G29&lt;&gt;"","Takroriy",IF(E29=0,"Yetishmaydi",IF(F29="ha","Qisman to‘ldirilgan","Mavjud, lekin tekshirilmagan")))</f>
        <v>Mavjud, lekin tekshirilmagan</v>
      </c>
      <c r="I29" s="6"/>
    </row>
    <row r="30" customFormat="false" ht="23.85" hidden="false" customHeight="false" outlineLevel="0" collapsed="false">
      <c r="A30" s="6" t="s">
        <v>109</v>
      </c>
      <c r="B30" s="6" t="s">
        <v>44</v>
      </c>
      <c r="C30" s="6" t="s">
        <v>101</v>
      </c>
      <c r="D30" s="6" t="s">
        <v>110</v>
      </c>
      <c r="E30" s="6" t="n">
        <f aca="false">COUNTIFS(Katalog!$B:$B,A30,Katalog!$Q:$Q,"&lt;&gt;Ishlamaydi*")+COUNTIFS(Katalog!$C:$C,"*"&amp;A30&amp;"*",Katalog!$Q:$Q,"&lt;&gt;Ishlamaydi*")</f>
        <v>1</v>
      </c>
      <c r="F30" s="6" t="s">
        <v>55</v>
      </c>
      <c r="G30" s="6"/>
      <c r="H30" s="6" t="str">
        <f aca="false">IF(G30&lt;&gt;"","Takroriy",IF(E30=0,"Yetishmaydi",IF(F30="ha","Qisman to‘ldirilgan","Mavjud, lekin tekshirilmagan")))</f>
        <v>Qisman to‘ldirilgan</v>
      </c>
      <c r="I30" s="6"/>
    </row>
    <row r="31" customFormat="false" ht="23.85" hidden="false" customHeight="false" outlineLevel="0" collapsed="false">
      <c r="A31" s="6" t="s">
        <v>111</v>
      </c>
      <c r="B31" s="6" t="s">
        <v>44</v>
      </c>
      <c r="C31" s="6" t="s">
        <v>101</v>
      </c>
      <c r="D31" s="6" t="s">
        <v>112</v>
      </c>
      <c r="E31" s="6" t="n">
        <f aca="false">COUNTIFS(Katalog!$B:$B,A31,Katalog!$Q:$Q,"&lt;&gt;Ishlamaydi*")+COUNTIFS(Katalog!$C:$C,"*"&amp;A31&amp;"*",Katalog!$Q:$Q,"&lt;&gt;Ishlamaydi*")</f>
        <v>3</v>
      </c>
      <c r="F31" s="6"/>
      <c r="G31" s="6"/>
      <c r="H31" s="6" t="str">
        <f aca="false">IF(G31&lt;&gt;"","Takroriy",IF(E31=0,"Yetishmaydi",IF(F31="ha","Qisman to‘ldirilgan","Mavjud, lekin tekshirilmagan")))</f>
        <v>Mavjud, lekin tekshirilmagan</v>
      </c>
      <c r="I31" s="6"/>
    </row>
    <row r="32" customFormat="false" ht="23.85" hidden="false" customHeight="false" outlineLevel="0" collapsed="false">
      <c r="A32" s="6" t="s">
        <v>113</v>
      </c>
      <c r="B32" s="6" t="s">
        <v>44</v>
      </c>
      <c r="C32" s="6" t="s">
        <v>101</v>
      </c>
      <c r="D32" s="6" t="s">
        <v>114</v>
      </c>
      <c r="E32" s="6" t="n">
        <f aca="false">COUNTIFS(Katalog!$B:$B,A32,Katalog!$Q:$Q,"&lt;&gt;Ishlamaydi*")+COUNTIFS(Katalog!$C:$C,"*"&amp;A32&amp;"*",Katalog!$Q:$Q,"&lt;&gt;Ishlamaydi*")</f>
        <v>1</v>
      </c>
      <c r="F32" s="6" t="s">
        <v>55</v>
      </c>
      <c r="G32" s="6" t="s">
        <v>115</v>
      </c>
      <c r="H32" s="6" t="str">
        <f aca="false">IF(G32&lt;&gt;"","Takroriy",IF(E32=0,"Yetishmaydi",IF(F32="ha","Qisman to‘ldirilgan","Mavjud, lekin tekshirilmagan")))</f>
        <v>Takroriy</v>
      </c>
      <c r="I32" s="6"/>
    </row>
    <row r="33" customFormat="false" ht="23.85" hidden="false" customHeight="false" outlineLevel="0" collapsed="false">
      <c r="A33" s="6" t="s">
        <v>116</v>
      </c>
      <c r="B33" s="6" t="s">
        <v>44</v>
      </c>
      <c r="C33" s="6" t="s">
        <v>117</v>
      </c>
      <c r="D33" s="6" t="s">
        <v>118</v>
      </c>
      <c r="E33" s="6" t="n">
        <f aca="false">COUNTIFS(Katalog!$B:$B,A33,Katalog!$Q:$Q,"&lt;&gt;Ishlamaydi*")+COUNTIFS(Katalog!$C:$C,"*"&amp;A33&amp;"*",Katalog!$Q:$Q,"&lt;&gt;Ishlamaydi*")</f>
        <v>1</v>
      </c>
      <c r="F33" s="6"/>
      <c r="G33" s="6"/>
      <c r="H33" s="6" t="str">
        <f aca="false">IF(G33&lt;&gt;"","Takroriy",IF(E33=0,"Yetishmaydi",IF(F33="ha","Qisman to‘ldirilgan","Mavjud, lekin tekshirilmagan")))</f>
        <v>Mavjud, lekin tekshirilmagan</v>
      </c>
      <c r="I33" s="6"/>
    </row>
    <row r="34" customFormat="false" ht="23.85" hidden="false" customHeight="false" outlineLevel="0" collapsed="false">
      <c r="A34" s="6" t="s">
        <v>119</v>
      </c>
      <c r="B34" s="6" t="s">
        <v>44</v>
      </c>
      <c r="C34" s="6" t="s">
        <v>117</v>
      </c>
      <c r="D34" s="6" t="s">
        <v>120</v>
      </c>
      <c r="E34" s="6" t="n">
        <f aca="false">COUNTIFS(Katalog!$B:$B,A34,Katalog!$Q:$Q,"&lt;&gt;Ishlamaydi*")+COUNTIFS(Katalog!$C:$C,"*"&amp;A34&amp;"*",Katalog!$Q:$Q,"&lt;&gt;Ishlamaydi*")</f>
        <v>2</v>
      </c>
      <c r="F34" s="6"/>
      <c r="G34" s="6"/>
      <c r="H34" s="6" t="str">
        <f aca="false">IF(G34&lt;&gt;"","Takroriy",IF(E34=0,"Yetishmaydi",IF(F34="ha","Qisman to‘ldirilgan","Mavjud, lekin tekshirilmagan")))</f>
        <v>Mavjud, lekin tekshirilmagan</v>
      </c>
      <c r="I34" s="6"/>
    </row>
    <row r="35" customFormat="false" ht="23.85" hidden="false" customHeight="false" outlineLevel="0" collapsed="false">
      <c r="A35" s="6" t="s">
        <v>121</v>
      </c>
      <c r="B35" s="6" t="s">
        <v>44</v>
      </c>
      <c r="C35" s="6" t="s">
        <v>117</v>
      </c>
      <c r="D35" s="6" t="s">
        <v>122</v>
      </c>
      <c r="E35" s="6" t="n">
        <f aca="false">COUNTIFS(Katalog!$B:$B,A35,Katalog!$Q:$Q,"&lt;&gt;Ishlamaydi*")+COUNTIFS(Katalog!$C:$C,"*"&amp;A35&amp;"*",Katalog!$Q:$Q,"&lt;&gt;Ishlamaydi*")</f>
        <v>1</v>
      </c>
      <c r="F35" s="6"/>
      <c r="G35" s="6"/>
      <c r="H35" s="6" t="str">
        <f aca="false">IF(G35&lt;&gt;"","Takroriy",IF(E35=0,"Yetishmaydi",IF(F35="ha","Qisman to‘ldirilgan","Mavjud, lekin tekshirilmagan")))</f>
        <v>Mavjud, lekin tekshirilmagan</v>
      </c>
      <c r="I35" s="6"/>
    </row>
    <row r="36" customFormat="false" ht="23.85" hidden="false" customHeight="false" outlineLevel="0" collapsed="false">
      <c r="A36" s="6" t="s">
        <v>123</v>
      </c>
      <c r="B36" s="6" t="s">
        <v>44</v>
      </c>
      <c r="C36" s="6" t="s">
        <v>117</v>
      </c>
      <c r="D36" s="6" t="s">
        <v>124</v>
      </c>
      <c r="E36" s="6" t="n">
        <f aca="false">COUNTIFS(Katalog!$B:$B,A36,Katalog!$Q:$Q,"&lt;&gt;Ishlamaydi*")+COUNTIFS(Katalog!$C:$C,"*"&amp;A36&amp;"*",Katalog!$Q:$Q,"&lt;&gt;Ishlamaydi*")</f>
        <v>1</v>
      </c>
      <c r="F36" s="6" t="s">
        <v>55</v>
      </c>
      <c r="G36" s="6"/>
      <c r="H36" s="6" t="str">
        <f aca="false">IF(G36&lt;&gt;"","Takroriy",IF(E36=0,"Yetishmaydi",IF(F36="ha","Qisman to‘ldirilgan","Mavjud, lekin tekshirilmagan")))</f>
        <v>Qisman to‘ldirilgan</v>
      </c>
      <c r="I36" s="6"/>
    </row>
    <row r="37" customFormat="false" ht="35.05" hidden="false" customHeight="false" outlineLevel="0" collapsed="false">
      <c r="A37" s="6" t="s">
        <v>125</v>
      </c>
      <c r="B37" s="6" t="s">
        <v>44</v>
      </c>
      <c r="C37" s="6" t="s">
        <v>117</v>
      </c>
      <c r="D37" s="6" t="s">
        <v>126</v>
      </c>
      <c r="E37" s="6" t="n">
        <f aca="false">COUNTIFS(Katalog!$B:$B,A37,Katalog!$Q:$Q,"&lt;&gt;Ishlamaydi*")+COUNTIFS(Katalog!$C:$C,"*"&amp;A37&amp;"*",Katalog!$Q:$Q,"&lt;&gt;Ishlamaydi*")</f>
        <v>1</v>
      </c>
      <c r="F37" s="6" t="s">
        <v>55</v>
      </c>
      <c r="G37" s="6" t="s">
        <v>127</v>
      </c>
      <c r="H37" s="6" t="str">
        <f aca="false">IF(G37&lt;&gt;"","Takroriy",IF(E37=0,"Yetishmaydi",IF(F37="ha","Qisman to‘ldirilgan","Mavjud, lekin tekshirilmagan")))</f>
        <v>Takroriy</v>
      </c>
      <c r="I37" s="6"/>
    </row>
    <row r="38" customFormat="false" ht="23.85" hidden="false" customHeight="false" outlineLevel="0" collapsed="false">
      <c r="A38" s="6" t="s">
        <v>128</v>
      </c>
      <c r="B38" s="6" t="s">
        <v>44</v>
      </c>
      <c r="C38" s="6" t="s">
        <v>117</v>
      </c>
      <c r="D38" s="6" t="s">
        <v>129</v>
      </c>
      <c r="E38" s="6" t="n">
        <f aca="false">COUNTIFS(Katalog!$B:$B,A38,Katalog!$Q:$Q,"&lt;&gt;Ishlamaydi*")+COUNTIFS(Katalog!$C:$C,"*"&amp;A38&amp;"*",Katalog!$Q:$Q,"&lt;&gt;Ishlamaydi*")</f>
        <v>1</v>
      </c>
      <c r="F38" s="6" t="s">
        <v>55</v>
      </c>
      <c r="G38" s="6"/>
      <c r="H38" s="6" t="str">
        <f aca="false">IF(G38&lt;&gt;"","Takroriy",IF(E38=0,"Yetishmaydi",IF(F38="ha","Qisman to‘ldirilgan","Mavjud, lekin tekshirilmagan")))</f>
        <v>Qisman to‘ldirilgan</v>
      </c>
      <c r="I38" s="6" t="s">
        <v>130</v>
      </c>
    </row>
    <row r="39" customFormat="false" ht="23.85" hidden="false" customHeight="false" outlineLevel="0" collapsed="false">
      <c r="A39" s="6" t="s">
        <v>131</v>
      </c>
      <c r="B39" s="6" t="s">
        <v>132</v>
      </c>
      <c r="C39" s="6" t="s">
        <v>133</v>
      </c>
      <c r="D39" s="6" t="s">
        <v>134</v>
      </c>
      <c r="E39" s="6" t="n">
        <f aca="false">COUNTIFS(Katalog!$B:$B,A39,Katalog!$Q:$Q,"&lt;&gt;Ishlamaydi*")+COUNTIFS(Katalog!$C:$C,"*"&amp;A39&amp;"*",Katalog!$Q:$Q,"&lt;&gt;Ishlamaydi*")</f>
        <v>0</v>
      </c>
      <c r="F39" s="6"/>
      <c r="G39" s="6"/>
      <c r="H39" s="6" t="str">
        <f aca="false">IF(G39&lt;&gt;"","Takroriy",IF(E39=0,"Yetishmaydi",IF(F39="ha","Qisman to‘ldirilgan","Mavjud, lekin tekshirilmagan")))</f>
        <v>Yetishmaydi</v>
      </c>
      <c r="I39" s="6"/>
    </row>
    <row r="40" customFormat="false" ht="23.85" hidden="false" customHeight="false" outlineLevel="0" collapsed="false">
      <c r="A40" s="6" t="s">
        <v>135</v>
      </c>
      <c r="B40" s="6" t="s">
        <v>132</v>
      </c>
      <c r="C40" s="6" t="s">
        <v>133</v>
      </c>
      <c r="D40" s="6" t="s">
        <v>136</v>
      </c>
      <c r="E40" s="6" t="n">
        <f aca="false">COUNTIFS(Katalog!$B:$B,A40,Katalog!$Q:$Q,"&lt;&gt;Ishlamaydi*")+COUNTIFS(Katalog!$C:$C,"*"&amp;A40&amp;"*",Katalog!$Q:$Q,"&lt;&gt;Ishlamaydi*")</f>
        <v>1</v>
      </c>
      <c r="F40" s="6"/>
      <c r="G40" s="6"/>
      <c r="H40" s="6" t="str">
        <f aca="false">IF(G40&lt;&gt;"","Takroriy",IF(E40=0,"Yetishmaydi",IF(F40="ha","Qisman to‘ldirilgan","Mavjud, lekin tekshirilmagan")))</f>
        <v>Mavjud, lekin tekshirilmagan</v>
      </c>
      <c r="I40" s="6"/>
    </row>
    <row r="41" customFormat="false" ht="23.85" hidden="false" customHeight="false" outlineLevel="0" collapsed="false">
      <c r="A41" s="6" t="s">
        <v>137</v>
      </c>
      <c r="B41" s="6" t="s">
        <v>132</v>
      </c>
      <c r="C41" s="6" t="s">
        <v>133</v>
      </c>
      <c r="D41" s="6" t="s">
        <v>138</v>
      </c>
      <c r="E41" s="6" t="n">
        <f aca="false">COUNTIFS(Katalog!$B:$B,A41,Katalog!$Q:$Q,"&lt;&gt;Ishlamaydi*")+COUNTIFS(Katalog!$C:$C,"*"&amp;A41&amp;"*",Katalog!$Q:$Q,"&lt;&gt;Ishlamaydi*")</f>
        <v>2</v>
      </c>
      <c r="F41" s="6"/>
      <c r="G41" s="6"/>
      <c r="H41" s="6" t="str">
        <f aca="false">IF(G41&lt;&gt;"","Takroriy",IF(E41=0,"Yetishmaydi",IF(F41="ha","Qisman to‘ldirilgan","Mavjud, lekin tekshirilmagan")))</f>
        <v>Mavjud, lekin tekshirilmagan</v>
      </c>
      <c r="I41" s="6"/>
    </row>
    <row r="42" customFormat="false" ht="23.85" hidden="false" customHeight="false" outlineLevel="0" collapsed="false">
      <c r="A42" s="6" t="s">
        <v>139</v>
      </c>
      <c r="B42" s="6" t="s">
        <v>132</v>
      </c>
      <c r="C42" s="6" t="s">
        <v>133</v>
      </c>
      <c r="D42" s="6" t="s">
        <v>140</v>
      </c>
      <c r="E42" s="6" t="n">
        <f aca="false">COUNTIFS(Katalog!$B:$B,A42,Katalog!$Q:$Q,"&lt;&gt;Ishlamaydi*")+COUNTIFS(Katalog!$C:$C,"*"&amp;A42&amp;"*",Katalog!$Q:$Q,"&lt;&gt;Ishlamaydi*")</f>
        <v>3</v>
      </c>
      <c r="F42" s="6"/>
      <c r="G42" s="6"/>
      <c r="H42" s="6" t="str">
        <f aca="false">IF(G42&lt;&gt;"","Takroriy",IF(E42=0,"Yetishmaydi",IF(F42="ha","Qisman to‘ldirilgan","Mavjud, lekin tekshirilmagan")))</f>
        <v>Mavjud, lekin tekshirilmagan</v>
      </c>
      <c r="I42" s="6"/>
    </row>
    <row r="43" customFormat="false" ht="23.85" hidden="false" customHeight="false" outlineLevel="0" collapsed="false">
      <c r="A43" s="6" t="s">
        <v>141</v>
      </c>
      <c r="B43" s="6" t="s">
        <v>132</v>
      </c>
      <c r="C43" s="6" t="s">
        <v>133</v>
      </c>
      <c r="D43" s="6" t="s">
        <v>142</v>
      </c>
      <c r="E43" s="6" t="n">
        <f aca="false">COUNTIFS(Katalog!$B:$B,A43,Katalog!$Q:$Q,"&lt;&gt;Ishlamaydi*")+COUNTIFS(Katalog!$C:$C,"*"&amp;A43&amp;"*",Katalog!$Q:$Q,"&lt;&gt;Ishlamaydi*")</f>
        <v>2</v>
      </c>
      <c r="F43" s="6"/>
      <c r="G43" s="6"/>
      <c r="H43" s="6" t="str">
        <f aca="false">IF(G43&lt;&gt;"","Takroriy",IF(E43=0,"Yetishmaydi",IF(F43="ha","Qisman to‘ldirilgan","Mavjud, lekin tekshirilmagan")))</f>
        <v>Mavjud, lekin tekshirilmagan</v>
      </c>
      <c r="I43" s="6"/>
    </row>
    <row r="44" customFormat="false" ht="23.85" hidden="false" customHeight="false" outlineLevel="0" collapsed="false">
      <c r="A44" s="6" t="s">
        <v>143</v>
      </c>
      <c r="B44" s="6" t="s">
        <v>132</v>
      </c>
      <c r="C44" s="6" t="s">
        <v>133</v>
      </c>
      <c r="D44" s="6" t="s">
        <v>144</v>
      </c>
      <c r="E44" s="6" t="n">
        <f aca="false">COUNTIFS(Katalog!$B:$B,A44,Katalog!$Q:$Q,"&lt;&gt;Ishlamaydi*")+COUNTIFS(Katalog!$C:$C,"*"&amp;A44&amp;"*",Katalog!$Q:$Q,"&lt;&gt;Ishlamaydi*")</f>
        <v>0</v>
      </c>
      <c r="F44" s="6"/>
      <c r="G44" s="6"/>
      <c r="H44" s="6" t="str">
        <f aca="false">IF(G44&lt;&gt;"","Takroriy",IF(E44=0,"Yetishmaydi",IF(F44="ha","Qisman to‘ldirilgan","Mavjud, lekin tekshirilmagan")))</f>
        <v>Yetishmaydi</v>
      </c>
      <c r="I44" s="6"/>
    </row>
    <row r="45" customFormat="false" ht="23.85" hidden="false" customHeight="false" outlineLevel="0" collapsed="false">
      <c r="A45" s="6" t="s">
        <v>145</v>
      </c>
      <c r="B45" s="6" t="s">
        <v>132</v>
      </c>
      <c r="C45" s="6" t="s">
        <v>146</v>
      </c>
      <c r="D45" s="6" t="s">
        <v>147</v>
      </c>
      <c r="E45" s="6" t="n">
        <f aca="false">COUNTIFS(Katalog!$B:$B,A45,Katalog!$Q:$Q,"&lt;&gt;Ishlamaydi*")+COUNTIFS(Katalog!$C:$C,"*"&amp;A45&amp;"*",Katalog!$Q:$Q,"&lt;&gt;Ishlamaydi*")</f>
        <v>4</v>
      </c>
      <c r="F45" s="6"/>
      <c r="G45" s="6"/>
      <c r="H45" s="6" t="str">
        <f aca="false">IF(G45&lt;&gt;"","Takroriy",IF(E45=0,"Yetishmaydi",IF(F45="ha","Qisman to‘ldirilgan","Mavjud, lekin tekshirilmagan")))</f>
        <v>Mavjud, lekin tekshirilmagan</v>
      </c>
      <c r="I45" s="6"/>
    </row>
    <row r="46" customFormat="false" ht="23.85" hidden="false" customHeight="false" outlineLevel="0" collapsed="false">
      <c r="A46" s="6" t="s">
        <v>148</v>
      </c>
      <c r="B46" s="6" t="s">
        <v>132</v>
      </c>
      <c r="C46" s="6" t="s">
        <v>146</v>
      </c>
      <c r="D46" s="6" t="s">
        <v>149</v>
      </c>
      <c r="E46" s="6" t="n">
        <f aca="false">COUNTIFS(Katalog!$B:$B,A46,Katalog!$Q:$Q,"&lt;&gt;Ishlamaydi*")+COUNTIFS(Katalog!$C:$C,"*"&amp;A46&amp;"*",Katalog!$Q:$Q,"&lt;&gt;Ishlamaydi*")</f>
        <v>3</v>
      </c>
      <c r="F46" s="6" t="s">
        <v>55</v>
      </c>
      <c r="G46" s="6"/>
      <c r="H46" s="6" t="str">
        <f aca="false">IF(G46&lt;&gt;"","Takroriy",IF(E46=0,"Yetishmaydi",IF(F46="ha","Qisman to‘ldirilgan","Mavjud, lekin tekshirilmagan")))</f>
        <v>Qisman to‘ldirilgan</v>
      </c>
      <c r="I46" s="6"/>
    </row>
    <row r="47" customFormat="false" ht="23.85" hidden="false" customHeight="false" outlineLevel="0" collapsed="false">
      <c r="A47" s="6" t="s">
        <v>150</v>
      </c>
      <c r="B47" s="6" t="s">
        <v>132</v>
      </c>
      <c r="C47" s="6" t="s">
        <v>146</v>
      </c>
      <c r="D47" s="6" t="s">
        <v>151</v>
      </c>
      <c r="E47" s="6" t="n">
        <f aca="false">COUNTIFS(Katalog!$B:$B,A47,Katalog!$Q:$Q,"&lt;&gt;Ishlamaydi*")+COUNTIFS(Katalog!$C:$C,"*"&amp;A47&amp;"*",Katalog!$Q:$Q,"&lt;&gt;Ishlamaydi*")</f>
        <v>3</v>
      </c>
      <c r="F47" s="6"/>
      <c r="G47" s="6"/>
      <c r="H47" s="6" t="str">
        <f aca="false">IF(G47&lt;&gt;"","Takroriy",IF(E47=0,"Yetishmaydi",IF(F47="ha","Qisman to‘ldirilgan","Mavjud, lekin tekshirilmagan")))</f>
        <v>Mavjud, lekin tekshirilmagan</v>
      </c>
      <c r="I47" s="6"/>
    </row>
    <row r="48" customFormat="false" ht="23.85" hidden="false" customHeight="false" outlineLevel="0" collapsed="false">
      <c r="A48" s="6" t="s">
        <v>152</v>
      </c>
      <c r="B48" s="6" t="s">
        <v>132</v>
      </c>
      <c r="C48" s="6" t="s">
        <v>146</v>
      </c>
      <c r="D48" s="6" t="s">
        <v>153</v>
      </c>
      <c r="E48" s="6" t="n">
        <f aca="false">COUNTIFS(Katalog!$B:$B,A48,Katalog!$Q:$Q,"&lt;&gt;Ishlamaydi*")+COUNTIFS(Katalog!$C:$C,"*"&amp;A48&amp;"*",Katalog!$Q:$Q,"&lt;&gt;Ishlamaydi*")</f>
        <v>1</v>
      </c>
      <c r="F48" s="6"/>
      <c r="G48" s="6"/>
      <c r="H48" s="6" t="str">
        <f aca="false">IF(G48&lt;&gt;"","Takroriy",IF(E48=0,"Yetishmaydi",IF(F48="ha","Qisman to‘ldirilgan","Mavjud, lekin tekshirilmagan")))</f>
        <v>Mavjud, lekin tekshirilmagan</v>
      </c>
      <c r="I48" s="6"/>
    </row>
    <row r="49" customFormat="false" ht="23.85" hidden="false" customHeight="false" outlineLevel="0" collapsed="false">
      <c r="A49" s="6" t="s">
        <v>154</v>
      </c>
      <c r="B49" s="6" t="s">
        <v>132</v>
      </c>
      <c r="C49" s="6" t="s">
        <v>146</v>
      </c>
      <c r="D49" s="6" t="s">
        <v>155</v>
      </c>
      <c r="E49" s="6" t="n">
        <f aca="false">COUNTIFS(Katalog!$B:$B,A49,Katalog!$Q:$Q,"&lt;&gt;Ishlamaydi*")+COUNTIFS(Katalog!$C:$C,"*"&amp;A49&amp;"*",Katalog!$Q:$Q,"&lt;&gt;Ishlamaydi*")</f>
        <v>0</v>
      </c>
      <c r="F49" s="6"/>
      <c r="G49" s="6"/>
      <c r="H49" s="6" t="str">
        <f aca="false">IF(G49&lt;&gt;"","Takroriy",IF(E49=0,"Yetishmaydi",IF(F49="ha","Qisman to‘ldirilgan","Mavjud, lekin tekshirilmagan")))</f>
        <v>Yetishmaydi</v>
      </c>
      <c r="I49" s="6"/>
    </row>
    <row r="50" customFormat="false" ht="23.85" hidden="false" customHeight="false" outlineLevel="0" collapsed="false">
      <c r="A50" s="6" t="s">
        <v>156</v>
      </c>
      <c r="B50" s="6" t="s">
        <v>132</v>
      </c>
      <c r="C50" s="6" t="s">
        <v>146</v>
      </c>
      <c r="D50" s="6" t="s">
        <v>157</v>
      </c>
      <c r="E50" s="6" t="n">
        <f aca="false">COUNTIFS(Katalog!$B:$B,A50,Katalog!$Q:$Q,"&lt;&gt;Ishlamaydi*")+COUNTIFS(Katalog!$C:$C,"*"&amp;A50&amp;"*",Katalog!$Q:$Q,"&lt;&gt;Ishlamaydi*")</f>
        <v>3</v>
      </c>
      <c r="F50" s="6"/>
      <c r="G50" s="6"/>
      <c r="H50" s="6" t="str">
        <f aca="false">IF(G50&lt;&gt;"","Takroriy",IF(E50=0,"Yetishmaydi",IF(F50="ha","Qisman to‘ldirilgan","Mavjud, lekin tekshirilmagan")))</f>
        <v>Mavjud, lekin tekshirilmagan</v>
      </c>
      <c r="I50" s="6"/>
    </row>
    <row r="51" customFormat="false" ht="23.85" hidden="false" customHeight="false" outlineLevel="0" collapsed="false">
      <c r="A51" s="6" t="s">
        <v>158</v>
      </c>
      <c r="B51" s="6" t="s">
        <v>132</v>
      </c>
      <c r="C51" s="6" t="s">
        <v>159</v>
      </c>
      <c r="D51" s="6" t="s">
        <v>160</v>
      </c>
      <c r="E51" s="6" t="n">
        <f aca="false">COUNTIFS(Katalog!$B:$B,A51,Katalog!$Q:$Q,"&lt;&gt;Ishlamaydi*")+COUNTIFS(Katalog!$C:$C,"*"&amp;A51&amp;"*",Katalog!$Q:$Q,"&lt;&gt;Ishlamaydi*")</f>
        <v>1</v>
      </c>
      <c r="F51" s="6" t="s">
        <v>55</v>
      </c>
      <c r="G51" s="6"/>
      <c r="H51" s="6" t="str">
        <f aca="false">IF(G51&lt;&gt;"","Takroriy",IF(E51=0,"Yetishmaydi",IF(F51="ha","Qisman to‘ldirilgan","Mavjud, lekin tekshirilmagan")))</f>
        <v>Qisman to‘ldirilgan</v>
      </c>
      <c r="I51" s="6"/>
    </row>
    <row r="52" customFormat="false" ht="23.85" hidden="false" customHeight="false" outlineLevel="0" collapsed="false">
      <c r="A52" s="6" t="s">
        <v>161</v>
      </c>
      <c r="B52" s="6" t="s">
        <v>132</v>
      </c>
      <c r="C52" s="6" t="s">
        <v>159</v>
      </c>
      <c r="D52" s="6" t="s">
        <v>162</v>
      </c>
      <c r="E52" s="6" t="n">
        <f aca="false">COUNTIFS(Katalog!$B:$B,A52,Katalog!$Q:$Q,"&lt;&gt;Ishlamaydi*")+COUNTIFS(Katalog!$C:$C,"*"&amp;A52&amp;"*",Katalog!$Q:$Q,"&lt;&gt;Ishlamaydi*")</f>
        <v>2</v>
      </c>
      <c r="F52" s="6"/>
      <c r="G52" s="6"/>
      <c r="H52" s="6" t="str">
        <f aca="false">IF(G52&lt;&gt;"","Takroriy",IF(E52=0,"Yetishmaydi",IF(F52="ha","Qisman to‘ldirilgan","Mavjud, lekin tekshirilmagan")))</f>
        <v>Mavjud, lekin tekshirilmagan</v>
      </c>
      <c r="I52" s="6"/>
    </row>
    <row r="53" customFormat="false" ht="23.85" hidden="false" customHeight="false" outlineLevel="0" collapsed="false">
      <c r="A53" s="6" t="s">
        <v>163</v>
      </c>
      <c r="B53" s="6" t="s">
        <v>132</v>
      </c>
      <c r="C53" s="6" t="s">
        <v>159</v>
      </c>
      <c r="D53" s="6" t="s">
        <v>164</v>
      </c>
      <c r="E53" s="6" t="n">
        <f aca="false">COUNTIFS(Katalog!$B:$B,A53,Katalog!$Q:$Q,"&lt;&gt;Ishlamaydi*")+COUNTIFS(Katalog!$C:$C,"*"&amp;A53&amp;"*",Katalog!$Q:$Q,"&lt;&gt;Ishlamaydi*")</f>
        <v>1</v>
      </c>
      <c r="F53" s="6"/>
      <c r="G53" s="6"/>
      <c r="H53" s="6" t="str">
        <f aca="false">IF(G53&lt;&gt;"","Takroriy",IF(E53=0,"Yetishmaydi",IF(F53="ha","Qisman to‘ldirilgan","Mavjud, lekin tekshirilmagan")))</f>
        <v>Mavjud, lekin tekshirilmagan</v>
      </c>
      <c r="I53" s="6"/>
    </row>
    <row r="54" customFormat="false" ht="23.85" hidden="false" customHeight="false" outlineLevel="0" collapsed="false">
      <c r="A54" s="6" t="s">
        <v>165</v>
      </c>
      <c r="B54" s="6" t="s">
        <v>132</v>
      </c>
      <c r="C54" s="6" t="s">
        <v>159</v>
      </c>
      <c r="D54" s="6" t="s">
        <v>166</v>
      </c>
      <c r="E54" s="6" t="n">
        <f aca="false">COUNTIFS(Katalog!$B:$B,A54,Katalog!$Q:$Q,"&lt;&gt;Ishlamaydi*")+COUNTIFS(Katalog!$C:$C,"*"&amp;A54&amp;"*",Katalog!$Q:$Q,"&lt;&gt;Ishlamaydi*")</f>
        <v>1</v>
      </c>
      <c r="F54" s="6"/>
      <c r="G54" s="6"/>
      <c r="H54" s="6" t="str">
        <f aca="false">IF(G54&lt;&gt;"","Takroriy",IF(E54=0,"Yetishmaydi",IF(F54="ha","Qisman to‘ldirilgan","Mavjud, lekin tekshirilmagan")))</f>
        <v>Mavjud, lekin tekshirilmagan</v>
      </c>
      <c r="I54" s="6"/>
    </row>
    <row r="55" customFormat="false" ht="23.85" hidden="false" customHeight="false" outlineLevel="0" collapsed="false">
      <c r="A55" s="6" t="s">
        <v>167</v>
      </c>
      <c r="B55" s="6" t="s">
        <v>132</v>
      </c>
      <c r="C55" s="6" t="s">
        <v>159</v>
      </c>
      <c r="D55" s="6" t="s">
        <v>168</v>
      </c>
      <c r="E55" s="6" t="n">
        <f aca="false">COUNTIFS(Katalog!$B:$B,A55,Katalog!$Q:$Q,"&lt;&gt;Ishlamaydi*")+COUNTIFS(Katalog!$C:$C,"*"&amp;A55&amp;"*",Katalog!$Q:$Q,"&lt;&gt;Ishlamaydi*")</f>
        <v>4</v>
      </c>
      <c r="F55" s="6"/>
      <c r="G55" s="6"/>
      <c r="H55" s="6" t="str">
        <f aca="false">IF(G55&lt;&gt;"","Takroriy",IF(E55=0,"Yetishmaydi",IF(F55="ha","Qisman to‘ldirilgan","Mavjud, lekin tekshirilmagan")))</f>
        <v>Mavjud, lekin tekshirilmagan</v>
      </c>
      <c r="I55" s="6"/>
    </row>
    <row r="56" customFormat="false" ht="23.85" hidden="false" customHeight="false" outlineLevel="0" collapsed="false">
      <c r="A56" s="6" t="s">
        <v>169</v>
      </c>
      <c r="B56" s="6" t="s">
        <v>132</v>
      </c>
      <c r="C56" s="6" t="s">
        <v>159</v>
      </c>
      <c r="D56" s="6" t="s">
        <v>170</v>
      </c>
      <c r="E56" s="6" t="n">
        <f aca="false">COUNTIFS(Katalog!$B:$B,A56,Katalog!$Q:$Q,"&lt;&gt;Ishlamaydi*")+COUNTIFS(Katalog!$C:$C,"*"&amp;A56&amp;"*",Katalog!$Q:$Q,"&lt;&gt;Ishlamaydi*")</f>
        <v>0</v>
      </c>
      <c r="F56" s="6"/>
      <c r="G56" s="6"/>
      <c r="H56" s="6" t="str">
        <f aca="false">IF(G56&lt;&gt;"","Takroriy",IF(E56=0,"Yetishmaydi",IF(F56="ha","Qisman to‘ldirilgan","Mavjud, lekin tekshirilmagan")))</f>
        <v>Yetishmaydi</v>
      </c>
      <c r="I56" s="6"/>
    </row>
    <row r="57" customFormat="false" ht="23.85" hidden="false" customHeight="false" outlineLevel="0" collapsed="false">
      <c r="A57" s="6" t="s">
        <v>171</v>
      </c>
      <c r="B57" s="6" t="s">
        <v>132</v>
      </c>
      <c r="C57" s="6" t="s">
        <v>159</v>
      </c>
      <c r="D57" s="6" t="s">
        <v>172</v>
      </c>
      <c r="E57" s="6" t="n">
        <f aca="false">COUNTIFS(Katalog!$B:$B,A57,Katalog!$Q:$Q,"&lt;&gt;Ishlamaydi*")+COUNTIFS(Katalog!$C:$C,"*"&amp;A57&amp;"*",Katalog!$Q:$Q,"&lt;&gt;Ishlamaydi*")</f>
        <v>2</v>
      </c>
      <c r="F57" s="6"/>
      <c r="G57" s="6"/>
      <c r="H57" s="6" t="str">
        <f aca="false">IF(G57&lt;&gt;"","Takroriy",IF(E57=0,"Yetishmaydi",IF(F57="ha","Qisman to‘ldirilgan","Mavjud, lekin tekshirilmagan")))</f>
        <v>Mavjud, lekin tekshirilmagan</v>
      </c>
      <c r="I57" s="6"/>
    </row>
    <row r="58" customFormat="false" ht="23.85" hidden="false" customHeight="false" outlineLevel="0" collapsed="false">
      <c r="A58" s="6" t="s">
        <v>173</v>
      </c>
      <c r="B58" s="6" t="s">
        <v>174</v>
      </c>
      <c r="C58" s="6" t="s">
        <v>175</v>
      </c>
      <c r="D58" s="6" t="s">
        <v>176</v>
      </c>
      <c r="E58" s="6" t="n">
        <f aca="false">COUNTIFS(Katalog!$B:$B,A58,Katalog!$Q:$Q,"&lt;&gt;Ishlamaydi*")+COUNTIFS(Katalog!$C:$C,"*"&amp;A58&amp;"*",Katalog!$Q:$Q,"&lt;&gt;Ishlamaydi*")</f>
        <v>2</v>
      </c>
      <c r="F58" s="6"/>
      <c r="G58" s="6"/>
      <c r="H58" s="6" t="str">
        <f aca="false">IF(G58&lt;&gt;"","Takroriy",IF(E58=0,"Yetishmaydi",IF(F58="ha","Qisman to‘ldirilgan","Mavjud, lekin tekshirilmagan")))</f>
        <v>Mavjud, lekin tekshirilmagan</v>
      </c>
      <c r="I58" s="6"/>
    </row>
    <row r="59" customFormat="false" ht="23.85" hidden="false" customHeight="false" outlineLevel="0" collapsed="false">
      <c r="A59" s="6" t="s">
        <v>177</v>
      </c>
      <c r="B59" s="6" t="s">
        <v>174</v>
      </c>
      <c r="C59" s="6" t="s">
        <v>175</v>
      </c>
      <c r="D59" s="6" t="s">
        <v>178</v>
      </c>
      <c r="E59" s="6" t="n">
        <f aca="false">COUNTIFS(Katalog!$B:$B,A59,Katalog!$Q:$Q,"&lt;&gt;Ishlamaydi*")+COUNTIFS(Katalog!$C:$C,"*"&amp;A59&amp;"*",Katalog!$Q:$Q,"&lt;&gt;Ishlamaydi*")</f>
        <v>3</v>
      </c>
      <c r="F59" s="6"/>
      <c r="G59" s="6"/>
      <c r="H59" s="6" t="str">
        <f aca="false">IF(G59&lt;&gt;"","Takroriy",IF(E59=0,"Yetishmaydi",IF(F59="ha","Qisman to‘ldirilgan","Mavjud, lekin tekshirilmagan")))</f>
        <v>Mavjud, lekin tekshirilmagan</v>
      </c>
      <c r="I59" s="6"/>
    </row>
    <row r="60" customFormat="false" ht="23.85" hidden="false" customHeight="false" outlineLevel="0" collapsed="false">
      <c r="A60" s="6" t="s">
        <v>179</v>
      </c>
      <c r="B60" s="6" t="s">
        <v>174</v>
      </c>
      <c r="C60" s="6" t="s">
        <v>175</v>
      </c>
      <c r="D60" s="6" t="s">
        <v>180</v>
      </c>
      <c r="E60" s="6" t="n">
        <f aca="false">COUNTIFS(Katalog!$B:$B,A60,Katalog!$Q:$Q,"&lt;&gt;Ishlamaydi*")+COUNTIFS(Katalog!$C:$C,"*"&amp;A60&amp;"*",Katalog!$Q:$Q,"&lt;&gt;Ishlamaydi*")</f>
        <v>3</v>
      </c>
      <c r="F60" s="6"/>
      <c r="G60" s="6"/>
      <c r="H60" s="6" t="str">
        <f aca="false">IF(G60&lt;&gt;"","Takroriy",IF(E60=0,"Yetishmaydi",IF(F60="ha","Qisman to‘ldirilgan","Mavjud, lekin tekshirilmagan")))</f>
        <v>Mavjud, lekin tekshirilmagan</v>
      </c>
      <c r="I60" s="6"/>
    </row>
    <row r="61" customFormat="false" ht="23.85" hidden="false" customHeight="false" outlineLevel="0" collapsed="false">
      <c r="A61" s="6" t="s">
        <v>181</v>
      </c>
      <c r="B61" s="6" t="s">
        <v>174</v>
      </c>
      <c r="C61" s="6" t="s">
        <v>175</v>
      </c>
      <c r="D61" s="6" t="s">
        <v>182</v>
      </c>
      <c r="E61" s="6" t="n">
        <f aca="false">COUNTIFS(Katalog!$B:$B,A61,Katalog!$Q:$Q,"&lt;&gt;Ishlamaydi*")+COUNTIFS(Katalog!$C:$C,"*"&amp;A61&amp;"*",Katalog!$Q:$Q,"&lt;&gt;Ishlamaydi*")</f>
        <v>2</v>
      </c>
      <c r="F61" s="6"/>
      <c r="G61" s="6"/>
      <c r="H61" s="6" t="str">
        <f aca="false">IF(G61&lt;&gt;"","Takroriy",IF(E61=0,"Yetishmaydi",IF(F61="ha","Qisman to‘ldirilgan","Mavjud, lekin tekshirilmagan")))</f>
        <v>Mavjud, lekin tekshirilmagan</v>
      </c>
      <c r="I61" s="6"/>
    </row>
    <row r="62" customFormat="false" ht="23.85" hidden="false" customHeight="false" outlineLevel="0" collapsed="false">
      <c r="A62" s="6" t="s">
        <v>183</v>
      </c>
      <c r="B62" s="6" t="s">
        <v>174</v>
      </c>
      <c r="C62" s="6" t="s">
        <v>175</v>
      </c>
      <c r="D62" s="6" t="s">
        <v>184</v>
      </c>
      <c r="E62" s="6" t="n">
        <f aca="false">COUNTIFS(Katalog!$B:$B,A62,Katalog!$Q:$Q,"&lt;&gt;Ishlamaydi*")+COUNTIFS(Katalog!$C:$C,"*"&amp;A62&amp;"*",Katalog!$Q:$Q,"&lt;&gt;Ishlamaydi*")</f>
        <v>1</v>
      </c>
      <c r="F62" s="6"/>
      <c r="G62" s="6"/>
      <c r="H62" s="6" t="str">
        <f aca="false">IF(G62&lt;&gt;"","Takroriy",IF(E62=0,"Yetishmaydi",IF(F62="ha","Qisman to‘ldirilgan","Mavjud, lekin tekshirilmagan")))</f>
        <v>Mavjud, lekin tekshirilmagan</v>
      </c>
      <c r="I62" s="6"/>
    </row>
    <row r="63" customFormat="false" ht="23.85" hidden="false" customHeight="false" outlineLevel="0" collapsed="false">
      <c r="A63" s="6" t="s">
        <v>185</v>
      </c>
      <c r="B63" s="6" t="s">
        <v>174</v>
      </c>
      <c r="C63" s="6" t="s">
        <v>175</v>
      </c>
      <c r="D63" s="6" t="s">
        <v>186</v>
      </c>
      <c r="E63" s="6" t="n">
        <f aca="false">COUNTIFS(Katalog!$B:$B,A63,Katalog!$Q:$Q,"&lt;&gt;Ishlamaydi*")+COUNTIFS(Katalog!$C:$C,"*"&amp;A63&amp;"*",Katalog!$Q:$Q,"&lt;&gt;Ishlamaydi*")</f>
        <v>1</v>
      </c>
      <c r="F63" s="6"/>
      <c r="G63" s="6"/>
      <c r="H63" s="6" t="str">
        <f aca="false">IF(G63&lt;&gt;"","Takroriy",IF(E63=0,"Yetishmaydi",IF(F63="ha","Qisman to‘ldirilgan","Mavjud, lekin tekshirilmagan")))</f>
        <v>Mavjud, lekin tekshirilmagan</v>
      </c>
      <c r="I63" s="6" t="s">
        <v>187</v>
      </c>
    </row>
    <row r="64" customFormat="false" ht="23.85" hidden="false" customHeight="false" outlineLevel="0" collapsed="false">
      <c r="A64" s="6" t="s">
        <v>188</v>
      </c>
      <c r="B64" s="6" t="s">
        <v>174</v>
      </c>
      <c r="C64" s="6" t="s">
        <v>175</v>
      </c>
      <c r="D64" s="6" t="s">
        <v>189</v>
      </c>
      <c r="E64" s="6" t="n">
        <f aca="false">COUNTIFS(Katalog!$B:$B,A64,Katalog!$Q:$Q,"&lt;&gt;Ishlamaydi*")+COUNTIFS(Katalog!$C:$C,"*"&amp;A64&amp;"*",Katalog!$Q:$Q,"&lt;&gt;Ishlamaydi*")</f>
        <v>2</v>
      </c>
      <c r="F64" s="6"/>
      <c r="G64" s="6"/>
      <c r="H64" s="6" t="str">
        <f aca="false">IF(G64&lt;&gt;"","Takroriy",IF(E64=0,"Yetishmaydi",IF(F64="ha","Qisman to‘ldirilgan","Mavjud, lekin tekshirilmagan")))</f>
        <v>Mavjud, lekin tekshirilmagan</v>
      </c>
      <c r="I64" s="6"/>
    </row>
    <row r="65" customFormat="false" ht="23.85" hidden="false" customHeight="false" outlineLevel="0" collapsed="false">
      <c r="A65" s="6" t="s">
        <v>190</v>
      </c>
      <c r="B65" s="6" t="s">
        <v>174</v>
      </c>
      <c r="C65" s="6" t="s">
        <v>175</v>
      </c>
      <c r="D65" s="6" t="s">
        <v>191</v>
      </c>
      <c r="E65" s="6" t="n">
        <f aca="false">COUNTIFS(Katalog!$B:$B,A65,Katalog!$Q:$Q,"&lt;&gt;Ishlamaydi*")+COUNTIFS(Katalog!$C:$C,"*"&amp;A65&amp;"*",Katalog!$Q:$Q,"&lt;&gt;Ishlamaydi*")</f>
        <v>0</v>
      </c>
      <c r="F65" s="6"/>
      <c r="G65" s="6"/>
      <c r="H65" s="6" t="str">
        <f aca="false">IF(G65&lt;&gt;"","Takroriy",IF(E65=0,"Yetishmaydi",IF(F65="ha","Qisman to‘ldirilgan","Mavjud, lekin tekshirilmagan")))</f>
        <v>Yetishmaydi</v>
      </c>
      <c r="I65" s="6"/>
    </row>
    <row r="66" customFormat="false" ht="23.85" hidden="false" customHeight="false" outlineLevel="0" collapsed="false">
      <c r="A66" s="6" t="s">
        <v>192</v>
      </c>
      <c r="B66" s="6" t="s">
        <v>174</v>
      </c>
      <c r="C66" s="6" t="s">
        <v>175</v>
      </c>
      <c r="D66" s="6" t="s">
        <v>193</v>
      </c>
      <c r="E66" s="6" t="n">
        <f aca="false">COUNTIFS(Katalog!$B:$B,A66,Katalog!$Q:$Q,"&lt;&gt;Ishlamaydi*")+COUNTIFS(Katalog!$C:$C,"*"&amp;A66&amp;"*",Katalog!$Q:$Q,"&lt;&gt;Ishlamaydi*")</f>
        <v>1</v>
      </c>
      <c r="F66" s="6"/>
      <c r="G66" s="6"/>
      <c r="H66" s="6" t="str">
        <f aca="false">IF(G66&lt;&gt;"","Takroriy",IF(E66=0,"Yetishmaydi",IF(F66="ha","Qisman to‘ldirilgan","Mavjud, lekin tekshirilmagan")))</f>
        <v>Mavjud, lekin tekshirilmagan</v>
      </c>
      <c r="I66" s="6"/>
    </row>
    <row r="67" customFormat="false" ht="23.85" hidden="false" customHeight="false" outlineLevel="0" collapsed="false">
      <c r="A67" s="6" t="s">
        <v>194</v>
      </c>
      <c r="B67" s="6" t="s">
        <v>174</v>
      </c>
      <c r="C67" s="6" t="s">
        <v>195</v>
      </c>
      <c r="D67" s="6" t="s">
        <v>196</v>
      </c>
      <c r="E67" s="6" t="n">
        <f aca="false">COUNTIFS(Katalog!$B:$B,A67,Katalog!$Q:$Q,"&lt;&gt;Ishlamaydi*")+COUNTIFS(Katalog!$C:$C,"*"&amp;A67&amp;"*",Katalog!$Q:$Q,"&lt;&gt;Ishlamaydi*")</f>
        <v>1</v>
      </c>
      <c r="F67" s="6"/>
      <c r="G67" s="6"/>
      <c r="H67" s="6" t="str">
        <f aca="false">IF(G67&lt;&gt;"","Takroriy",IF(E67=0,"Yetishmaydi",IF(F67="ha","Qisman to‘ldirilgan","Mavjud, lekin tekshirilmagan")))</f>
        <v>Mavjud, lekin tekshirilmagan</v>
      </c>
      <c r="I67" s="6"/>
    </row>
    <row r="68" customFormat="false" ht="23.85" hidden="false" customHeight="false" outlineLevel="0" collapsed="false">
      <c r="A68" s="6" t="s">
        <v>197</v>
      </c>
      <c r="B68" s="6" t="s">
        <v>174</v>
      </c>
      <c r="C68" s="6" t="s">
        <v>195</v>
      </c>
      <c r="D68" s="6" t="s">
        <v>198</v>
      </c>
      <c r="E68" s="6" t="n">
        <f aca="false">COUNTIFS(Katalog!$B:$B,A68,Katalog!$Q:$Q,"&lt;&gt;Ishlamaydi*")+COUNTIFS(Katalog!$C:$C,"*"&amp;A68&amp;"*",Katalog!$Q:$Q,"&lt;&gt;Ishlamaydi*")</f>
        <v>2</v>
      </c>
      <c r="F68" s="6"/>
      <c r="G68" s="6"/>
      <c r="H68" s="6" t="str">
        <f aca="false">IF(G68&lt;&gt;"","Takroriy",IF(E68=0,"Yetishmaydi",IF(F68="ha","Qisman to‘ldirilgan","Mavjud, lekin tekshirilmagan")))</f>
        <v>Mavjud, lekin tekshirilmagan</v>
      </c>
      <c r="I68" s="6"/>
    </row>
    <row r="69" customFormat="false" ht="23.85" hidden="false" customHeight="false" outlineLevel="0" collapsed="false">
      <c r="A69" s="6" t="s">
        <v>199</v>
      </c>
      <c r="B69" s="6" t="s">
        <v>174</v>
      </c>
      <c r="C69" s="6" t="s">
        <v>195</v>
      </c>
      <c r="D69" s="6" t="s">
        <v>200</v>
      </c>
      <c r="E69" s="6" t="n">
        <f aca="false">COUNTIFS(Katalog!$B:$B,A69,Katalog!$Q:$Q,"&lt;&gt;Ishlamaydi*")+COUNTIFS(Katalog!$C:$C,"*"&amp;A69&amp;"*",Katalog!$Q:$Q,"&lt;&gt;Ishlamaydi*")</f>
        <v>1</v>
      </c>
      <c r="F69" s="6"/>
      <c r="G69" s="6"/>
      <c r="H69" s="6" t="str">
        <f aca="false">IF(G69&lt;&gt;"","Takroriy",IF(E69=0,"Yetishmaydi",IF(F69="ha","Qisman to‘ldirilgan","Mavjud, lekin tekshirilmagan")))</f>
        <v>Mavjud, lekin tekshirilmagan</v>
      </c>
      <c r="I69" s="6"/>
    </row>
    <row r="70" customFormat="false" ht="23.85" hidden="false" customHeight="false" outlineLevel="0" collapsed="false">
      <c r="A70" s="6" t="s">
        <v>201</v>
      </c>
      <c r="B70" s="6" t="s">
        <v>174</v>
      </c>
      <c r="C70" s="6" t="s">
        <v>195</v>
      </c>
      <c r="D70" s="6" t="s">
        <v>202</v>
      </c>
      <c r="E70" s="6" t="n">
        <f aca="false">COUNTIFS(Katalog!$B:$B,A70,Katalog!$Q:$Q,"&lt;&gt;Ishlamaydi*")+COUNTIFS(Katalog!$C:$C,"*"&amp;A70&amp;"*",Katalog!$Q:$Q,"&lt;&gt;Ishlamaydi*")</f>
        <v>1</v>
      </c>
      <c r="F70" s="6"/>
      <c r="G70" s="6"/>
      <c r="H70" s="6" t="str">
        <f aca="false">IF(G70&lt;&gt;"","Takroriy",IF(E70=0,"Yetishmaydi",IF(F70="ha","Qisman to‘ldirilgan","Mavjud, lekin tekshirilmagan")))</f>
        <v>Mavjud, lekin tekshirilmagan</v>
      </c>
      <c r="I70" s="6" t="s">
        <v>203</v>
      </c>
    </row>
    <row r="71" customFormat="false" ht="23.85" hidden="false" customHeight="false" outlineLevel="0" collapsed="false">
      <c r="A71" s="6" t="s">
        <v>204</v>
      </c>
      <c r="B71" s="6" t="s">
        <v>174</v>
      </c>
      <c r="C71" s="6" t="s">
        <v>195</v>
      </c>
      <c r="D71" s="6" t="s">
        <v>205</v>
      </c>
      <c r="E71" s="6" t="n">
        <f aca="false">COUNTIFS(Katalog!$B:$B,A71,Katalog!$Q:$Q,"&lt;&gt;Ishlamaydi*")+COUNTIFS(Katalog!$C:$C,"*"&amp;A71&amp;"*",Katalog!$Q:$Q,"&lt;&gt;Ishlamaydi*")</f>
        <v>0</v>
      </c>
      <c r="F71" s="6"/>
      <c r="G71" s="6"/>
      <c r="H71" s="6" t="str">
        <f aca="false">IF(G71&lt;&gt;"","Takroriy",IF(E71=0,"Yetishmaydi",IF(F71="ha","Qisman to‘ldirilgan","Mavjud, lekin tekshirilmagan")))</f>
        <v>Yetishmaydi</v>
      </c>
      <c r="I71" s="6"/>
    </row>
    <row r="72" customFormat="false" ht="23.85" hidden="false" customHeight="false" outlineLevel="0" collapsed="false">
      <c r="A72" s="6" t="s">
        <v>206</v>
      </c>
      <c r="B72" s="6" t="s">
        <v>174</v>
      </c>
      <c r="C72" s="6" t="s">
        <v>195</v>
      </c>
      <c r="D72" s="6" t="s">
        <v>207</v>
      </c>
      <c r="E72" s="6" t="n">
        <f aca="false">COUNTIFS(Katalog!$B:$B,A72,Katalog!$Q:$Q,"&lt;&gt;Ishlamaydi*")+COUNTIFS(Katalog!$C:$C,"*"&amp;A72&amp;"*",Katalog!$Q:$Q,"&lt;&gt;Ishlamaydi*")</f>
        <v>3</v>
      </c>
      <c r="F72" s="6"/>
      <c r="G72" s="6"/>
      <c r="H72" s="6" t="str">
        <f aca="false">IF(G72&lt;&gt;"","Takroriy",IF(E72=0,"Yetishmaydi",IF(F72="ha","Qisman to‘ldirilgan","Mavjud, lekin tekshirilmagan")))</f>
        <v>Mavjud, lekin tekshirilmagan</v>
      </c>
      <c r="I72" s="6"/>
    </row>
    <row r="73" customFormat="false" ht="23.85" hidden="false" customHeight="false" outlineLevel="0" collapsed="false">
      <c r="A73" s="6" t="s">
        <v>208</v>
      </c>
      <c r="B73" s="6" t="s">
        <v>174</v>
      </c>
      <c r="C73" s="6" t="s">
        <v>195</v>
      </c>
      <c r="D73" s="6" t="s">
        <v>209</v>
      </c>
      <c r="E73" s="6" t="n">
        <f aca="false">COUNTIFS(Katalog!$B:$B,A73,Katalog!$Q:$Q,"&lt;&gt;Ishlamaydi*")+COUNTIFS(Katalog!$C:$C,"*"&amp;A73&amp;"*",Katalog!$Q:$Q,"&lt;&gt;Ishlamaydi*")</f>
        <v>0</v>
      </c>
      <c r="F73" s="6"/>
      <c r="G73" s="6"/>
      <c r="H73" s="6" t="str">
        <f aca="false">IF(G73&lt;&gt;"","Takroriy",IF(E73=0,"Yetishmaydi",IF(F73="ha","Qisman to‘ldirilgan","Mavjud, lekin tekshirilmagan")))</f>
        <v>Yetishmaydi</v>
      </c>
      <c r="I73" s="6"/>
    </row>
    <row r="74" customFormat="false" ht="23.85" hidden="false" customHeight="false" outlineLevel="0" collapsed="false">
      <c r="A74" s="6" t="s">
        <v>210</v>
      </c>
      <c r="B74" s="6" t="s">
        <v>174</v>
      </c>
      <c r="C74" s="6" t="s">
        <v>195</v>
      </c>
      <c r="D74" s="6" t="s">
        <v>211</v>
      </c>
      <c r="E74" s="6" t="n">
        <f aca="false">COUNTIFS(Katalog!$B:$B,A74,Katalog!$Q:$Q,"&lt;&gt;Ishlamaydi*")+COUNTIFS(Katalog!$C:$C,"*"&amp;A74&amp;"*",Katalog!$Q:$Q,"&lt;&gt;Ishlamaydi*")</f>
        <v>0</v>
      </c>
      <c r="F74" s="6"/>
      <c r="G74" s="6"/>
      <c r="H74" s="6" t="str">
        <f aca="false">IF(G74&lt;&gt;"","Takroriy",IF(E74=0,"Yetishmaydi",IF(F74="ha","Qisman to‘ldirilgan","Mavjud, lekin tekshirilmagan")))</f>
        <v>Yetishmaydi</v>
      </c>
      <c r="I74" s="6"/>
    </row>
    <row r="75" customFormat="false" ht="23.85" hidden="false" customHeight="false" outlineLevel="0" collapsed="false">
      <c r="A75" s="6" t="s">
        <v>212</v>
      </c>
      <c r="B75" s="6" t="s">
        <v>174</v>
      </c>
      <c r="C75" s="6" t="s">
        <v>213</v>
      </c>
      <c r="D75" s="6" t="s">
        <v>214</v>
      </c>
      <c r="E75" s="6" t="n">
        <f aca="false">COUNTIFS(Katalog!$B:$B,A75,Katalog!$Q:$Q,"&lt;&gt;Ishlamaydi*")+COUNTIFS(Katalog!$C:$C,"*"&amp;A75&amp;"*",Katalog!$Q:$Q,"&lt;&gt;Ishlamaydi*")</f>
        <v>2</v>
      </c>
      <c r="F75" s="6" t="s">
        <v>55</v>
      </c>
      <c r="G75" s="6"/>
      <c r="H75" s="6" t="str">
        <f aca="false">IF(G75&lt;&gt;"","Takroriy",IF(E75=0,"Yetishmaydi",IF(F75="ha","Qisman to‘ldirilgan","Mavjud, lekin tekshirilmagan")))</f>
        <v>Qisman to‘ldirilgan</v>
      </c>
      <c r="I75" s="6"/>
    </row>
    <row r="76" customFormat="false" ht="23.85" hidden="false" customHeight="false" outlineLevel="0" collapsed="false">
      <c r="A76" s="6" t="s">
        <v>215</v>
      </c>
      <c r="B76" s="6" t="s">
        <v>174</v>
      </c>
      <c r="C76" s="6" t="s">
        <v>213</v>
      </c>
      <c r="D76" s="6" t="s">
        <v>216</v>
      </c>
      <c r="E76" s="6" t="n">
        <f aca="false">COUNTIFS(Katalog!$B:$B,A76,Katalog!$Q:$Q,"&lt;&gt;Ishlamaydi*")+COUNTIFS(Katalog!$C:$C,"*"&amp;A76&amp;"*",Katalog!$Q:$Q,"&lt;&gt;Ishlamaydi*")</f>
        <v>2</v>
      </c>
      <c r="F76" s="6"/>
      <c r="G76" s="6"/>
      <c r="H76" s="6" t="str">
        <f aca="false">IF(G76&lt;&gt;"","Takroriy",IF(E76=0,"Yetishmaydi",IF(F76="ha","Qisman to‘ldirilgan","Mavjud, lekin tekshirilmagan")))</f>
        <v>Mavjud, lekin tekshirilmagan</v>
      </c>
      <c r="I76" s="6"/>
    </row>
    <row r="77" customFormat="false" ht="23.85" hidden="false" customHeight="false" outlineLevel="0" collapsed="false">
      <c r="A77" s="6" t="s">
        <v>217</v>
      </c>
      <c r="B77" s="6" t="s">
        <v>174</v>
      </c>
      <c r="C77" s="6" t="s">
        <v>213</v>
      </c>
      <c r="D77" s="6" t="s">
        <v>218</v>
      </c>
      <c r="E77" s="6" t="n">
        <f aca="false">COUNTIFS(Katalog!$B:$B,A77,Katalog!$Q:$Q,"&lt;&gt;Ishlamaydi*")+COUNTIFS(Katalog!$C:$C,"*"&amp;A77&amp;"*",Katalog!$Q:$Q,"&lt;&gt;Ishlamaydi*")</f>
        <v>0</v>
      </c>
      <c r="F77" s="6"/>
      <c r="G77" s="6"/>
      <c r="H77" s="6" t="str">
        <f aca="false">IF(G77&lt;&gt;"","Takroriy",IF(E77=0,"Yetishmaydi",IF(F77="ha","Qisman to‘ldirilgan","Mavjud, lekin tekshirilmagan")))</f>
        <v>Yetishmaydi</v>
      </c>
      <c r="I77" s="6"/>
    </row>
    <row r="78" customFormat="false" ht="23.85" hidden="false" customHeight="false" outlineLevel="0" collapsed="false">
      <c r="A78" s="6" t="s">
        <v>219</v>
      </c>
      <c r="B78" s="6" t="s">
        <v>174</v>
      </c>
      <c r="C78" s="6" t="s">
        <v>213</v>
      </c>
      <c r="D78" s="6" t="s">
        <v>220</v>
      </c>
      <c r="E78" s="6" t="n">
        <f aca="false">COUNTIFS(Katalog!$B:$B,A78,Katalog!$Q:$Q,"&lt;&gt;Ishlamaydi*")+COUNTIFS(Katalog!$C:$C,"*"&amp;A78&amp;"*",Katalog!$Q:$Q,"&lt;&gt;Ishlamaydi*")</f>
        <v>0</v>
      </c>
      <c r="F78" s="6"/>
      <c r="G78" s="6"/>
      <c r="H78" s="6" t="str">
        <f aca="false">IF(G78&lt;&gt;"","Takroriy",IF(E78=0,"Yetishmaydi",IF(F78="ha","Qisman to‘ldirilgan","Mavjud, lekin tekshirilmagan")))</f>
        <v>Yetishmaydi</v>
      </c>
      <c r="I78" s="6"/>
    </row>
    <row r="79" customFormat="false" ht="23.85" hidden="false" customHeight="false" outlineLevel="0" collapsed="false">
      <c r="A79" s="6" t="s">
        <v>221</v>
      </c>
      <c r="B79" s="6" t="s">
        <v>174</v>
      </c>
      <c r="C79" s="6" t="s">
        <v>213</v>
      </c>
      <c r="D79" s="6" t="s">
        <v>222</v>
      </c>
      <c r="E79" s="6" t="n">
        <f aca="false">COUNTIFS(Katalog!$B:$B,A79,Katalog!$Q:$Q,"&lt;&gt;Ishlamaydi*")+COUNTIFS(Katalog!$C:$C,"*"&amp;A79&amp;"*",Katalog!$Q:$Q,"&lt;&gt;Ishlamaydi*")</f>
        <v>0</v>
      </c>
      <c r="F79" s="6"/>
      <c r="G79" s="6"/>
      <c r="H79" s="6" t="str">
        <f aca="false">IF(G79&lt;&gt;"","Takroriy",IF(E79=0,"Yetishmaydi",IF(F79="ha","Qisman to‘ldirilgan","Mavjud, lekin tekshirilmagan")))</f>
        <v>Yetishmaydi</v>
      </c>
      <c r="I79" s="6"/>
    </row>
    <row r="80" customFormat="false" ht="23.85" hidden="false" customHeight="false" outlineLevel="0" collapsed="false">
      <c r="A80" s="6" t="s">
        <v>223</v>
      </c>
      <c r="B80" s="6" t="s">
        <v>174</v>
      </c>
      <c r="C80" s="6" t="s">
        <v>224</v>
      </c>
      <c r="D80" s="6" t="s">
        <v>225</v>
      </c>
      <c r="E80" s="6" t="n">
        <f aca="false">COUNTIFS(Katalog!$B:$B,A80,Katalog!$Q:$Q,"&lt;&gt;Ishlamaydi*")+COUNTIFS(Katalog!$C:$C,"*"&amp;A80&amp;"*",Katalog!$Q:$Q,"&lt;&gt;Ishlamaydi*")</f>
        <v>1</v>
      </c>
      <c r="F80" s="6"/>
      <c r="G80" s="6"/>
      <c r="H80" s="6" t="str">
        <f aca="false">IF(G80&lt;&gt;"","Takroriy",IF(E80=0,"Yetishmaydi",IF(F80="ha","Qisman to‘ldirilgan","Mavjud, lekin tekshirilmagan")))</f>
        <v>Mavjud, lekin tekshirilmagan</v>
      </c>
      <c r="I80" s="6"/>
    </row>
    <row r="81" customFormat="false" ht="23.85" hidden="false" customHeight="false" outlineLevel="0" collapsed="false">
      <c r="A81" s="6" t="s">
        <v>226</v>
      </c>
      <c r="B81" s="6" t="s">
        <v>174</v>
      </c>
      <c r="C81" s="6" t="s">
        <v>224</v>
      </c>
      <c r="D81" s="6" t="s">
        <v>227</v>
      </c>
      <c r="E81" s="6" t="n">
        <f aca="false">COUNTIFS(Katalog!$B:$B,A81,Katalog!$Q:$Q,"&lt;&gt;Ishlamaydi*")+COUNTIFS(Katalog!$C:$C,"*"&amp;A81&amp;"*",Katalog!$Q:$Q,"&lt;&gt;Ishlamaydi*")</f>
        <v>2</v>
      </c>
      <c r="F81" s="6"/>
      <c r="G81" s="6"/>
      <c r="H81" s="6" t="str">
        <f aca="false">IF(G81&lt;&gt;"","Takroriy",IF(E81=0,"Yetishmaydi",IF(F81="ha","Qisman to‘ldirilgan","Mavjud, lekin tekshirilmagan")))</f>
        <v>Mavjud, lekin tekshirilmagan</v>
      </c>
      <c r="I81" s="6"/>
    </row>
    <row r="82" customFormat="false" ht="23.85" hidden="false" customHeight="false" outlineLevel="0" collapsed="false">
      <c r="A82" s="6" t="s">
        <v>228</v>
      </c>
      <c r="B82" s="6" t="s">
        <v>174</v>
      </c>
      <c r="C82" s="6" t="s">
        <v>224</v>
      </c>
      <c r="D82" s="6" t="s">
        <v>229</v>
      </c>
      <c r="E82" s="6" t="n">
        <f aca="false">COUNTIFS(Katalog!$B:$B,A82,Katalog!$Q:$Q,"&lt;&gt;Ishlamaydi*")+COUNTIFS(Katalog!$C:$C,"*"&amp;A82&amp;"*",Katalog!$Q:$Q,"&lt;&gt;Ishlamaydi*")</f>
        <v>0</v>
      </c>
      <c r="F82" s="6"/>
      <c r="G82" s="6"/>
      <c r="H82" s="6" t="str">
        <f aca="false">IF(G82&lt;&gt;"","Takroriy",IF(E82=0,"Yetishmaydi",IF(F82="ha","Qisman to‘ldirilgan","Mavjud, lekin tekshirilmagan")))</f>
        <v>Yetishmaydi</v>
      </c>
      <c r="I82" s="6"/>
    </row>
    <row r="83" customFormat="false" ht="23.85" hidden="false" customHeight="false" outlineLevel="0" collapsed="false">
      <c r="A83" s="6" t="s">
        <v>230</v>
      </c>
      <c r="B83" s="6" t="s">
        <v>174</v>
      </c>
      <c r="C83" s="6" t="s">
        <v>224</v>
      </c>
      <c r="D83" s="6" t="s">
        <v>231</v>
      </c>
      <c r="E83" s="6" t="n">
        <f aca="false">COUNTIFS(Katalog!$B:$B,A83,Katalog!$Q:$Q,"&lt;&gt;Ishlamaydi*")+COUNTIFS(Katalog!$C:$C,"*"&amp;A83&amp;"*",Katalog!$Q:$Q,"&lt;&gt;Ishlamaydi*")</f>
        <v>1</v>
      </c>
      <c r="F83" s="6"/>
      <c r="G83" s="6"/>
      <c r="H83" s="6" t="str">
        <f aca="false">IF(G83&lt;&gt;"","Takroriy",IF(E83=0,"Yetishmaydi",IF(F83="ha","Qisman to‘ldirilgan","Mavjud, lekin tekshirilmagan")))</f>
        <v>Mavjud, lekin tekshirilmagan</v>
      </c>
      <c r="I83" s="6"/>
    </row>
    <row r="84" customFormat="false" ht="23.85" hidden="false" customHeight="false" outlineLevel="0" collapsed="false">
      <c r="A84" s="6" t="s">
        <v>232</v>
      </c>
      <c r="B84" s="6" t="s">
        <v>174</v>
      </c>
      <c r="C84" s="6" t="s">
        <v>233</v>
      </c>
      <c r="D84" s="6" t="s">
        <v>234</v>
      </c>
      <c r="E84" s="6" t="n">
        <f aca="false">COUNTIFS(Katalog!$B:$B,A84,Katalog!$Q:$Q,"&lt;&gt;Ishlamaydi*")+COUNTIFS(Katalog!$C:$C,"*"&amp;A84&amp;"*",Katalog!$Q:$Q,"&lt;&gt;Ishlamaydi*")</f>
        <v>3</v>
      </c>
      <c r="F84" s="6"/>
      <c r="G84" s="6"/>
      <c r="H84" s="6" t="str">
        <f aca="false">IF(G84&lt;&gt;"","Takroriy",IF(E84=0,"Yetishmaydi",IF(F84="ha","Qisman to‘ldirilgan","Mavjud, lekin tekshirilmagan")))</f>
        <v>Mavjud, lekin tekshirilmagan</v>
      </c>
      <c r="I84" s="6"/>
    </row>
    <row r="85" customFormat="false" ht="23.85" hidden="false" customHeight="false" outlineLevel="0" collapsed="false">
      <c r="A85" s="6" t="s">
        <v>235</v>
      </c>
      <c r="B85" s="6" t="s">
        <v>174</v>
      </c>
      <c r="C85" s="6" t="s">
        <v>233</v>
      </c>
      <c r="D85" s="6" t="s">
        <v>236</v>
      </c>
      <c r="E85" s="6" t="n">
        <f aca="false">COUNTIFS(Katalog!$B:$B,A85,Katalog!$Q:$Q,"&lt;&gt;Ishlamaydi*")+COUNTIFS(Katalog!$C:$C,"*"&amp;A85&amp;"*",Katalog!$Q:$Q,"&lt;&gt;Ishlamaydi*")</f>
        <v>1</v>
      </c>
      <c r="F85" s="6"/>
      <c r="G85" s="6"/>
      <c r="H85" s="6" t="str">
        <f aca="false">IF(G85&lt;&gt;"","Takroriy",IF(E85=0,"Yetishmaydi",IF(F85="ha","Qisman to‘ldirilgan","Mavjud, lekin tekshirilmagan")))</f>
        <v>Mavjud, lekin tekshirilmagan</v>
      </c>
      <c r="I85" s="6"/>
    </row>
    <row r="86" customFormat="false" ht="23.85" hidden="false" customHeight="false" outlineLevel="0" collapsed="false">
      <c r="A86" s="6" t="s">
        <v>237</v>
      </c>
      <c r="B86" s="6" t="s">
        <v>174</v>
      </c>
      <c r="C86" s="6" t="s">
        <v>233</v>
      </c>
      <c r="D86" s="6" t="s">
        <v>238</v>
      </c>
      <c r="E86" s="6" t="n">
        <f aca="false">COUNTIFS(Katalog!$B:$B,A86,Katalog!$Q:$Q,"&lt;&gt;Ishlamaydi*")+COUNTIFS(Katalog!$C:$C,"*"&amp;A86&amp;"*",Katalog!$Q:$Q,"&lt;&gt;Ishlamaydi*")</f>
        <v>3</v>
      </c>
      <c r="F86" s="6" t="s">
        <v>55</v>
      </c>
      <c r="G86" s="6"/>
      <c r="H86" s="6" t="str">
        <f aca="false">IF(G86&lt;&gt;"","Takroriy",IF(E86=0,"Yetishmaydi",IF(F86="ha","Qisman to‘ldirilgan","Mavjud, lekin tekshirilmagan")))</f>
        <v>Qisman to‘ldirilgan</v>
      </c>
      <c r="I86" s="6"/>
    </row>
    <row r="87" customFormat="false" ht="23.85" hidden="false" customHeight="false" outlineLevel="0" collapsed="false">
      <c r="A87" s="6" t="s">
        <v>239</v>
      </c>
      <c r="B87" s="6" t="s">
        <v>174</v>
      </c>
      <c r="C87" s="6" t="s">
        <v>233</v>
      </c>
      <c r="D87" s="6" t="s">
        <v>240</v>
      </c>
      <c r="E87" s="6" t="n">
        <f aca="false">COUNTIFS(Katalog!$B:$B,A87,Katalog!$Q:$Q,"&lt;&gt;Ishlamaydi*")+COUNTIFS(Katalog!$C:$C,"*"&amp;A87&amp;"*",Katalog!$Q:$Q,"&lt;&gt;Ishlamaydi*")</f>
        <v>1</v>
      </c>
      <c r="F87" s="6"/>
      <c r="G87" s="6"/>
      <c r="H87" s="6" t="str">
        <f aca="false">IF(G87&lt;&gt;"","Takroriy",IF(E87=0,"Yetishmaydi",IF(F87="ha","Qisman to‘ldirilgan","Mavjud, lekin tekshirilmagan")))</f>
        <v>Mavjud, lekin tekshirilmagan</v>
      </c>
      <c r="I87" s="6"/>
    </row>
    <row r="88" customFormat="false" ht="23.85" hidden="false" customHeight="false" outlineLevel="0" collapsed="false">
      <c r="A88" s="6" t="s">
        <v>241</v>
      </c>
      <c r="B88" s="6" t="s">
        <v>174</v>
      </c>
      <c r="C88" s="6" t="s">
        <v>233</v>
      </c>
      <c r="D88" s="6" t="s">
        <v>242</v>
      </c>
      <c r="E88" s="6" t="n">
        <f aca="false">COUNTIFS(Katalog!$B:$B,A88,Katalog!$Q:$Q,"&lt;&gt;Ishlamaydi*")+COUNTIFS(Katalog!$C:$C,"*"&amp;A88&amp;"*",Katalog!$Q:$Q,"&lt;&gt;Ishlamaydi*")</f>
        <v>0</v>
      </c>
      <c r="F88" s="6"/>
      <c r="G88" s="6"/>
      <c r="H88" s="6" t="str">
        <f aca="false">IF(G88&lt;&gt;"","Takroriy",IF(E88=0,"Yetishmaydi",IF(F88="ha","Qisman to‘ldirilgan","Mavjud, lekin tekshirilmagan")))</f>
        <v>Yetishmaydi</v>
      </c>
      <c r="I88" s="6"/>
    </row>
    <row r="89" customFormat="false" ht="23.85" hidden="false" customHeight="false" outlineLevel="0" collapsed="false">
      <c r="A89" s="6" t="s">
        <v>243</v>
      </c>
      <c r="B89" s="6" t="s">
        <v>174</v>
      </c>
      <c r="C89" s="6" t="s">
        <v>233</v>
      </c>
      <c r="D89" s="6" t="s">
        <v>244</v>
      </c>
      <c r="E89" s="6" t="n">
        <f aca="false">COUNTIFS(Katalog!$B:$B,A89,Katalog!$Q:$Q,"&lt;&gt;Ishlamaydi*")+COUNTIFS(Katalog!$C:$C,"*"&amp;A89&amp;"*",Katalog!$Q:$Q,"&lt;&gt;Ishlamaydi*")</f>
        <v>1</v>
      </c>
      <c r="F89" s="6"/>
      <c r="G89" s="6"/>
      <c r="H89" s="6" t="str">
        <f aca="false">IF(G89&lt;&gt;"","Takroriy",IF(E89=0,"Yetishmaydi",IF(F89="ha","Qisman to‘ldirilgan","Mavjud, lekin tekshirilmagan")))</f>
        <v>Mavjud, lekin tekshirilmagan</v>
      </c>
      <c r="I89" s="6"/>
    </row>
    <row r="90" customFormat="false" ht="23.85" hidden="false" customHeight="false" outlineLevel="0" collapsed="false">
      <c r="A90" s="6" t="s">
        <v>245</v>
      </c>
      <c r="B90" s="6" t="s">
        <v>174</v>
      </c>
      <c r="C90" s="6" t="s">
        <v>233</v>
      </c>
      <c r="D90" s="6" t="s">
        <v>246</v>
      </c>
      <c r="E90" s="6" t="n">
        <f aca="false">COUNTIFS(Katalog!$B:$B,A90,Katalog!$Q:$Q,"&lt;&gt;Ishlamaydi*")+COUNTIFS(Katalog!$C:$C,"*"&amp;A90&amp;"*",Katalog!$Q:$Q,"&lt;&gt;Ishlamaydi*")</f>
        <v>3</v>
      </c>
      <c r="F90" s="6"/>
      <c r="G90" s="6"/>
      <c r="H90" s="6" t="str">
        <f aca="false">IF(G90&lt;&gt;"","Takroriy",IF(E90=0,"Yetishmaydi",IF(F90="ha","Qisman to‘ldirilgan","Mavjud, lekin tekshirilmagan")))</f>
        <v>Mavjud, lekin tekshirilmagan</v>
      </c>
      <c r="I90" s="6"/>
    </row>
    <row r="91" customFormat="false" ht="23.85" hidden="false" customHeight="false" outlineLevel="0" collapsed="false">
      <c r="A91" s="6" t="s">
        <v>247</v>
      </c>
      <c r="B91" s="6" t="s">
        <v>174</v>
      </c>
      <c r="C91" s="6" t="s">
        <v>233</v>
      </c>
      <c r="D91" s="6" t="s">
        <v>248</v>
      </c>
      <c r="E91" s="6" t="n">
        <f aca="false">COUNTIFS(Katalog!$B:$B,A91,Katalog!$Q:$Q,"&lt;&gt;Ishlamaydi*")+COUNTIFS(Katalog!$C:$C,"*"&amp;A91&amp;"*",Katalog!$Q:$Q,"&lt;&gt;Ishlamaydi*")</f>
        <v>4</v>
      </c>
      <c r="F91" s="6"/>
      <c r="G91" s="6"/>
      <c r="H91" s="6" t="str">
        <f aca="false">IF(G91&lt;&gt;"","Takroriy",IF(E91=0,"Yetishmaydi",IF(F91="ha","Qisman to‘ldirilgan","Mavjud, lekin tekshirilmagan")))</f>
        <v>Mavjud, lekin tekshirilmagan</v>
      </c>
      <c r="I91" s="6"/>
    </row>
    <row r="92" customFormat="false" ht="23.85" hidden="false" customHeight="false" outlineLevel="0" collapsed="false">
      <c r="A92" s="6" t="s">
        <v>249</v>
      </c>
      <c r="B92" s="6" t="s">
        <v>174</v>
      </c>
      <c r="C92" s="6" t="s">
        <v>233</v>
      </c>
      <c r="D92" s="6" t="s">
        <v>250</v>
      </c>
      <c r="E92" s="6" t="n">
        <f aca="false">COUNTIFS(Katalog!$B:$B,A92,Katalog!$Q:$Q,"&lt;&gt;Ishlamaydi*")+COUNTIFS(Katalog!$C:$C,"*"&amp;A92&amp;"*",Katalog!$Q:$Q,"&lt;&gt;Ishlamaydi*")</f>
        <v>0</v>
      </c>
      <c r="F92" s="6"/>
      <c r="G92" s="6"/>
      <c r="H92" s="6" t="str">
        <f aca="false">IF(G92&lt;&gt;"","Takroriy",IF(E92=0,"Yetishmaydi",IF(F92="ha","Qisman to‘ldirilgan","Mavjud, lekin tekshirilmagan")))</f>
        <v>Yetishmaydi</v>
      </c>
      <c r="I92" s="6"/>
    </row>
    <row r="93" customFormat="false" ht="23.85" hidden="false" customHeight="false" outlineLevel="0" collapsed="false">
      <c r="A93" s="6" t="s">
        <v>251</v>
      </c>
      <c r="B93" s="6" t="s">
        <v>174</v>
      </c>
      <c r="C93" s="6" t="s">
        <v>252</v>
      </c>
      <c r="D93" s="6" t="s">
        <v>253</v>
      </c>
      <c r="E93" s="6" t="n">
        <f aca="false">COUNTIFS(Katalog!$B:$B,A93,Katalog!$Q:$Q,"&lt;&gt;Ishlamaydi*")+COUNTIFS(Katalog!$C:$C,"*"&amp;A93&amp;"*",Katalog!$Q:$Q,"&lt;&gt;Ishlamaydi*")</f>
        <v>3</v>
      </c>
      <c r="F93" s="6"/>
      <c r="G93" s="6" t="s">
        <v>254</v>
      </c>
      <c r="H93" s="6" t="str">
        <f aca="false">IF(G93&lt;&gt;"","Takroriy",IF(E93=0,"Yetishmaydi",IF(F93="ha","Qisman to‘ldirilgan","Mavjud, lekin tekshirilmagan")))</f>
        <v>Takroriy</v>
      </c>
      <c r="I93" s="6"/>
    </row>
    <row r="94" customFormat="false" ht="23.85" hidden="false" customHeight="false" outlineLevel="0" collapsed="false">
      <c r="A94" s="6" t="s">
        <v>255</v>
      </c>
      <c r="B94" s="6" t="s">
        <v>174</v>
      </c>
      <c r="C94" s="6" t="s">
        <v>252</v>
      </c>
      <c r="D94" s="6" t="s">
        <v>256</v>
      </c>
      <c r="E94" s="6" t="n">
        <f aca="false">COUNTIFS(Katalog!$B:$B,A94,Katalog!$Q:$Q,"&lt;&gt;Ishlamaydi*")+COUNTIFS(Katalog!$C:$C,"*"&amp;A94&amp;"*",Katalog!$Q:$Q,"&lt;&gt;Ishlamaydi*")</f>
        <v>1</v>
      </c>
      <c r="F94" s="6"/>
      <c r="G94" s="6" t="s">
        <v>257</v>
      </c>
      <c r="H94" s="6" t="str">
        <f aca="false">IF(G94&lt;&gt;"","Takroriy",IF(E94=0,"Yetishmaydi",IF(F94="ha","Qisman to‘ldirilgan","Mavjud, lekin tekshirilmagan")))</f>
        <v>Takroriy</v>
      </c>
      <c r="I94" s="6"/>
    </row>
    <row r="95" customFormat="false" ht="23.85" hidden="false" customHeight="false" outlineLevel="0" collapsed="false">
      <c r="A95" s="6" t="s">
        <v>258</v>
      </c>
      <c r="B95" s="6" t="s">
        <v>174</v>
      </c>
      <c r="C95" s="6" t="s">
        <v>252</v>
      </c>
      <c r="D95" s="6" t="s">
        <v>259</v>
      </c>
      <c r="E95" s="6" t="n">
        <f aca="false">COUNTIFS(Katalog!$B:$B,A95,Katalog!$Q:$Q,"&lt;&gt;Ishlamaydi*")+COUNTIFS(Katalog!$C:$C,"*"&amp;A95&amp;"*",Katalog!$Q:$Q,"&lt;&gt;Ishlamaydi*")</f>
        <v>0</v>
      </c>
      <c r="F95" s="6"/>
      <c r="G95" s="6"/>
      <c r="H95" s="6" t="str">
        <f aca="false">IF(G95&lt;&gt;"","Takroriy",IF(E95=0,"Yetishmaydi",IF(F95="ha","Qisman to‘ldirilgan","Mavjud, lekin tekshirilmagan")))</f>
        <v>Yetishmaydi</v>
      </c>
      <c r="I95" s="6"/>
    </row>
    <row r="96" customFormat="false" ht="23.85" hidden="false" customHeight="false" outlineLevel="0" collapsed="false">
      <c r="A96" s="6" t="s">
        <v>260</v>
      </c>
      <c r="B96" s="6" t="s">
        <v>174</v>
      </c>
      <c r="C96" s="6" t="s">
        <v>252</v>
      </c>
      <c r="D96" s="6" t="s">
        <v>261</v>
      </c>
      <c r="E96" s="6" t="n">
        <f aca="false">COUNTIFS(Katalog!$B:$B,A96,Katalog!$Q:$Q,"&lt;&gt;Ishlamaydi*")+COUNTIFS(Katalog!$C:$C,"*"&amp;A96&amp;"*",Katalog!$Q:$Q,"&lt;&gt;Ishlamaydi*")</f>
        <v>2</v>
      </c>
      <c r="F96" s="6"/>
      <c r="G96" s="6"/>
      <c r="H96" s="6" t="str">
        <f aca="false">IF(G96&lt;&gt;"","Takroriy",IF(E96=0,"Yetishmaydi",IF(F96="ha","Qisman to‘ldirilgan","Mavjud, lekin tekshirilmagan")))</f>
        <v>Mavjud, lekin tekshirilmagan</v>
      </c>
      <c r="I96" s="6"/>
    </row>
    <row r="97" customFormat="false" ht="23.85" hidden="false" customHeight="false" outlineLevel="0" collapsed="false">
      <c r="A97" s="6" t="s">
        <v>262</v>
      </c>
      <c r="B97" s="6" t="s">
        <v>174</v>
      </c>
      <c r="C97" s="6" t="s">
        <v>252</v>
      </c>
      <c r="D97" s="6" t="s">
        <v>263</v>
      </c>
      <c r="E97" s="6" t="n">
        <f aca="false">COUNTIFS(Katalog!$B:$B,A97,Katalog!$Q:$Q,"&lt;&gt;Ishlamaydi*")+COUNTIFS(Katalog!$C:$C,"*"&amp;A97&amp;"*",Katalog!$Q:$Q,"&lt;&gt;Ishlamaydi*")</f>
        <v>0</v>
      </c>
      <c r="F97" s="6"/>
      <c r="G97" s="6"/>
      <c r="H97" s="6" t="str">
        <f aca="false">IF(G97&lt;&gt;"","Takroriy",IF(E97=0,"Yetishmaydi",IF(F97="ha","Qisman to‘ldirilgan","Mavjud, lekin tekshirilmagan")))</f>
        <v>Yetishmaydi</v>
      </c>
      <c r="I97" s="6"/>
    </row>
    <row r="98" customFormat="false" ht="23.85" hidden="false" customHeight="false" outlineLevel="0" collapsed="false">
      <c r="A98" s="6" t="s">
        <v>264</v>
      </c>
      <c r="B98" s="6" t="s">
        <v>174</v>
      </c>
      <c r="C98" s="6" t="s">
        <v>252</v>
      </c>
      <c r="D98" s="6" t="s">
        <v>265</v>
      </c>
      <c r="E98" s="6" t="n">
        <f aca="false">COUNTIFS(Katalog!$B:$B,A98,Katalog!$Q:$Q,"&lt;&gt;Ishlamaydi*")+COUNTIFS(Katalog!$C:$C,"*"&amp;A98&amp;"*",Katalog!$Q:$Q,"&lt;&gt;Ishlamaydi*")</f>
        <v>0</v>
      </c>
      <c r="F98" s="6"/>
      <c r="G98" s="6"/>
      <c r="H98" s="6" t="str">
        <f aca="false">IF(G98&lt;&gt;"","Takroriy",IF(E98=0,"Yetishmaydi",IF(F98="ha","Qisman to‘ldirilgan","Mavjud, lekin tekshirilmagan")))</f>
        <v>Yetishmaydi</v>
      </c>
      <c r="I98" s="6"/>
    </row>
    <row r="99" customFormat="false" ht="23.85" hidden="false" customHeight="false" outlineLevel="0" collapsed="false">
      <c r="A99" s="6" t="s">
        <v>266</v>
      </c>
      <c r="B99" s="6" t="s">
        <v>174</v>
      </c>
      <c r="C99" s="6" t="s">
        <v>252</v>
      </c>
      <c r="D99" s="6" t="s">
        <v>267</v>
      </c>
      <c r="E99" s="6" t="n">
        <f aca="false">COUNTIFS(Katalog!$B:$B,A99,Katalog!$Q:$Q,"&lt;&gt;Ishlamaydi*")+COUNTIFS(Katalog!$C:$C,"*"&amp;A99&amp;"*",Katalog!$Q:$Q,"&lt;&gt;Ishlamaydi*")</f>
        <v>2</v>
      </c>
      <c r="F99" s="6"/>
      <c r="G99" s="6"/>
      <c r="H99" s="6" t="str">
        <f aca="false">IF(G99&lt;&gt;"","Takroriy",IF(E99=0,"Yetishmaydi",IF(F99="ha","Qisman to‘ldirilgan","Mavjud, lekin tekshirilmagan")))</f>
        <v>Mavjud, lekin tekshirilmagan</v>
      </c>
      <c r="I99" s="6"/>
    </row>
    <row r="100" customFormat="false" ht="23.85" hidden="false" customHeight="false" outlineLevel="0" collapsed="false">
      <c r="A100" s="6" t="s">
        <v>268</v>
      </c>
      <c r="B100" s="6" t="s">
        <v>174</v>
      </c>
      <c r="C100" s="6" t="s">
        <v>252</v>
      </c>
      <c r="D100" s="6" t="s">
        <v>269</v>
      </c>
      <c r="E100" s="6" t="n">
        <f aca="false">COUNTIFS(Katalog!$B:$B,A100,Katalog!$Q:$Q,"&lt;&gt;Ishlamaydi*")+COUNTIFS(Katalog!$C:$C,"*"&amp;A100&amp;"*",Katalog!$Q:$Q,"&lt;&gt;Ishlamaydi*")</f>
        <v>0</v>
      </c>
      <c r="F100" s="6"/>
      <c r="G100" s="6"/>
      <c r="H100" s="6" t="str">
        <f aca="false">IF(G100&lt;&gt;"","Takroriy",IF(E100=0,"Yetishmaydi",IF(F100="ha","Qisman to‘ldirilgan","Mavjud, lekin tekshirilmagan")))</f>
        <v>Yetishmaydi</v>
      </c>
      <c r="I100" s="6"/>
    </row>
    <row r="101" customFormat="false" ht="23.85" hidden="false" customHeight="false" outlineLevel="0" collapsed="false">
      <c r="A101" s="6" t="s">
        <v>270</v>
      </c>
      <c r="B101" s="6" t="s">
        <v>271</v>
      </c>
      <c r="C101" s="6" t="s">
        <v>272</v>
      </c>
      <c r="D101" s="6" t="s">
        <v>273</v>
      </c>
      <c r="E101" s="6" t="n">
        <f aca="false">COUNTIFS(Katalog!$B:$B,A101,Katalog!$Q:$Q,"&lt;&gt;Ishlamaydi*")+COUNTIFS(Katalog!$C:$C,"*"&amp;A101&amp;"*",Katalog!$Q:$Q,"&lt;&gt;Ishlamaydi*")</f>
        <v>1</v>
      </c>
      <c r="F101" s="6"/>
      <c r="G101" s="6"/>
      <c r="H101" s="6" t="str">
        <f aca="false">IF(G101&lt;&gt;"","Takroriy",IF(E101=0,"Yetishmaydi",IF(F101="ha","Qisman to‘ldirilgan","Mavjud, lekin tekshirilmagan")))</f>
        <v>Mavjud, lekin tekshirilmagan</v>
      </c>
      <c r="I101" s="6"/>
    </row>
    <row r="102" customFormat="false" ht="23.85" hidden="false" customHeight="false" outlineLevel="0" collapsed="false">
      <c r="A102" s="6" t="s">
        <v>274</v>
      </c>
      <c r="B102" s="6" t="s">
        <v>271</v>
      </c>
      <c r="C102" s="6" t="s">
        <v>272</v>
      </c>
      <c r="D102" s="6" t="s">
        <v>275</v>
      </c>
      <c r="E102" s="6" t="n">
        <f aca="false">COUNTIFS(Katalog!$B:$B,A102,Katalog!$Q:$Q,"&lt;&gt;Ishlamaydi*")+COUNTIFS(Katalog!$C:$C,"*"&amp;A102&amp;"*",Katalog!$Q:$Q,"&lt;&gt;Ishlamaydi*")</f>
        <v>3</v>
      </c>
      <c r="F102" s="6"/>
      <c r="G102" s="6"/>
      <c r="H102" s="6" t="str">
        <f aca="false">IF(G102&lt;&gt;"","Takroriy",IF(E102=0,"Yetishmaydi",IF(F102="ha","Qisman to‘ldirilgan","Mavjud, lekin tekshirilmagan")))</f>
        <v>Mavjud, lekin tekshirilmagan</v>
      </c>
      <c r="I102" s="6"/>
    </row>
    <row r="103" customFormat="false" ht="23.85" hidden="false" customHeight="false" outlineLevel="0" collapsed="false">
      <c r="A103" s="6" t="s">
        <v>276</v>
      </c>
      <c r="B103" s="6" t="s">
        <v>271</v>
      </c>
      <c r="C103" s="6" t="s">
        <v>272</v>
      </c>
      <c r="D103" s="6" t="s">
        <v>277</v>
      </c>
      <c r="E103" s="6" t="n">
        <f aca="false">COUNTIFS(Katalog!$B:$B,A103,Katalog!$Q:$Q,"&lt;&gt;Ishlamaydi*")+COUNTIFS(Katalog!$C:$C,"*"&amp;A103&amp;"*",Katalog!$Q:$Q,"&lt;&gt;Ishlamaydi*")</f>
        <v>2</v>
      </c>
      <c r="F103" s="6"/>
      <c r="G103" s="6"/>
      <c r="H103" s="6" t="str">
        <f aca="false">IF(G103&lt;&gt;"","Takroriy",IF(E103=0,"Yetishmaydi",IF(F103="ha","Qisman to‘ldirilgan","Mavjud, lekin tekshirilmagan")))</f>
        <v>Mavjud, lekin tekshirilmagan</v>
      </c>
      <c r="I103" s="6"/>
    </row>
    <row r="104" customFormat="false" ht="23.85" hidden="false" customHeight="false" outlineLevel="0" collapsed="false">
      <c r="A104" s="6" t="s">
        <v>278</v>
      </c>
      <c r="B104" s="6" t="s">
        <v>271</v>
      </c>
      <c r="C104" s="6" t="s">
        <v>272</v>
      </c>
      <c r="D104" s="6" t="s">
        <v>279</v>
      </c>
      <c r="E104" s="6" t="n">
        <f aca="false">COUNTIFS(Katalog!$B:$B,A104,Katalog!$Q:$Q,"&lt;&gt;Ishlamaydi*")+COUNTIFS(Katalog!$C:$C,"*"&amp;A104&amp;"*",Katalog!$Q:$Q,"&lt;&gt;Ishlamaydi*")</f>
        <v>4</v>
      </c>
      <c r="F104" s="6"/>
      <c r="G104" s="6"/>
      <c r="H104" s="6" t="str">
        <f aca="false">IF(G104&lt;&gt;"","Takroriy",IF(E104=0,"Yetishmaydi",IF(F104="ha","Qisman to‘ldirilgan","Mavjud, lekin tekshirilmagan")))</f>
        <v>Mavjud, lekin tekshirilmagan</v>
      </c>
      <c r="I104" s="6"/>
    </row>
    <row r="105" customFormat="false" ht="23.85" hidden="false" customHeight="false" outlineLevel="0" collapsed="false">
      <c r="A105" s="6" t="s">
        <v>280</v>
      </c>
      <c r="B105" s="6" t="s">
        <v>271</v>
      </c>
      <c r="C105" s="6" t="s">
        <v>272</v>
      </c>
      <c r="D105" s="6" t="s">
        <v>281</v>
      </c>
      <c r="E105" s="6" t="n">
        <f aca="false">COUNTIFS(Katalog!$B:$B,A105,Katalog!$Q:$Q,"&lt;&gt;Ishlamaydi*")+COUNTIFS(Katalog!$C:$C,"*"&amp;A105&amp;"*",Katalog!$Q:$Q,"&lt;&gt;Ishlamaydi*")</f>
        <v>4</v>
      </c>
      <c r="F105" s="6"/>
      <c r="G105" s="6"/>
      <c r="H105" s="6" t="str">
        <f aca="false">IF(G105&lt;&gt;"","Takroriy",IF(E105=0,"Yetishmaydi",IF(F105="ha","Qisman to‘ldirilgan","Mavjud, lekin tekshirilmagan")))</f>
        <v>Mavjud, lekin tekshirilmagan</v>
      </c>
      <c r="I105" s="6"/>
    </row>
    <row r="106" customFormat="false" ht="23.85" hidden="false" customHeight="false" outlineLevel="0" collapsed="false">
      <c r="A106" s="6" t="s">
        <v>282</v>
      </c>
      <c r="B106" s="6" t="s">
        <v>271</v>
      </c>
      <c r="C106" s="6" t="s">
        <v>272</v>
      </c>
      <c r="D106" s="6" t="s">
        <v>283</v>
      </c>
      <c r="E106" s="6" t="n">
        <f aca="false">COUNTIFS(Katalog!$B:$B,A106,Katalog!$Q:$Q,"&lt;&gt;Ishlamaydi*")+COUNTIFS(Katalog!$C:$C,"*"&amp;A106&amp;"*",Katalog!$Q:$Q,"&lt;&gt;Ishlamaydi*")</f>
        <v>1</v>
      </c>
      <c r="F106" s="6"/>
      <c r="G106" s="6"/>
      <c r="H106" s="6" t="str">
        <f aca="false">IF(G106&lt;&gt;"","Takroriy",IF(E106=0,"Yetishmaydi",IF(F106="ha","Qisman to‘ldirilgan","Mavjud, lekin tekshirilmagan")))</f>
        <v>Mavjud, lekin tekshirilmagan</v>
      </c>
      <c r="I106" s="6"/>
    </row>
    <row r="107" customFormat="false" ht="23.85" hidden="false" customHeight="false" outlineLevel="0" collapsed="false">
      <c r="A107" s="6" t="s">
        <v>284</v>
      </c>
      <c r="B107" s="6" t="s">
        <v>271</v>
      </c>
      <c r="C107" s="6" t="s">
        <v>272</v>
      </c>
      <c r="D107" s="6" t="s">
        <v>285</v>
      </c>
      <c r="E107" s="6" t="n">
        <f aca="false">COUNTIFS(Katalog!$B:$B,A107,Katalog!$Q:$Q,"&lt;&gt;Ishlamaydi*")+COUNTIFS(Katalog!$C:$C,"*"&amp;A107&amp;"*",Katalog!$Q:$Q,"&lt;&gt;Ishlamaydi*")</f>
        <v>4</v>
      </c>
      <c r="F107" s="6"/>
      <c r="G107" s="6"/>
      <c r="H107" s="6" t="str">
        <f aca="false">IF(G107&lt;&gt;"","Takroriy",IF(E107=0,"Yetishmaydi",IF(F107="ha","Qisman to‘ldirilgan","Mavjud, lekin tekshirilmagan")))</f>
        <v>Mavjud, lekin tekshirilmagan</v>
      </c>
      <c r="I107" s="6"/>
    </row>
    <row r="108" customFormat="false" ht="23.85" hidden="false" customHeight="false" outlineLevel="0" collapsed="false">
      <c r="A108" s="6" t="s">
        <v>286</v>
      </c>
      <c r="B108" s="6" t="s">
        <v>271</v>
      </c>
      <c r="C108" s="6" t="s">
        <v>272</v>
      </c>
      <c r="D108" s="6" t="s">
        <v>287</v>
      </c>
      <c r="E108" s="6" t="n">
        <f aca="false">COUNTIFS(Katalog!$B:$B,A108,Katalog!$Q:$Q,"&lt;&gt;Ishlamaydi*")+COUNTIFS(Katalog!$C:$C,"*"&amp;A108&amp;"*",Katalog!$Q:$Q,"&lt;&gt;Ishlamaydi*")</f>
        <v>1</v>
      </c>
      <c r="F108" s="6"/>
      <c r="G108" s="6"/>
      <c r="H108" s="6" t="str">
        <f aca="false">IF(G108&lt;&gt;"","Takroriy",IF(E108=0,"Yetishmaydi",IF(F108="ha","Qisman to‘ldirilgan","Mavjud, lekin tekshirilmagan")))</f>
        <v>Mavjud, lekin tekshirilmagan</v>
      </c>
      <c r="I108" s="6"/>
    </row>
    <row r="109" customFormat="false" ht="23.85" hidden="false" customHeight="false" outlineLevel="0" collapsed="false">
      <c r="A109" s="6" t="s">
        <v>288</v>
      </c>
      <c r="B109" s="6" t="s">
        <v>271</v>
      </c>
      <c r="C109" s="6" t="s">
        <v>272</v>
      </c>
      <c r="D109" s="6" t="s">
        <v>289</v>
      </c>
      <c r="E109" s="6" t="n">
        <f aca="false">COUNTIFS(Katalog!$B:$B,A109,Katalog!$Q:$Q,"&lt;&gt;Ishlamaydi*")+COUNTIFS(Katalog!$C:$C,"*"&amp;A109&amp;"*",Katalog!$Q:$Q,"&lt;&gt;Ishlamaydi*")</f>
        <v>1</v>
      </c>
      <c r="F109" s="6"/>
      <c r="G109" s="6"/>
      <c r="H109" s="6" t="str">
        <f aca="false">IF(G109&lt;&gt;"","Takroriy",IF(E109=0,"Yetishmaydi",IF(F109="ha","Qisman to‘ldirilgan","Mavjud, lekin tekshirilmagan")))</f>
        <v>Mavjud, lekin tekshirilmagan</v>
      </c>
      <c r="I109" s="6"/>
    </row>
    <row r="110" customFormat="false" ht="23.85" hidden="false" customHeight="false" outlineLevel="0" collapsed="false">
      <c r="A110" s="6" t="s">
        <v>290</v>
      </c>
      <c r="B110" s="6" t="s">
        <v>271</v>
      </c>
      <c r="C110" s="6" t="s">
        <v>272</v>
      </c>
      <c r="D110" s="6" t="s">
        <v>291</v>
      </c>
      <c r="E110" s="6" t="n">
        <f aca="false">COUNTIFS(Katalog!$B:$B,A110,Katalog!$Q:$Q,"&lt;&gt;Ishlamaydi*")+COUNTIFS(Katalog!$C:$C,"*"&amp;A110&amp;"*",Katalog!$Q:$Q,"&lt;&gt;Ishlamaydi*")</f>
        <v>2</v>
      </c>
      <c r="F110" s="6"/>
      <c r="G110" s="6"/>
      <c r="H110" s="6" t="str">
        <f aca="false">IF(G110&lt;&gt;"","Takroriy",IF(E110=0,"Yetishmaydi",IF(F110="ha","Qisman to‘ldirilgan","Mavjud, lekin tekshirilmagan")))</f>
        <v>Mavjud, lekin tekshirilmagan</v>
      </c>
      <c r="I110" s="6"/>
    </row>
    <row r="111" customFormat="false" ht="23.85" hidden="false" customHeight="false" outlineLevel="0" collapsed="false">
      <c r="A111" s="6" t="s">
        <v>292</v>
      </c>
      <c r="B111" s="6" t="s">
        <v>271</v>
      </c>
      <c r="C111" s="6" t="s">
        <v>293</v>
      </c>
      <c r="D111" s="6" t="s">
        <v>294</v>
      </c>
      <c r="E111" s="6" t="n">
        <f aca="false">COUNTIFS(Katalog!$B:$B,A111,Katalog!$Q:$Q,"&lt;&gt;Ishlamaydi*")+COUNTIFS(Katalog!$C:$C,"*"&amp;A111&amp;"*",Katalog!$Q:$Q,"&lt;&gt;Ishlamaydi*")</f>
        <v>2</v>
      </c>
      <c r="F111" s="6"/>
      <c r="G111" s="6"/>
      <c r="H111" s="6" t="str">
        <f aca="false">IF(G111&lt;&gt;"","Takroriy",IF(E111=0,"Yetishmaydi",IF(F111="ha","Qisman to‘ldirilgan","Mavjud, lekin tekshirilmagan")))</f>
        <v>Mavjud, lekin tekshirilmagan</v>
      </c>
      <c r="I111" s="6"/>
    </row>
    <row r="112" customFormat="false" ht="23.85" hidden="false" customHeight="false" outlineLevel="0" collapsed="false">
      <c r="A112" s="6" t="s">
        <v>295</v>
      </c>
      <c r="B112" s="6" t="s">
        <v>271</v>
      </c>
      <c r="C112" s="6" t="s">
        <v>293</v>
      </c>
      <c r="D112" s="6" t="s">
        <v>296</v>
      </c>
      <c r="E112" s="6" t="n">
        <f aca="false">COUNTIFS(Katalog!$B:$B,A112,Katalog!$Q:$Q,"&lt;&gt;Ishlamaydi*")+COUNTIFS(Katalog!$C:$C,"*"&amp;A112&amp;"*",Katalog!$Q:$Q,"&lt;&gt;Ishlamaydi*")</f>
        <v>1</v>
      </c>
      <c r="F112" s="6"/>
      <c r="G112" s="6"/>
      <c r="H112" s="6" t="str">
        <f aca="false">IF(G112&lt;&gt;"","Takroriy",IF(E112=0,"Yetishmaydi",IF(F112="ha","Qisman to‘ldirilgan","Mavjud, lekin tekshirilmagan")))</f>
        <v>Mavjud, lekin tekshirilmagan</v>
      </c>
      <c r="I112" s="6"/>
    </row>
    <row r="113" customFormat="false" ht="23.85" hidden="false" customHeight="false" outlineLevel="0" collapsed="false">
      <c r="A113" s="6" t="s">
        <v>297</v>
      </c>
      <c r="B113" s="6" t="s">
        <v>271</v>
      </c>
      <c r="C113" s="6" t="s">
        <v>293</v>
      </c>
      <c r="D113" s="6" t="s">
        <v>298</v>
      </c>
      <c r="E113" s="6" t="n">
        <f aca="false">COUNTIFS(Katalog!$B:$B,A113,Katalog!$Q:$Q,"&lt;&gt;Ishlamaydi*")+COUNTIFS(Katalog!$C:$C,"*"&amp;A113&amp;"*",Katalog!$Q:$Q,"&lt;&gt;Ishlamaydi*")</f>
        <v>4</v>
      </c>
      <c r="F113" s="6"/>
      <c r="G113" s="6"/>
      <c r="H113" s="6" t="str">
        <f aca="false">IF(G113&lt;&gt;"","Takroriy",IF(E113=0,"Yetishmaydi",IF(F113="ha","Qisman to‘ldirilgan","Mavjud, lekin tekshirilmagan")))</f>
        <v>Mavjud, lekin tekshirilmagan</v>
      </c>
      <c r="I113" s="6"/>
    </row>
    <row r="114" customFormat="false" ht="23.85" hidden="false" customHeight="false" outlineLevel="0" collapsed="false">
      <c r="A114" s="6" t="s">
        <v>299</v>
      </c>
      <c r="B114" s="6" t="s">
        <v>271</v>
      </c>
      <c r="C114" s="6" t="s">
        <v>293</v>
      </c>
      <c r="D114" s="6" t="s">
        <v>300</v>
      </c>
      <c r="E114" s="6" t="n">
        <f aca="false">COUNTIFS(Katalog!$B:$B,A114,Katalog!$Q:$Q,"&lt;&gt;Ishlamaydi*")+COUNTIFS(Katalog!$C:$C,"*"&amp;A114&amp;"*",Katalog!$Q:$Q,"&lt;&gt;Ishlamaydi*")</f>
        <v>2</v>
      </c>
      <c r="F114" s="6"/>
      <c r="G114" s="6"/>
      <c r="H114" s="6" t="str">
        <f aca="false">IF(G114&lt;&gt;"","Takroriy",IF(E114=0,"Yetishmaydi",IF(F114="ha","Qisman to‘ldirilgan","Mavjud, lekin tekshirilmagan")))</f>
        <v>Mavjud, lekin tekshirilmagan</v>
      </c>
      <c r="I114" s="6"/>
    </row>
    <row r="115" customFormat="false" ht="23.85" hidden="false" customHeight="false" outlineLevel="0" collapsed="false">
      <c r="A115" s="6" t="s">
        <v>301</v>
      </c>
      <c r="B115" s="6" t="s">
        <v>271</v>
      </c>
      <c r="C115" s="6" t="s">
        <v>293</v>
      </c>
      <c r="D115" s="6" t="s">
        <v>302</v>
      </c>
      <c r="E115" s="6" t="n">
        <f aca="false">COUNTIFS(Katalog!$B:$B,A115,Katalog!$Q:$Q,"&lt;&gt;Ishlamaydi*")+COUNTIFS(Katalog!$C:$C,"*"&amp;A115&amp;"*",Katalog!$Q:$Q,"&lt;&gt;Ishlamaydi*")</f>
        <v>2</v>
      </c>
      <c r="F115" s="6" t="s">
        <v>55</v>
      </c>
      <c r="G115" s="6"/>
      <c r="H115" s="6" t="str">
        <f aca="false">IF(G115&lt;&gt;"","Takroriy",IF(E115=0,"Yetishmaydi",IF(F115="ha","Qisman to‘ldirilgan","Mavjud, lekin tekshirilmagan")))</f>
        <v>Qisman to‘ldirilgan</v>
      </c>
      <c r="I115" s="6"/>
    </row>
    <row r="116" customFormat="false" ht="23.85" hidden="false" customHeight="false" outlineLevel="0" collapsed="false">
      <c r="A116" s="6" t="s">
        <v>303</v>
      </c>
      <c r="B116" s="6" t="s">
        <v>271</v>
      </c>
      <c r="C116" s="6" t="s">
        <v>293</v>
      </c>
      <c r="D116" s="6" t="s">
        <v>304</v>
      </c>
      <c r="E116" s="6" t="n">
        <f aca="false">COUNTIFS(Katalog!$B:$B,A116,Katalog!$Q:$Q,"&lt;&gt;Ishlamaydi*")+COUNTIFS(Katalog!$C:$C,"*"&amp;A116&amp;"*",Katalog!$Q:$Q,"&lt;&gt;Ishlamaydi*")</f>
        <v>2</v>
      </c>
      <c r="F116" s="6"/>
      <c r="G116" s="6"/>
      <c r="H116" s="6" t="str">
        <f aca="false">IF(G116&lt;&gt;"","Takroriy",IF(E116=0,"Yetishmaydi",IF(F116="ha","Qisman to‘ldirilgan","Mavjud, lekin tekshirilmagan")))</f>
        <v>Mavjud, lekin tekshirilmagan</v>
      </c>
      <c r="I116" s="6"/>
    </row>
    <row r="117" customFormat="false" ht="23.85" hidden="false" customHeight="false" outlineLevel="0" collapsed="false">
      <c r="A117" s="6" t="s">
        <v>305</v>
      </c>
      <c r="B117" s="6" t="s">
        <v>271</v>
      </c>
      <c r="C117" s="6" t="s">
        <v>293</v>
      </c>
      <c r="D117" s="6" t="s">
        <v>306</v>
      </c>
      <c r="E117" s="6" t="n">
        <f aca="false">COUNTIFS(Katalog!$B:$B,A117,Katalog!$Q:$Q,"&lt;&gt;Ishlamaydi*")+COUNTIFS(Katalog!$C:$C,"*"&amp;A117&amp;"*",Katalog!$Q:$Q,"&lt;&gt;Ishlamaydi*")</f>
        <v>3</v>
      </c>
      <c r="F117" s="6"/>
      <c r="G117" s="6"/>
      <c r="H117" s="6" t="str">
        <f aca="false">IF(G117&lt;&gt;"","Takroriy",IF(E117=0,"Yetishmaydi",IF(F117="ha","Qisman to‘ldirilgan","Mavjud, lekin tekshirilmagan")))</f>
        <v>Mavjud, lekin tekshirilmagan</v>
      </c>
      <c r="I117" s="6"/>
    </row>
    <row r="118" customFormat="false" ht="23.85" hidden="false" customHeight="false" outlineLevel="0" collapsed="false">
      <c r="A118" s="6" t="s">
        <v>307</v>
      </c>
      <c r="B118" s="6" t="s">
        <v>271</v>
      </c>
      <c r="C118" s="6" t="s">
        <v>293</v>
      </c>
      <c r="D118" s="6" t="s">
        <v>308</v>
      </c>
      <c r="E118" s="6" t="n">
        <f aca="false">COUNTIFS(Katalog!$B:$B,A118,Katalog!$Q:$Q,"&lt;&gt;Ishlamaydi*")+COUNTIFS(Katalog!$C:$C,"*"&amp;A118&amp;"*",Katalog!$Q:$Q,"&lt;&gt;Ishlamaydi*")</f>
        <v>2</v>
      </c>
      <c r="F118" s="6"/>
      <c r="G118" s="6"/>
      <c r="H118" s="6" t="str">
        <f aca="false">IF(G118&lt;&gt;"","Takroriy",IF(E118=0,"Yetishmaydi",IF(F118="ha","Qisman to‘ldirilgan","Mavjud, lekin tekshirilmagan")))</f>
        <v>Mavjud, lekin tekshirilmagan</v>
      </c>
      <c r="I118" s="6"/>
    </row>
    <row r="119" customFormat="false" ht="23.85" hidden="false" customHeight="false" outlineLevel="0" collapsed="false">
      <c r="A119" s="6" t="s">
        <v>309</v>
      </c>
      <c r="B119" s="6" t="s">
        <v>271</v>
      </c>
      <c r="C119" s="6" t="s">
        <v>293</v>
      </c>
      <c r="D119" s="6" t="s">
        <v>310</v>
      </c>
      <c r="E119" s="6" t="n">
        <f aca="false">COUNTIFS(Katalog!$B:$B,A119,Katalog!$Q:$Q,"&lt;&gt;Ishlamaydi*")+COUNTIFS(Katalog!$C:$C,"*"&amp;A119&amp;"*",Katalog!$Q:$Q,"&lt;&gt;Ishlamaydi*")</f>
        <v>2</v>
      </c>
      <c r="F119" s="6"/>
      <c r="G119" s="6"/>
      <c r="H119" s="6" t="str">
        <f aca="false">IF(G119&lt;&gt;"","Takroriy",IF(E119=0,"Yetishmaydi",IF(F119="ha","Qisman to‘ldirilgan","Mavjud, lekin tekshirilmagan")))</f>
        <v>Mavjud, lekin tekshirilmagan</v>
      </c>
      <c r="I119" s="6"/>
    </row>
    <row r="120" customFormat="false" ht="23.85" hidden="false" customHeight="false" outlineLevel="0" collapsed="false">
      <c r="A120" s="6" t="s">
        <v>311</v>
      </c>
      <c r="B120" s="6" t="s">
        <v>312</v>
      </c>
      <c r="C120" s="6" t="s">
        <v>313</v>
      </c>
      <c r="D120" s="6" t="s">
        <v>314</v>
      </c>
      <c r="E120" s="6" t="n">
        <f aca="false">COUNTIFS(Katalog!$B:$B,A120,Katalog!$Q:$Q,"&lt;&gt;Ishlamaydi*")+COUNTIFS(Katalog!$C:$C,"*"&amp;A120&amp;"*",Katalog!$Q:$Q,"&lt;&gt;Ishlamaydi*")</f>
        <v>3</v>
      </c>
      <c r="F120" s="6"/>
      <c r="G120" s="6"/>
      <c r="H120" s="6" t="str">
        <f aca="false">IF(G120&lt;&gt;"","Takroriy",IF(E120=0,"Yetishmaydi",IF(F120="ha","Qisman to‘ldirilgan","Mavjud, lekin tekshirilmagan")))</f>
        <v>Mavjud, lekin tekshirilmagan</v>
      </c>
      <c r="I120" s="6"/>
    </row>
    <row r="121" customFormat="false" ht="23.85" hidden="false" customHeight="false" outlineLevel="0" collapsed="false">
      <c r="A121" s="6" t="s">
        <v>315</v>
      </c>
      <c r="B121" s="6" t="s">
        <v>312</v>
      </c>
      <c r="C121" s="6" t="s">
        <v>313</v>
      </c>
      <c r="D121" s="6" t="s">
        <v>316</v>
      </c>
      <c r="E121" s="6" t="n">
        <f aca="false">COUNTIFS(Katalog!$B:$B,A121,Katalog!$Q:$Q,"&lt;&gt;Ishlamaydi*")+COUNTIFS(Katalog!$C:$C,"*"&amp;A121&amp;"*",Katalog!$Q:$Q,"&lt;&gt;Ishlamaydi*")</f>
        <v>3</v>
      </c>
      <c r="F121" s="6"/>
      <c r="G121" s="6"/>
      <c r="H121" s="6" t="str">
        <f aca="false">IF(G121&lt;&gt;"","Takroriy",IF(E121=0,"Yetishmaydi",IF(F121="ha","Qisman to‘ldirilgan","Mavjud, lekin tekshirilmagan")))</f>
        <v>Mavjud, lekin tekshirilmagan</v>
      </c>
      <c r="I121" s="6"/>
    </row>
    <row r="122" customFormat="false" ht="23.85" hidden="false" customHeight="false" outlineLevel="0" collapsed="false">
      <c r="A122" s="6" t="s">
        <v>317</v>
      </c>
      <c r="B122" s="6" t="s">
        <v>312</v>
      </c>
      <c r="C122" s="6" t="s">
        <v>313</v>
      </c>
      <c r="D122" s="6" t="s">
        <v>318</v>
      </c>
      <c r="E122" s="6" t="n">
        <f aca="false">COUNTIFS(Katalog!$B:$B,A122,Katalog!$Q:$Q,"&lt;&gt;Ishlamaydi*")+COUNTIFS(Katalog!$C:$C,"*"&amp;A122&amp;"*",Katalog!$Q:$Q,"&lt;&gt;Ishlamaydi*")</f>
        <v>2</v>
      </c>
      <c r="F122" s="6"/>
      <c r="G122" s="6"/>
      <c r="H122" s="6" t="str">
        <f aca="false">IF(G122&lt;&gt;"","Takroriy",IF(E122=0,"Yetishmaydi",IF(F122="ha","Qisman to‘ldirilgan","Mavjud, lekin tekshirilmagan")))</f>
        <v>Mavjud, lekin tekshirilmagan</v>
      </c>
      <c r="I122" s="6"/>
    </row>
    <row r="123" customFormat="false" ht="23.85" hidden="false" customHeight="false" outlineLevel="0" collapsed="false">
      <c r="A123" s="6" t="s">
        <v>319</v>
      </c>
      <c r="B123" s="6" t="s">
        <v>312</v>
      </c>
      <c r="C123" s="6" t="s">
        <v>313</v>
      </c>
      <c r="D123" s="6" t="s">
        <v>320</v>
      </c>
      <c r="E123" s="6" t="n">
        <f aca="false">COUNTIFS(Katalog!$B:$B,A123,Katalog!$Q:$Q,"&lt;&gt;Ishlamaydi*")+COUNTIFS(Katalog!$C:$C,"*"&amp;A123&amp;"*",Katalog!$Q:$Q,"&lt;&gt;Ishlamaydi*")</f>
        <v>1</v>
      </c>
      <c r="F123" s="6"/>
      <c r="G123" s="6"/>
      <c r="H123" s="6" t="str">
        <f aca="false">IF(G123&lt;&gt;"","Takroriy",IF(E123=0,"Yetishmaydi",IF(F123="ha","Qisman to‘ldirilgan","Mavjud, lekin tekshirilmagan")))</f>
        <v>Mavjud, lekin tekshirilmagan</v>
      </c>
      <c r="I123" s="6"/>
    </row>
    <row r="124" customFormat="false" ht="23.85" hidden="false" customHeight="false" outlineLevel="0" collapsed="false">
      <c r="A124" s="6" t="s">
        <v>321</v>
      </c>
      <c r="B124" s="6" t="s">
        <v>312</v>
      </c>
      <c r="C124" s="6" t="s">
        <v>313</v>
      </c>
      <c r="D124" s="6" t="s">
        <v>322</v>
      </c>
      <c r="E124" s="6" t="n">
        <f aca="false">COUNTIFS(Katalog!$B:$B,A124,Katalog!$Q:$Q,"&lt;&gt;Ishlamaydi*")+COUNTIFS(Katalog!$C:$C,"*"&amp;A124&amp;"*",Katalog!$Q:$Q,"&lt;&gt;Ishlamaydi*")</f>
        <v>3</v>
      </c>
      <c r="F124" s="6"/>
      <c r="G124" s="6"/>
      <c r="H124" s="6" t="str">
        <f aca="false">IF(G124&lt;&gt;"","Takroriy",IF(E124=0,"Yetishmaydi",IF(F124="ha","Qisman to‘ldirilgan","Mavjud, lekin tekshirilmagan")))</f>
        <v>Mavjud, lekin tekshirilmagan</v>
      </c>
      <c r="I124" s="6"/>
    </row>
    <row r="125" customFormat="false" ht="23.85" hidden="false" customHeight="false" outlineLevel="0" collapsed="false">
      <c r="A125" s="6" t="s">
        <v>323</v>
      </c>
      <c r="B125" s="6" t="s">
        <v>312</v>
      </c>
      <c r="C125" s="6" t="s">
        <v>313</v>
      </c>
      <c r="D125" s="6" t="s">
        <v>324</v>
      </c>
      <c r="E125" s="6" t="n">
        <f aca="false">COUNTIFS(Katalog!$B:$B,A125,Katalog!$Q:$Q,"&lt;&gt;Ishlamaydi*")+COUNTIFS(Katalog!$C:$C,"*"&amp;A125&amp;"*",Katalog!$Q:$Q,"&lt;&gt;Ishlamaydi*")</f>
        <v>2</v>
      </c>
      <c r="F125" s="6"/>
      <c r="G125" s="6" t="s">
        <v>325</v>
      </c>
      <c r="H125" s="6" t="str">
        <f aca="false">IF(G125&lt;&gt;"","Takroriy",IF(E125=0,"Yetishmaydi",IF(F125="ha","Qisman to‘ldirilgan","Mavjud, lekin tekshirilmagan")))</f>
        <v>Takroriy</v>
      </c>
      <c r="I125" s="6"/>
    </row>
    <row r="126" customFormat="false" ht="23.85" hidden="false" customHeight="false" outlineLevel="0" collapsed="false">
      <c r="A126" s="6" t="s">
        <v>326</v>
      </c>
      <c r="B126" s="6" t="s">
        <v>312</v>
      </c>
      <c r="C126" s="6" t="s">
        <v>313</v>
      </c>
      <c r="D126" s="6" t="s">
        <v>327</v>
      </c>
      <c r="E126" s="6" t="n">
        <f aca="false">COUNTIFS(Katalog!$B:$B,A126,Katalog!$Q:$Q,"&lt;&gt;Ishlamaydi*")+COUNTIFS(Katalog!$C:$C,"*"&amp;A126&amp;"*",Katalog!$Q:$Q,"&lt;&gt;Ishlamaydi*")</f>
        <v>2</v>
      </c>
      <c r="F126" s="6"/>
      <c r="G126" s="6"/>
      <c r="H126" s="6" t="str">
        <f aca="false">IF(G126&lt;&gt;"","Takroriy",IF(E126=0,"Yetishmaydi",IF(F126="ha","Qisman to‘ldirilgan","Mavjud, lekin tekshirilmagan")))</f>
        <v>Mavjud, lekin tekshirilmagan</v>
      </c>
      <c r="I126" s="6"/>
    </row>
    <row r="127" customFormat="false" ht="23.85" hidden="false" customHeight="false" outlineLevel="0" collapsed="false">
      <c r="A127" s="6" t="s">
        <v>328</v>
      </c>
      <c r="B127" s="6" t="s">
        <v>312</v>
      </c>
      <c r="C127" s="6" t="s">
        <v>329</v>
      </c>
      <c r="D127" s="6" t="s">
        <v>330</v>
      </c>
      <c r="E127" s="6" t="n">
        <f aca="false">COUNTIFS(Katalog!$B:$B,A127,Katalog!$Q:$Q,"&lt;&gt;Ishlamaydi*")+COUNTIFS(Katalog!$C:$C,"*"&amp;A127&amp;"*",Katalog!$Q:$Q,"&lt;&gt;Ishlamaydi*")</f>
        <v>4</v>
      </c>
      <c r="F127" s="6"/>
      <c r="G127" s="6"/>
      <c r="H127" s="6" t="str">
        <f aca="false">IF(G127&lt;&gt;"","Takroriy",IF(E127=0,"Yetishmaydi",IF(F127="ha","Qisman to‘ldirilgan","Mavjud, lekin tekshirilmagan")))</f>
        <v>Mavjud, lekin tekshirilmagan</v>
      </c>
      <c r="I127" s="6"/>
    </row>
    <row r="128" customFormat="false" ht="23.85" hidden="false" customHeight="false" outlineLevel="0" collapsed="false">
      <c r="A128" s="6" t="s">
        <v>331</v>
      </c>
      <c r="B128" s="6" t="s">
        <v>312</v>
      </c>
      <c r="C128" s="6" t="s">
        <v>329</v>
      </c>
      <c r="D128" s="6" t="s">
        <v>332</v>
      </c>
      <c r="E128" s="6" t="n">
        <f aca="false">COUNTIFS(Katalog!$B:$B,A128,Katalog!$Q:$Q,"&lt;&gt;Ishlamaydi*")+COUNTIFS(Katalog!$C:$C,"*"&amp;A128&amp;"*",Katalog!$Q:$Q,"&lt;&gt;Ishlamaydi*")</f>
        <v>3</v>
      </c>
      <c r="F128" s="6"/>
      <c r="G128" s="6"/>
      <c r="H128" s="6" t="str">
        <f aca="false">IF(G128&lt;&gt;"","Takroriy",IF(E128=0,"Yetishmaydi",IF(F128="ha","Qisman to‘ldirilgan","Mavjud, lekin tekshirilmagan")))</f>
        <v>Mavjud, lekin tekshirilmagan</v>
      </c>
      <c r="I128" s="6"/>
    </row>
    <row r="129" customFormat="false" ht="23.85" hidden="false" customHeight="false" outlineLevel="0" collapsed="false">
      <c r="A129" s="6" t="s">
        <v>333</v>
      </c>
      <c r="B129" s="6" t="s">
        <v>312</v>
      </c>
      <c r="C129" s="6" t="s">
        <v>329</v>
      </c>
      <c r="D129" s="6" t="s">
        <v>334</v>
      </c>
      <c r="E129" s="6" t="n">
        <f aca="false">COUNTIFS(Katalog!$B:$B,A129,Katalog!$Q:$Q,"&lt;&gt;Ishlamaydi*")+COUNTIFS(Katalog!$C:$C,"*"&amp;A129&amp;"*",Katalog!$Q:$Q,"&lt;&gt;Ishlamaydi*")</f>
        <v>3</v>
      </c>
      <c r="F129" s="6"/>
      <c r="G129" s="6"/>
      <c r="H129" s="6" t="str">
        <f aca="false">IF(G129&lt;&gt;"","Takroriy",IF(E129=0,"Yetishmaydi",IF(F129="ha","Qisman to‘ldirilgan","Mavjud, lekin tekshirilmagan")))</f>
        <v>Mavjud, lekin tekshirilmagan</v>
      </c>
      <c r="I129" s="6"/>
    </row>
    <row r="130" customFormat="false" ht="23.85" hidden="false" customHeight="false" outlineLevel="0" collapsed="false">
      <c r="A130" s="6" t="s">
        <v>335</v>
      </c>
      <c r="B130" s="6" t="s">
        <v>312</v>
      </c>
      <c r="C130" s="6" t="s">
        <v>329</v>
      </c>
      <c r="D130" s="6" t="s">
        <v>336</v>
      </c>
      <c r="E130" s="6" t="n">
        <f aca="false">COUNTIFS(Katalog!$B:$B,A130,Katalog!$Q:$Q,"&lt;&gt;Ishlamaydi*")+COUNTIFS(Katalog!$C:$C,"*"&amp;A130&amp;"*",Katalog!$Q:$Q,"&lt;&gt;Ishlamaydi*")</f>
        <v>3</v>
      </c>
      <c r="F130" s="6"/>
      <c r="G130" s="6"/>
      <c r="H130" s="6" t="str">
        <f aca="false">IF(G130&lt;&gt;"","Takroriy",IF(E130=0,"Yetishmaydi",IF(F130="ha","Qisman to‘ldirilgan","Mavjud, lekin tekshirilmagan")))</f>
        <v>Mavjud, lekin tekshirilmagan</v>
      </c>
      <c r="I130" s="6"/>
    </row>
    <row r="131" customFormat="false" ht="23.85" hidden="false" customHeight="false" outlineLevel="0" collapsed="false">
      <c r="A131" s="6" t="s">
        <v>337</v>
      </c>
      <c r="B131" s="6" t="s">
        <v>312</v>
      </c>
      <c r="C131" s="6" t="s">
        <v>329</v>
      </c>
      <c r="D131" s="6" t="s">
        <v>338</v>
      </c>
      <c r="E131" s="6" t="n">
        <f aca="false">COUNTIFS(Katalog!$B:$B,A131,Katalog!$Q:$Q,"&lt;&gt;Ishlamaydi*")+COUNTIFS(Katalog!$C:$C,"*"&amp;A131&amp;"*",Katalog!$Q:$Q,"&lt;&gt;Ishlamaydi*")</f>
        <v>0</v>
      </c>
      <c r="F131" s="6"/>
      <c r="G131" s="6"/>
      <c r="H131" s="6" t="str">
        <f aca="false">IF(G131&lt;&gt;"","Takroriy",IF(E131=0,"Yetishmaydi",IF(F131="ha","Qisman to‘ldirilgan","Mavjud, lekin tekshirilmagan")))</f>
        <v>Yetishmaydi</v>
      </c>
      <c r="I131" s="6"/>
    </row>
    <row r="132" customFormat="false" ht="23.85" hidden="false" customHeight="false" outlineLevel="0" collapsed="false">
      <c r="A132" s="6" t="s">
        <v>339</v>
      </c>
      <c r="B132" s="6" t="s">
        <v>312</v>
      </c>
      <c r="C132" s="6" t="s">
        <v>340</v>
      </c>
      <c r="D132" s="6" t="s">
        <v>341</v>
      </c>
      <c r="E132" s="6" t="n">
        <f aca="false">COUNTIFS(Katalog!$B:$B,A132,Katalog!$Q:$Q,"&lt;&gt;Ishlamaydi*")+COUNTIFS(Katalog!$C:$C,"*"&amp;A132&amp;"*",Katalog!$Q:$Q,"&lt;&gt;Ishlamaydi*")</f>
        <v>2</v>
      </c>
      <c r="F132" s="6"/>
      <c r="G132" s="6"/>
      <c r="H132" s="6" t="str">
        <f aca="false">IF(G132&lt;&gt;"","Takroriy",IF(E132=0,"Yetishmaydi",IF(F132="ha","Qisman to‘ldirilgan","Mavjud, lekin tekshirilmagan")))</f>
        <v>Mavjud, lekin tekshirilmagan</v>
      </c>
      <c r="I132" s="6"/>
    </row>
    <row r="133" customFormat="false" ht="23.85" hidden="false" customHeight="false" outlineLevel="0" collapsed="false">
      <c r="A133" s="6" t="s">
        <v>342</v>
      </c>
      <c r="B133" s="6" t="s">
        <v>312</v>
      </c>
      <c r="C133" s="6" t="s">
        <v>340</v>
      </c>
      <c r="D133" s="6" t="s">
        <v>343</v>
      </c>
      <c r="E133" s="6" t="n">
        <f aca="false">COUNTIFS(Katalog!$B:$B,A133,Katalog!$Q:$Q,"&lt;&gt;Ishlamaydi*")+COUNTIFS(Katalog!$C:$C,"*"&amp;A133&amp;"*",Katalog!$Q:$Q,"&lt;&gt;Ishlamaydi*")</f>
        <v>2</v>
      </c>
      <c r="F133" s="6"/>
      <c r="G133" s="6"/>
      <c r="H133" s="6" t="str">
        <f aca="false">IF(G133&lt;&gt;"","Takroriy",IF(E133=0,"Yetishmaydi",IF(F133="ha","Qisman to‘ldirilgan","Mavjud, lekin tekshirilmagan")))</f>
        <v>Mavjud, lekin tekshirilmagan</v>
      </c>
      <c r="I133" s="6"/>
    </row>
    <row r="134" customFormat="false" ht="23.85" hidden="false" customHeight="false" outlineLevel="0" collapsed="false">
      <c r="A134" s="6" t="s">
        <v>344</v>
      </c>
      <c r="B134" s="6" t="s">
        <v>312</v>
      </c>
      <c r="C134" s="6" t="s">
        <v>340</v>
      </c>
      <c r="D134" s="6" t="s">
        <v>345</v>
      </c>
      <c r="E134" s="6" t="n">
        <f aca="false">COUNTIFS(Katalog!$B:$B,A134,Katalog!$Q:$Q,"&lt;&gt;Ishlamaydi*")+COUNTIFS(Katalog!$C:$C,"*"&amp;A134&amp;"*",Katalog!$Q:$Q,"&lt;&gt;Ishlamaydi*")</f>
        <v>2</v>
      </c>
      <c r="F134" s="6"/>
      <c r="G134" s="6"/>
      <c r="H134" s="6" t="str">
        <f aca="false">IF(G134&lt;&gt;"","Takroriy",IF(E134=0,"Yetishmaydi",IF(F134="ha","Qisman to‘ldirilgan","Mavjud, lekin tekshirilmagan")))</f>
        <v>Mavjud, lekin tekshirilmagan</v>
      </c>
      <c r="I134" s="6"/>
    </row>
    <row r="135" customFormat="false" ht="23.85" hidden="false" customHeight="false" outlineLevel="0" collapsed="false">
      <c r="A135" s="6" t="s">
        <v>346</v>
      </c>
      <c r="B135" s="6" t="s">
        <v>312</v>
      </c>
      <c r="C135" s="6" t="s">
        <v>340</v>
      </c>
      <c r="D135" s="6" t="s">
        <v>347</v>
      </c>
      <c r="E135" s="6" t="n">
        <f aca="false">COUNTIFS(Katalog!$B:$B,A135,Katalog!$Q:$Q,"&lt;&gt;Ishlamaydi*")+COUNTIFS(Katalog!$C:$C,"*"&amp;A135&amp;"*",Katalog!$Q:$Q,"&lt;&gt;Ishlamaydi*")</f>
        <v>4</v>
      </c>
      <c r="F135" s="6"/>
      <c r="G135" s="6"/>
      <c r="H135" s="6" t="str">
        <f aca="false">IF(G135&lt;&gt;"","Takroriy",IF(E135=0,"Yetishmaydi",IF(F135="ha","Qisman to‘ldirilgan","Mavjud, lekin tekshirilmagan")))</f>
        <v>Mavjud, lekin tekshirilmagan</v>
      </c>
      <c r="I135" s="6"/>
    </row>
    <row r="136" customFormat="false" ht="23.85" hidden="false" customHeight="false" outlineLevel="0" collapsed="false">
      <c r="A136" s="6" t="s">
        <v>348</v>
      </c>
      <c r="B136" s="6" t="s">
        <v>312</v>
      </c>
      <c r="C136" s="6" t="s">
        <v>340</v>
      </c>
      <c r="D136" s="6" t="s">
        <v>349</v>
      </c>
      <c r="E136" s="6" t="n">
        <f aca="false">COUNTIFS(Katalog!$B:$B,A136,Katalog!$Q:$Q,"&lt;&gt;Ishlamaydi*")+COUNTIFS(Katalog!$C:$C,"*"&amp;A136&amp;"*",Katalog!$Q:$Q,"&lt;&gt;Ishlamaydi*")</f>
        <v>2</v>
      </c>
      <c r="F136" s="6"/>
      <c r="G136" s="6"/>
      <c r="H136" s="6" t="str">
        <f aca="false">IF(G136&lt;&gt;"","Takroriy",IF(E136=0,"Yetishmaydi",IF(F136="ha","Qisman to‘ldirilgan","Mavjud, lekin tekshirilmagan")))</f>
        <v>Mavjud, lekin tekshirilmagan</v>
      </c>
      <c r="I136" s="6"/>
    </row>
    <row r="137" customFormat="false" ht="23.85" hidden="false" customHeight="false" outlineLevel="0" collapsed="false">
      <c r="A137" s="6" t="s">
        <v>350</v>
      </c>
      <c r="B137" s="6" t="s">
        <v>312</v>
      </c>
      <c r="C137" s="6" t="s">
        <v>340</v>
      </c>
      <c r="D137" s="6" t="s">
        <v>351</v>
      </c>
      <c r="E137" s="6" t="n">
        <f aca="false">COUNTIFS(Katalog!$B:$B,A137,Katalog!$Q:$Q,"&lt;&gt;Ishlamaydi*")+COUNTIFS(Katalog!$C:$C,"*"&amp;A137&amp;"*",Katalog!$Q:$Q,"&lt;&gt;Ishlamaydi*")</f>
        <v>2</v>
      </c>
      <c r="F137" s="6"/>
      <c r="G137" s="6"/>
      <c r="H137" s="6" t="str">
        <f aca="false">IF(G137&lt;&gt;"","Takroriy",IF(E137=0,"Yetishmaydi",IF(F137="ha","Qisman to‘ldirilgan","Mavjud, lekin tekshirilmagan")))</f>
        <v>Mavjud, lekin tekshirilmagan</v>
      </c>
      <c r="I137" s="6"/>
    </row>
    <row r="138" customFormat="false" ht="23.85" hidden="false" customHeight="false" outlineLevel="0" collapsed="false">
      <c r="A138" s="6" t="s">
        <v>352</v>
      </c>
      <c r="B138" s="6" t="s">
        <v>312</v>
      </c>
      <c r="C138" s="6" t="s">
        <v>340</v>
      </c>
      <c r="D138" s="6" t="s">
        <v>353</v>
      </c>
      <c r="E138" s="6" t="n">
        <f aca="false">COUNTIFS(Katalog!$B:$B,A138,Katalog!$Q:$Q,"&lt;&gt;Ishlamaydi*")+COUNTIFS(Katalog!$C:$C,"*"&amp;A138&amp;"*",Katalog!$Q:$Q,"&lt;&gt;Ishlamaydi*")</f>
        <v>0</v>
      </c>
      <c r="F138" s="6"/>
      <c r="G138" s="6"/>
      <c r="H138" s="6" t="str">
        <f aca="false">IF(G138&lt;&gt;"","Takroriy",IF(E138=0,"Yetishmaydi",IF(F138="ha","Qisman to‘ldirilgan","Mavjud, lekin tekshirilmagan")))</f>
        <v>Yetishmaydi</v>
      </c>
      <c r="I138" s="6"/>
    </row>
    <row r="139" customFormat="false" ht="23.85" hidden="false" customHeight="false" outlineLevel="0" collapsed="false">
      <c r="A139" s="6" t="s">
        <v>354</v>
      </c>
      <c r="B139" s="6" t="s">
        <v>312</v>
      </c>
      <c r="C139" s="6" t="s">
        <v>340</v>
      </c>
      <c r="D139" s="6" t="s">
        <v>355</v>
      </c>
      <c r="E139" s="6" t="n">
        <f aca="false">COUNTIFS(Katalog!$B:$B,A139,Katalog!$Q:$Q,"&lt;&gt;Ishlamaydi*")+COUNTIFS(Katalog!$C:$C,"*"&amp;A139&amp;"*",Katalog!$Q:$Q,"&lt;&gt;Ishlamaydi*")</f>
        <v>3</v>
      </c>
      <c r="F139" s="6"/>
      <c r="G139" s="6"/>
      <c r="H139" s="6" t="str">
        <f aca="false">IF(G139&lt;&gt;"","Takroriy",IF(E139=0,"Yetishmaydi",IF(F139="ha","Qisman to‘ldirilgan","Mavjud, lekin tekshirilmagan")))</f>
        <v>Mavjud, lekin tekshirilmagan</v>
      </c>
      <c r="I139" s="6" t="s">
        <v>356</v>
      </c>
    </row>
    <row r="140" customFormat="false" ht="23.85" hidden="false" customHeight="false" outlineLevel="0" collapsed="false">
      <c r="A140" s="6" t="s">
        <v>357</v>
      </c>
      <c r="B140" s="6" t="s">
        <v>312</v>
      </c>
      <c r="C140" s="6" t="s">
        <v>340</v>
      </c>
      <c r="D140" s="6" t="s">
        <v>358</v>
      </c>
      <c r="E140" s="6" t="n">
        <f aca="false">COUNTIFS(Katalog!$B:$B,A140,Katalog!$Q:$Q,"&lt;&gt;Ishlamaydi*")+COUNTIFS(Katalog!$C:$C,"*"&amp;A140&amp;"*",Katalog!$Q:$Q,"&lt;&gt;Ishlamaydi*")</f>
        <v>2</v>
      </c>
      <c r="F140" s="6"/>
      <c r="G140" s="6"/>
      <c r="H140" s="6" t="str">
        <f aca="false">IF(G140&lt;&gt;"","Takroriy",IF(E140=0,"Yetishmaydi",IF(F140="ha","Qisman to‘ldirilgan","Mavjud, lekin tekshirilmagan")))</f>
        <v>Mavjud, lekin tekshirilmagan</v>
      </c>
      <c r="I140" s="6"/>
    </row>
    <row r="141" customFormat="false" ht="23.85" hidden="false" customHeight="false" outlineLevel="0" collapsed="false">
      <c r="A141" s="6" t="s">
        <v>359</v>
      </c>
      <c r="B141" s="6" t="s">
        <v>312</v>
      </c>
      <c r="C141" s="6" t="s">
        <v>340</v>
      </c>
      <c r="D141" s="6" t="s">
        <v>360</v>
      </c>
      <c r="E141" s="6" t="n">
        <f aca="false">COUNTIFS(Katalog!$B:$B,A141,Katalog!$Q:$Q,"&lt;&gt;Ishlamaydi*")+COUNTIFS(Katalog!$C:$C,"*"&amp;A141&amp;"*",Katalog!$Q:$Q,"&lt;&gt;Ishlamaydi*")</f>
        <v>1</v>
      </c>
      <c r="F141" s="6"/>
      <c r="G141" s="6"/>
      <c r="H141" s="6" t="str">
        <f aca="false">IF(G141&lt;&gt;"","Takroriy",IF(E141=0,"Yetishmaydi",IF(F141="ha","Qisman to‘ldirilgan","Mavjud, lekin tekshirilmagan")))</f>
        <v>Mavjud, lekin tekshirilmagan</v>
      </c>
      <c r="I141" s="6"/>
    </row>
    <row r="142" customFormat="false" ht="23.85" hidden="false" customHeight="false" outlineLevel="0" collapsed="false">
      <c r="A142" s="6" t="s">
        <v>361</v>
      </c>
      <c r="B142" s="6" t="s">
        <v>312</v>
      </c>
      <c r="C142" s="6" t="s">
        <v>340</v>
      </c>
      <c r="D142" s="6" t="s">
        <v>362</v>
      </c>
      <c r="E142" s="6" t="n">
        <f aca="false">COUNTIFS(Katalog!$B:$B,A142,Katalog!$Q:$Q,"&lt;&gt;Ishlamaydi*")+COUNTIFS(Katalog!$C:$C,"*"&amp;A142&amp;"*",Katalog!$Q:$Q,"&lt;&gt;Ishlamaydi*")</f>
        <v>3</v>
      </c>
      <c r="F142" s="6"/>
      <c r="G142" s="6"/>
      <c r="H142" s="6" t="str">
        <f aca="false">IF(G142&lt;&gt;"","Takroriy",IF(E142=0,"Yetishmaydi",IF(F142="ha","Qisman to‘ldirilgan","Mavjud, lekin tekshirilmagan")))</f>
        <v>Mavjud, lekin tekshirilmagan</v>
      </c>
      <c r="I142" s="6"/>
    </row>
    <row r="143" customFormat="false" ht="23.85" hidden="false" customHeight="false" outlineLevel="0" collapsed="false">
      <c r="A143" s="6" t="s">
        <v>363</v>
      </c>
      <c r="B143" s="6" t="s">
        <v>312</v>
      </c>
      <c r="C143" s="6" t="s">
        <v>340</v>
      </c>
      <c r="D143" s="6" t="s">
        <v>364</v>
      </c>
      <c r="E143" s="6" t="n">
        <f aca="false">COUNTIFS(Katalog!$B:$B,A143,Katalog!$Q:$Q,"&lt;&gt;Ishlamaydi*")+COUNTIFS(Katalog!$C:$C,"*"&amp;A143&amp;"*",Katalog!$Q:$Q,"&lt;&gt;Ishlamaydi*")</f>
        <v>1</v>
      </c>
      <c r="F143" s="6"/>
      <c r="G143" s="6"/>
      <c r="H143" s="6" t="str">
        <f aca="false">IF(G143&lt;&gt;"","Takroriy",IF(E143=0,"Yetishmaydi",IF(F143="ha","Qisman to‘ldirilgan","Mavjud, lekin tekshirilmagan")))</f>
        <v>Mavjud, lekin tekshirilmagan</v>
      </c>
      <c r="I143" s="6"/>
    </row>
    <row r="144" customFormat="false" ht="23.85" hidden="false" customHeight="false" outlineLevel="0" collapsed="false">
      <c r="A144" s="6" t="s">
        <v>365</v>
      </c>
      <c r="B144" s="6" t="s">
        <v>312</v>
      </c>
      <c r="C144" s="6" t="s">
        <v>366</v>
      </c>
      <c r="D144" s="6" t="s">
        <v>367</v>
      </c>
      <c r="E144" s="6" t="n">
        <f aca="false">COUNTIFS(Katalog!$B:$B,A144,Katalog!$Q:$Q,"&lt;&gt;Ishlamaydi*")+COUNTIFS(Katalog!$C:$C,"*"&amp;A144&amp;"*",Katalog!$Q:$Q,"&lt;&gt;Ishlamaydi*")</f>
        <v>3</v>
      </c>
      <c r="F144" s="6"/>
      <c r="G144" s="6"/>
      <c r="H144" s="6" t="str">
        <f aca="false">IF(G144&lt;&gt;"","Takroriy",IF(E144=0,"Yetishmaydi",IF(F144="ha","Qisman to‘ldirilgan","Mavjud, lekin tekshirilmagan")))</f>
        <v>Mavjud, lekin tekshirilmagan</v>
      </c>
      <c r="I144" s="6"/>
    </row>
    <row r="145" customFormat="false" ht="23.85" hidden="false" customHeight="false" outlineLevel="0" collapsed="false">
      <c r="A145" s="6" t="s">
        <v>368</v>
      </c>
      <c r="B145" s="6" t="s">
        <v>312</v>
      </c>
      <c r="C145" s="6" t="s">
        <v>366</v>
      </c>
      <c r="D145" s="6" t="s">
        <v>369</v>
      </c>
      <c r="E145" s="6" t="n">
        <f aca="false">COUNTIFS(Katalog!$B:$B,A145,Katalog!$Q:$Q,"&lt;&gt;Ishlamaydi*")+COUNTIFS(Katalog!$C:$C,"*"&amp;A145&amp;"*",Katalog!$Q:$Q,"&lt;&gt;Ishlamaydi*")</f>
        <v>3</v>
      </c>
      <c r="F145" s="6"/>
      <c r="G145" s="6"/>
      <c r="H145" s="6" t="str">
        <f aca="false">IF(G145&lt;&gt;"","Takroriy",IF(E145=0,"Yetishmaydi",IF(F145="ha","Qisman to‘ldirilgan","Mavjud, lekin tekshirilmagan")))</f>
        <v>Mavjud, lekin tekshirilmagan</v>
      </c>
      <c r="I145" s="6"/>
    </row>
    <row r="146" customFormat="false" ht="23.85" hidden="false" customHeight="false" outlineLevel="0" collapsed="false">
      <c r="A146" s="6" t="s">
        <v>370</v>
      </c>
      <c r="B146" s="6" t="s">
        <v>312</v>
      </c>
      <c r="C146" s="6" t="s">
        <v>366</v>
      </c>
      <c r="D146" s="6" t="s">
        <v>371</v>
      </c>
      <c r="E146" s="6" t="n">
        <f aca="false">COUNTIFS(Katalog!$B:$B,A146,Katalog!$Q:$Q,"&lt;&gt;Ishlamaydi*")+COUNTIFS(Katalog!$C:$C,"*"&amp;A146&amp;"*",Katalog!$Q:$Q,"&lt;&gt;Ishlamaydi*")</f>
        <v>3</v>
      </c>
      <c r="F146" s="6"/>
      <c r="G146" s="6"/>
      <c r="H146" s="6" t="str">
        <f aca="false">IF(G146&lt;&gt;"","Takroriy",IF(E146=0,"Yetishmaydi",IF(F146="ha","Qisman to‘ldirilgan","Mavjud, lekin tekshirilmagan")))</f>
        <v>Mavjud, lekin tekshirilmagan</v>
      </c>
      <c r="I146" s="6"/>
    </row>
    <row r="147" customFormat="false" ht="23.85" hidden="false" customHeight="false" outlineLevel="0" collapsed="false">
      <c r="A147" s="6" t="s">
        <v>372</v>
      </c>
      <c r="B147" s="6" t="s">
        <v>312</v>
      </c>
      <c r="C147" s="6" t="s">
        <v>366</v>
      </c>
      <c r="D147" s="6" t="s">
        <v>373</v>
      </c>
      <c r="E147" s="6" t="n">
        <f aca="false">COUNTIFS(Katalog!$B:$B,A147,Katalog!$Q:$Q,"&lt;&gt;Ishlamaydi*")+COUNTIFS(Katalog!$C:$C,"*"&amp;A147&amp;"*",Katalog!$Q:$Q,"&lt;&gt;Ishlamaydi*")</f>
        <v>2</v>
      </c>
      <c r="F147" s="6"/>
      <c r="G147" s="6"/>
      <c r="H147" s="6" t="str">
        <f aca="false">IF(G147&lt;&gt;"","Takroriy",IF(E147=0,"Yetishmaydi",IF(F147="ha","Qisman to‘ldirilgan","Mavjud, lekin tekshirilmagan")))</f>
        <v>Mavjud, lekin tekshirilmagan</v>
      </c>
      <c r="I147" s="6"/>
    </row>
    <row r="148" customFormat="false" ht="23.85" hidden="false" customHeight="false" outlineLevel="0" collapsed="false">
      <c r="A148" s="6" t="s">
        <v>374</v>
      </c>
      <c r="B148" s="6" t="s">
        <v>312</v>
      </c>
      <c r="C148" s="6" t="s">
        <v>366</v>
      </c>
      <c r="D148" s="6" t="s">
        <v>375</v>
      </c>
      <c r="E148" s="6" t="n">
        <f aca="false">COUNTIFS(Katalog!$B:$B,A148,Katalog!$Q:$Q,"&lt;&gt;Ishlamaydi*")+COUNTIFS(Katalog!$C:$C,"*"&amp;A148&amp;"*",Katalog!$Q:$Q,"&lt;&gt;Ishlamaydi*")</f>
        <v>4</v>
      </c>
      <c r="F148" s="6"/>
      <c r="G148" s="6"/>
      <c r="H148" s="6" t="str">
        <f aca="false">IF(G148&lt;&gt;"","Takroriy",IF(E148=0,"Yetishmaydi",IF(F148="ha","Qisman to‘ldirilgan","Mavjud, lekin tekshirilmagan")))</f>
        <v>Mavjud, lekin tekshirilmagan</v>
      </c>
      <c r="I148" s="6"/>
    </row>
    <row r="149" customFormat="false" ht="23.85" hidden="false" customHeight="false" outlineLevel="0" collapsed="false">
      <c r="A149" s="6" t="s">
        <v>376</v>
      </c>
      <c r="B149" s="6" t="s">
        <v>312</v>
      </c>
      <c r="C149" s="6" t="s">
        <v>366</v>
      </c>
      <c r="D149" s="6" t="s">
        <v>377</v>
      </c>
      <c r="E149" s="6" t="n">
        <f aca="false">COUNTIFS(Katalog!$B:$B,A149,Katalog!$Q:$Q,"&lt;&gt;Ishlamaydi*")+COUNTIFS(Katalog!$C:$C,"*"&amp;A149&amp;"*",Katalog!$Q:$Q,"&lt;&gt;Ishlamaydi*")</f>
        <v>4</v>
      </c>
      <c r="F149" s="6"/>
      <c r="G149" s="6"/>
      <c r="H149" s="6" t="str">
        <f aca="false">IF(G149&lt;&gt;"","Takroriy",IF(E149=0,"Yetishmaydi",IF(F149="ha","Qisman to‘ldirilgan","Mavjud, lekin tekshirilmagan")))</f>
        <v>Mavjud, lekin tekshirilmagan</v>
      </c>
      <c r="I149" s="6"/>
    </row>
    <row r="150" customFormat="false" ht="23.85" hidden="false" customHeight="false" outlineLevel="0" collapsed="false">
      <c r="A150" s="6" t="s">
        <v>378</v>
      </c>
      <c r="B150" s="6" t="s">
        <v>312</v>
      </c>
      <c r="C150" s="6" t="s">
        <v>366</v>
      </c>
      <c r="D150" s="6" t="s">
        <v>379</v>
      </c>
      <c r="E150" s="6" t="n">
        <f aca="false">COUNTIFS(Katalog!$B:$B,A150,Katalog!$Q:$Q,"&lt;&gt;Ishlamaydi*")+COUNTIFS(Katalog!$C:$C,"*"&amp;A150&amp;"*",Katalog!$Q:$Q,"&lt;&gt;Ishlamaydi*")</f>
        <v>3</v>
      </c>
      <c r="F150" s="6"/>
      <c r="G150" s="6"/>
      <c r="H150" s="6" t="str">
        <f aca="false">IF(G150&lt;&gt;"","Takroriy",IF(E150=0,"Yetishmaydi",IF(F150="ha","Qisman to‘ldirilgan","Mavjud, lekin tekshirilmagan")))</f>
        <v>Mavjud, lekin tekshirilmagan</v>
      </c>
      <c r="I150" s="6"/>
    </row>
    <row r="151" customFormat="false" ht="23.85" hidden="false" customHeight="false" outlineLevel="0" collapsed="false">
      <c r="A151" s="6" t="s">
        <v>380</v>
      </c>
      <c r="B151" s="6" t="s">
        <v>312</v>
      </c>
      <c r="C151" s="6" t="s">
        <v>366</v>
      </c>
      <c r="D151" s="6" t="s">
        <v>381</v>
      </c>
      <c r="E151" s="6" t="n">
        <f aca="false">COUNTIFS(Katalog!$B:$B,A151,Katalog!$Q:$Q,"&lt;&gt;Ishlamaydi*")+COUNTIFS(Katalog!$C:$C,"*"&amp;A151&amp;"*",Katalog!$Q:$Q,"&lt;&gt;Ishlamaydi*")</f>
        <v>2</v>
      </c>
      <c r="F151" s="6"/>
      <c r="G151" s="6"/>
      <c r="H151" s="6" t="str">
        <f aca="false">IF(G151&lt;&gt;"","Takroriy",IF(E151=0,"Yetishmaydi",IF(F151="ha","Qisman to‘ldirilgan","Mavjud, lekin tekshirilmagan")))</f>
        <v>Mavjud, lekin tekshirilmagan</v>
      </c>
      <c r="I151" s="6"/>
    </row>
    <row r="152" customFormat="false" ht="23.85" hidden="false" customHeight="false" outlineLevel="0" collapsed="false">
      <c r="A152" s="6" t="s">
        <v>382</v>
      </c>
      <c r="B152" s="6" t="s">
        <v>312</v>
      </c>
      <c r="C152" s="6" t="s">
        <v>366</v>
      </c>
      <c r="D152" s="6" t="s">
        <v>383</v>
      </c>
      <c r="E152" s="6" t="n">
        <f aca="false">COUNTIFS(Katalog!$B:$B,A152,Katalog!$Q:$Q,"&lt;&gt;Ishlamaydi*")+COUNTIFS(Katalog!$C:$C,"*"&amp;A152&amp;"*",Katalog!$Q:$Q,"&lt;&gt;Ishlamaydi*")</f>
        <v>1</v>
      </c>
      <c r="F152" s="6"/>
      <c r="G152" s="6"/>
      <c r="H152" s="6" t="str">
        <f aca="false">IF(G152&lt;&gt;"","Takroriy",IF(E152=0,"Yetishmaydi",IF(F152="ha","Qisman to‘ldirilgan","Mavjud, lekin tekshirilmagan")))</f>
        <v>Mavjud, lekin tekshirilmagan</v>
      </c>
      <c r="I152" s="6"/>
    </row>
    <row r="153" customFormat="false" ht="23.85" hidden="false" customHeight="false" outlineLevel="0" collapsed="false">
      <c r="A153" s="6" t="s">
        <v>384</v>
      </c>
      <c r="B153" s="6" t="s">
        <v>385</v>
      </c>
      <c r="C153" s="6" t="s">
        <v>386</v>
      </c>
      <c r="D153" s="6" t="s">
        <v>387</v>
      </c>
      <c r="E153" s="6" t="n">
        <f aca="false">COUNTIFS(Katalog!$B:$B,A153,Katalog!$Q:$Q,"&lt;&gt;Ishlamaydi*")+COUNTIFS(Katalog!$C:$C,"*"&amp;A153&amp;"*",Katalog!$Q:$Q,"&lt;&gt;Ishlamaydi*")</f>
        <v>3</v>
      </c>
      <c r="F153" s="6"/>
      <c r="G153" s="6"/>
      <c r="H153" s="6" t="str">
        <f aca="false">IF(G153&lt;&gt;"","Takroriy",IF(E153=0,"Yetishmaydi",IF(F153="ha","Qisman to‘ldirilgan","Mavjud, lekin tekshirilmagan")))</f>
        <v>Mavjud, lekin tekshirilmagan</v>
      </c>
      <c r="I153" s="6"/>
    </row>
    <row r="154" customFormat="false" ht="23.85" hidden="false" customHeight="false" outlineLevel="0" collapsed="false">
      <c r="A154" s="6" t="s">
        <v>388</v>
      </c>
      <c r="B154" s="6" t="s">
        <v>385</v>
      </c>
      <c r="C154" s="6" t="s">
        <v>386</v>
      </c>
      <c r="D154" s="6" t="s">
        <v>389</v>
      </c>
      <c r="E154" s="6" t="n">
        <f aca="false">COUNTIFS(Katalog!$B:$B,A154,Katalog!$Q:$Q,"&lt;&gt;Ishlamaydi*")+COUNTIFS(Katalog!$C:$C,"*"&amp;A154&amp;"*",Katalog!$Q:$Q,"&lt;&gt;Ishlamaydi*")</f>
        <v>4</v>
      </c>
      <c r="F154" s="6"/>
      <c r="G154" s="6"/>
      <c r="H154" s="6" t="str">
        <f aca="false">IF(G154&lt;&gt;"","Takroriy",IF(E154=0,"Yetishmaydi",IF(F154="ha","Qisman to‘ldirilgan","Mavjud, lekin tekshirilmagan")))</f>
        <v>Mavjud, lekin tekshirilmagan</v>
      </c>
      <c r="I154" s="6"/>
    </row>
    <row r="155" customFormat="false" ht="23.85" hidden="false" customHeight="false" outlineLevel="0" collapsed="false">
      <c r="A155" s="6" t="s">
        <v>390</v>
      </c>
      <c r="B155" s="6" t="s">
        <v>385</v>
      </c>
      <c r="C155" s="6" t="s">
        <v>386</v>
      </c>
      <c r="D155" s="6" t="s">
        <v>391</v>
      </c>
      <c r="E155" s="6" t="n">
        <f aca="false">COUNTIFS(Katalog!$B:$B,A155,Katalog!$Q:$Q,"&lt;&gt;Ishlamaydi*")+COUNTIFS(Katalog!$C:$C,"*"&amp;A155&amp;"*",Katalog!$Q:$Q,"&lt;&gt;Ishlamaydi*")</f>
        <v>1</v>
      </c>
      <c r="F155" s="6"/>
      <c r="G155" s="6"/>
      <c r="H155" s="6" t="str">
        <f aca="false">IF(G155&lt;&gt;"","Takroriy",IF(E155=0,"Yetishmaydi",IF(F155="ha","Qisman to‘ldirilgan","Mavjud, lekin tekshirilmagan")))</f>
        <v>Mavjud, lekin tekshirilmagan</v>
      </c>
      <c r="I155" s="6"/>
    </row>
    <row r="156" customFormat="false" ht="23.85" hidden="false" customHeight="false" outlineLevel="0" collapsed="false">
      <c r="A156" s="6" t="s">
        <v>392</v>
      </c>
      <c r="B156" s="6" t="s">
        <v>385</v>
      </c>
      <c r="C156" s="6" t="s">
        <v>386</v>
      </c>
      <c r="D156" s="6" t="s">
        <v>393</v>
      </c>
      <c r="E156" s="6" t="n">
        <f aca="false">COUNTIFS(Katalog!$B:$B,A156,Katalog!$Q:$Q,"&lt;&gt;Ishlamaydi*")+COUNTIFS(Katalog!$C:$C,"*"&amp;A156&amp;"*",Katalog!$Q:$Q,"&lt;&gt;Ishlamaydi*")</f>
        <v>1</v>
      </c>
      <c r="F156" s="6"/>
      <c r="G156" s="6"/>
      <c r="H156" s="6" t="str">
        <f aca="false">IF(G156&lt;&gt;"","Takroriy",IF(E156=0,"Yetishmaydi",IF(F156="ha","Qisman to‘ldirilgan","Mavjud, lekin tekshirilmagan")))</f>
        <v>Mavjud, lekin tekshirilmagan</v>
      </c>
      <c r="I156" s="6"/>
    </row>
    <row r="157" customFormat="false" ht="23.85" hidden="false" customHeight="false" outlineLevel="0" collapsed="false">
      <c r="A157" s="6" t="s">
        <v>394</v>
      </c>
      <c r="B157" s="6" t="s">
        <v>385</v>
      </c>
      <c r="C157" s="6" t="s">
        <v>386</v>
      </c>
      <c r="D157" s="6" t="s">
        <v>395</v>
      </c>
      <c r="E157" s="6" t="n">
        <f aca="false">COUNTIFS(Katalog!$B:$B,A157,Katalog!$Q:$Q,"&lt;&gt;Ishlamaydi*")+COUNTIFS(Katalog!$C:$C,"*"&amp;A157&amp;"*",Katalog!$Q:$Q,"&lt;&gt;Ishlamaydi*")</f>
        <v>3</v>
      </c>
      <c r="F157" s="6"/>
      <c r="G157" s="6"/>
      <c r="H157" s="6" t="str">
        <f aca="false">IF(G157&lt;&gt;"","Takroriy",IF(E157=0,"Yetishmaydi",IF(F157="ha","Qisman to‘ldirilgan","Mavjud, lekin tekshirilmagan")))</f>
        <v>Mavjud, lekin tekshirilmagan</v>
      </c>
      <c r="I157" s="6"/>
    </row>
    <row r="158" customFormat="false" ht="23.85" hidden="false" customHeight="false" outlineLevel="0" collapsed="false">
      <c r="A158" s="6" t="s">
        <v>396</v>
      </c>
      <c r="B158" s="6" t="s">
        <v>385</v>
      </c>
      <c r="C158" s="6" t="s">
        <v>386</v>
      </c>
      <c r="D158" s="6" t="s">
        <v>397</v>
      </c>
      <c r="E158" s="6" t="n">
        <f aca="false">COUNTIFS(Katalog!$B:$B,A158,Katalog!$Q:$Q,"&lt;&gt;Ishlamaydi*")+COUNTIFS(Katalog!$C:$C,"*"&amp;A158&amp;"*",Katalog!$Q:$Q,"&lt;&gt;Ishlamaydi*")</f>
        <v>1</v>
      </c>
      <c r="F158" s="6"/>
      <c r="G158" s="6"/>
      <c r="H158" s="6" t="str">
        <f aca="false">IF(G158&lt;&gt;"","Takroriy",IF(E158=0,"Yetishmaydi",IF(F158="ha","Qisman to‘ldirilgan","Mavjud, lekin tekshirilmagan")))</f>
        <v>Mavjud, lekin tekshirilmagan</v>
      </c>
      <c r="I158" s="6"/>
    </row>
    <row r="159" customFormat="false" ht="23.85" hidden="false" customHeight="false" outlineLevel="0" collapsed="false">
      <c r="A159" s="6" t="s">
        <v>398</v>
      </c>
      <c r="B159" s="6" t="s">
        <v>385</v>
      </c>
      <c r="C159" s="6" t="s">
        <v>386</v>
      </c>
      <c r="D159" s="6" t="s">
        <v>399</v>
      </c>
      <c r="E159" s="6" t="n">
        <f aca="false">COUNTIFS(Katalog!$B:$B,A159,Katalog!$Q:$Q,"&lt;&gt;Ishlamaydi*")+COUNTIFS(Katalog!$C:$C,"*"&amp;A159&amp;"*",Katalog!$Q:$Q,"&lt;&gt;Ishlamaydi*")</f>
        <v>2</v>
      </c>
      <c r="F159" s="6"/>
      <c r="G159" s="6"/>
      <c r="H159" s="6" t="str">
        <f aca="false">IF(G159&lt;&gt;"","Takroriy",IF(E159=0,"Yetishmaydi",IF(F159="ha","Qisman to‘ldirilgan","Mavjud, lekin tekshirilmagan")))</f>
        <v>Mavjud, lekin tekshirilmagan</v>
      </c>
      <c r="I159" s="6"/>
    </row>
    <row r="160" customFormat="false" ht="23.85" hidden="false" customHeight="false" outlineLevel="0" collapsed="false">
      <c r="A160" s="6" t="s">
        <v>400</v>
      </c>
      <c r="B160" s="6" t="s">
        <v>385</v>
      </c>
      <c r="C160" s="6" t="s">
        <v>401</v>
      </c>
      <c r="D160" s="6" t="s">
        <v>402</v>
      </c>
      <c r="E160" s="6" t="n">
        <f aca="false">COUNTIFS(Katalog!$B:$B,A160,Katalog!$Q:$Q,"&lt;&gt;Ishlamaydi*")+COUNTIFS(Katalog!$C:$C,"*"&amp;A160&amp;"*",Katalog!$Q:$Q,"&lt;&gt;Ishlamaydi*")</f>
        <v>2</v>
      </c>
      <c r="F160" s="6"/>
      <c r="G160" s="6"/>
      <c r="H160" s="6" t="str">
        <f aca="false">IF(G160&lt;&gt;"","Takroriy",IF(E160=0,"Yetishmaydi",IF(F160="ha","Qisman to‘ldirilgan","Mavjud, lekin tekshirilmagan")))</f>
        <v>Mavjud, lekin tekshirilmagan</v>
      </c>
      <c r="I160" s="6"/>
    </row>
    <row r="161" customFormat="false" ht="23.85" hidden="false" customHeight="false" outlineLevel="0" collapsed="false">
      <c r="A161" s="6" t="s">
        <v>403</v>
      </c>
      <c r="B161" s="6" t="s">
        <v>385</v>
      </c>
      <c r="C161" s="6" t="s">
        <v>401</v>
      </c>
      <c r="D161" s="6" t="s">
        <v>404</v>
      </c>
      <c r="E161" s="6" t="n">
        <f aca="false">COUNTIFS(Katalog!$B:$B,A161,Katalog!$Q:$Q,"&lt;&gt;Ishlamaydi*")+COUNTIFS(Katalog!$C:$C,"*"&amp;A161&amp;"*",Katalog!$Q:$Q,"&lt;&gt;Ishlamaydi*")</f>
        <v>4</v>
      </c>
      <c r="F161" s="6"/>
      <c r="G161" s="6"/>
      <c r="H161" s="6" t="str">
        <f aca="false">IF(G161&lt;&gt;"","Takroriy",IF(E161=0,"Yetishmaydi",IF(F161="ha","Qisman to‘ldirilgan","Mavjud, lekin tekshirilmagan")))</f>
        <v>Mavjud, lekin tekshirilmagan</v>
      </c>
      <c r="I161" s="6"/>
    </row>
    <row r="162" customFormat="false" ht="23.85" hidden="false" customHeight="false" outlineLevel="0" collapsed="false">
      <c r="A162" s="6" t="s">
        <v>405</v>
      </c>
      <c r="B162" s="6" t="s">
        <v>385</v>
      </c>
      <c r="C162" s="6" t="s">
        <v>401</v>
      </c>
      <c r="D162" s="6" t="s">
        <v>406</v>
      </c>
      <c r="E162" s="6" t="n">
        <f aca="false">COUNTIFS(Katalog!$B:$B,A162,Katalog!$Q:$Q,"&lt;&gt;Ishlamaydi*")+COUNTIFS(Katalog!$C:$C,"*"&amp;A162&amp;"*",Katalog!$Q:$Q,"&lt;&gt;Ishlamaydi*")</f>
        <v>2</v>
      </c>
      <c r="F162" s="6"/>
      <c r="G162" s="6"/>
      <c r="H162" s="6" t="str">
        <f aca="false">IF(G162&lt;&gt;"","Takroriy",IF(E162=0,"Yetishmaydi",IF(F162="ha","Qisman to‘ldirilgan","Mavjud, lekin tekshirilmagan")))</f>
        <v>Mavjud, lekin tekshirilmagan</v>
      </c>
      <c r="I162" s="6"/>
    </row>
    <row r="163" customFormat="false" ht="23.85" hidden="false" customHeight="false" outlineLevel="0" collapsed="false">
      <c r="A163" s="6" t="s">
        <v>407</v>
      </c>
      <c r="B163" s="6" t="s">
        <v>385</v>
      </c>
      <c r="C163" s="6" t="s">
        <v>401</v>
      </c>
      <c r="D163" s="6" t="s">
        <v>408</v>
      </c>
      <c r="E163" s="6" t="n">
        <f aca="false">COUNTIFS(Katalog!$B:$B,A163,Katalog!$Q:$Q,"&lt;&gt;Ishlamaydi*")+COUNTIFS(Katalog!$C:$C,"*"&amp;A163&amp;"*",Katalog!$Q:$Q,"&lt;&gt;Ishlamaydi*")</f>
        <v>1</v>
      </c>
      <c r="F163" s="6" t="s">
        <v>55</v>
      </c>
      <c r="G163" s="6"/>
      <c r="H163" s="6" t="str">
        <f aca="false">IF(G163&lt;&gt;"","Takroriy",IF(E163=0,"Yetishmaydi",IF(F163="ha","Qisman to‘ldirilgan","Mavjud, lekin tekshirilmagan")))</f>
        <v>Qisman to‘ldirilgan</v>
      </c>
      <c r="I163" s="6"/>
    </row>
    <row r="164" customFormat="false" ht="23.85" hidden="false" customHeight="false" outlineLevel="0" collapsed="false">
      <c r="A164" s="6" t="s">
        <v>409</v>
      </c>
      <c r="B164" s="6" t="s">
        <v>385</v>
      </c>
      <c r="C164" s="6" t="s">
        <v>401</v>
      </c>
      <c r="D164" s="6" t="s">
        <v>410</v>
      </c>
      <c r="E164" s="6" t="n">
        <f aca="false">COUNTIFS(Katalog!$B:$B,A164,Katalog!$Q:$Q,"&lt;&gt;Ishlamaydi*")+COUNTIFS(Katalog!$C:$C,"*"&amp;A164&amp;"*",Katalog!$Q:$Q,"&lt;&gt;Ishlamaydi*")</f>
        <v>2</v>
      </c>
      <c r="F164" s="6"/>
      <c r="G164" s="6"/>
      <c r="H164" s="6" t="str">
        <f aca="false">IF(G164&lt;&gt;"","Takroriy",IF(E164=0,"Yetishmaydi",IF(F164="ha","Qisman to‘ldirilgan","Mavjud, lekin tekshirilmagan")))</f>
        <v>Mavjud, lekin tekshirilmagan</v>
      </c>
      <c r="I164" s="6"/>
    </row>
    <row r="165" customFormat="false" ht="23.85" hidden="false" customHeight="false" outlineLevel="0" collapsed="false">
      <c r="A165" s="6" t="s">
        <v>411</v>
      </c>
      <c r="B165" s="6" t="s">
        <v>385</v>
      </c>
      <c r="C165" s="6" t="s">
        <v>401</v>
      </c>
      <c r="D165" s="6" t="s">
        <v>412</v>
      </c>
      <c r="E165" s="6" t="n">
        <f aca="false">COUNTIFS(Katalog!$B:$B,A165,Katalog!$Q:$Q,"&lt;&gt;Ishlamaydi*")+COUNTIFS(Katalog!$C:$C,"*"&amp;A165&amp;"*",Katalog!$Q:$Q,"&lt;&gt;Ishlamaydi*")</f>
        <v>2</v>
      </c>
      <c r="F165" s="6"/>
      <c r="G165" s="6"/>
      <c r="H165" s="6" t="str">
        <f aca="false">IF(G165&lt;&gt;"","Takroriy",IF(E165=0,"Yetishmaydi",IF(F165="ha","Qisman to‘ldirilgan","Mavjud, lekin tekshirilmagan")))</f>
        <v>Mavjud, lekin tekshirilmagan</v>
      </c>
      <c r="I165" s="6"/>
    </row>
    <row r="166" customFormat="false" ht="23.85" hidden="false" customHeight="false" outlineLevel="0" collapsed="false">
      <c r="A166" s="6" t="s">
        <v>413</v>
      </c>
      <c r="B166" s="6" t="s">
        <v>385</v>
      </c>
      <c r="C166" s="6" t="s">
        <v>401</v>
      </c>
      <c r="D166" s="6" t="s">
        <v>414</v>
      </c>
      <c r="E166" s="6" t="n">
        <f aca="false">COUNTIFS(Katalog!$B:$B,A166,Katalog!$Q:$Q,"&lt;&gt;Ishlamaydi*")+COUNTIFS(Katalog!$C:$C,"*"&amp;A166&amp;"*",Katalog!$Q:$Q,"&lt;&gt;Ishlamaydi*")</f>
        <v>1</v>
      </c>
      <c r="F166" s="6"/>
      <c r="G166" s="6"/>
      <c r="H166" s="6" t="str">
        <f aca="false">IF(G166&lt;&gt;"","Takroriy",IF(E166=0,"Yetishmaydi",IF(F166="ha","Qisman to‘ldirilgan","Mavjud, lekin tekshirilmagan")))</f>
        <v>Mavjud, lekin tekshirilmagan</v>
      </c>
      <c r="I166" s="6"/>
    </row>
    <row r="167" customFormat="false" ht="23.85" hidden="false" customHeight="false" outlineLevel="0" collapsed="false">
      <c r="A167" s="6" t="s">
        <v>415</v>
      </c>
      <c r="B167" s="6" t="s">
        <v>385</v>
      </c>
      <c r="C167" s="6" t="s">
        <v>401</v>
      </c>
      <c r="D167" s="6" t="s">
        <v>416</v>
      </c>
      <c r="E167" s="6" t="n">
        <f aca="false">COUNTIFS(Katalog!$B:$B,A167,Katalog!$Q:$Q,"&lt;&gt;Ishlamaydi*")+COUNTIFS(Katalog!$C:$C,"*"&amp;A167&amp;"*",Katalog!$Q:$Q,"&lt;&gt;Ishlamaydi*")</f>
        <v>1</v>
      </c>
      <c r="F167" s="6" t="s">
        <v>55</v>
      </c>
      <c r="G167" s="6"/>
      <c r="H167" s="6" t="str">
        <f aca="false">IF(G167&lt;&gt;"","Takroriy",IF(E167=0,"Yetishmaydi",IF(F167="ha","Qisman to‘ldirilgan","Mavjud, lekin tekshirilmagan")))</f>
        <v>Qisman to‘ldirilgan</v>
      </c>
      <c r="I167" s="6"/>
    </row>
    <row r="168" customFormat="false" ht="23.85" hidden="false" customHeight="false" outlineLevel="0" collapsed="false">
      <c r="A168" s="6" t="s">
        <v>417</v>
      </c>
      <c r="B168" s="6" t="s">
        <v>385</v>
      </c>
      <c r="C168" s="6" t="s">
        <v>418</v>
      </c>
      <c r="D168" s="6" t="s">
        <v>419</v>
      </c>
      <c r="E168" s="6" t="n">
        <f aca="false">COUNTIFS(Katalog!$B:$B,A168,Katalog!$Q:$Q,"&lt;&gt;Ishlamaydi*")+COUNTIFS(Katalog!$C:$C,"*"&amp;A168&amp;"*",Katalog!$Q:$Q,"&lt;&gt;Ishlamaydi*")</f>
        <v>3</v>
      </c>
      <c r="F168" s="6"/>
      <c r="G168" s="6"/>
      <c r="H168" s="6" t="str">
        <f aca="false">IF(G168&lt;&gt;"","Takroriy",IF(E168=0,"Yetishmaydi",IF(F168="ha","Qisman to‘ldirilgan","Mavjud, lekin tekshirilmagan")))</f>
        <v>Mavjud, lekin tekshirilmagan</v>
      </c>
      <c r="I168" s="6"/>
    </row>
    <row r="169" customFormat="false" ht="23.85" hidden="false" customHeight="false" outlineLevel="0" collapsed="false">
      <c r="A169" s="6" t="s">
        <v>420</v>
      </c>
      <c r="B169" s="6" t="s">
        <v>385</v>
      </c>
      <c r="C169" s="6" t="s">
        <v>418</v>
      </c>
      <c r="D169" s="6" t="s">
        <v>421</v>
      </c>
      <c r="E169" s="6" t="n">
        <f aca="false">COUNTIFS(Katalog!$B:$B,A169,Katalog!$Q:$Q,"&lt;&gt;Ishlamaydi*")+COUNTIFS(Katalog!$C:$C,"*"&amp;A169&amp;"*",Katalog!$Q:$Q,"&lt;&gt;Ishlamaydi*")</f>
        <v>3</v>
      </c>
      <c r="F169" s="6"/>
      <c r="G169" s="6"/>
      <c r="H169" s="6" t="str">
        <f aca="false">IF(G169&lt;&gt;"","Takroriy",IF(E169=0,"Yetishmaydi",IF(F169="ha","Qisman to‘ldirilgan","Mavjud, lekin tekshirilmagan")))</f>
        <v>Mavjud, lekin tekshirilmagan</v>
      </c>
      <c r="I169" s="6"/>
    </row>
    <row r="170" customFormat="false" ht="23.85" hidden="false" customHeight="false" outlineLevel="0" collapsed="false">
      <c r="A170" s="6" t="s">
        <v>422</v>
      </c>
      <c r="B170" s="6" t="s">
        <v>385</v>
      </c>
      <c r="C170" s="6" t="s">
        <v>418</v>
      </c>
      <c r="D170" s="6" t="s">
        <v>423</v>
      </c>
      <c r="E170" s="6" t="n">
        <f aca="false">COUNTIFS(Katalog!$B:$B,A170,Katalog!$Q:$Q,"&lt;&gt;Ishlamaydi*")+COUNTIFS(Katalog!$C:$C,"*"&amp;A170&amp;"*",Katalog!$Q:$Q,"&lt;&gt;Ishlamaydi*")</f>
        <v>3</v>
      </c>
      <c r="F170" s="6"/>
      <c r="G170" s="6"/>
      <c r="H170" s="6" t="str">
        <f aca="false">IF(G170&lt;&gt;"","Takroriy",IF(E170=0,"Yetishmaydi",IF(F170="ha","Qisman to‘ldirilgan","Mavjud, lekin tekshirilmagan")))</f>
        <v>Mavjud, lekin tekshirilmagan</v>
      </c>
      <c r="I170" s="6"/>
    </row>
    <row r="171" customFormat="false" ht="23.85" hidden="false" customHeight="false" outlineLevel="0" collapsed="false">
      <c r="A171" s="6" t="s">
        <v>424</v>
      </c>
      <c r="B171" s="6" t="s">
        <v>385</v>
      </c>
      <c r="C171" s="6" t="s">
        <v>418</v>
      </c>
      <c r="D171" s="6" t="s">
        <v>425</v>
      </c>
      <c r="E171" s="6" t="n">
        <f aca="false">COUNTIFS(Katalog!$B:$B,A171,Katalog!$Q:$Q,"&lt;&gt;Ishlamaydi*")+COUNTIFS(Katalog!$C:$C,"*"&amp;A171&amp;"*",Katalog!$Q:$Q,"&lt;&gt;Ishlamaydi*")</f>
        <v>3</v>
      </c>
      <c r="F171" s="6"/>
      <c r="G171" s="6"/>
      <c r="H171" s="6" t="str">
        <f aca="false">IF(G171&lt;&gt;"","Takroriy",IF(E171=0,"Yetishmaydi",IF(F171="ha","Qisman to‘ldirilgan","Mavjud, lekin tekshirilmagan")))</f>
        <v>Mavjud, lekin tekshirilmagan</v>
      </c>
      <c r="I171" s="6"/>
    </row>
    <row r="172" customFormat="false" ht="23.85" hidden="false" customHeight="false" outlineLevel="0" collapsed="false">
      <c r="A172" s="6" t="s">
        <v>426</v>
      </c>
      <c r="B172" s="6" t="s">
        <v>385</v>
      </c>
      <c r="C172" s="6" t="s">
        <v>418</v>
      </c>
      <c r="D172" s="6" t="s">
        <v>427</v>
      </c>
      <c r="E172" s="6" t="n">
        <f aca="false">COUNTIFS(Katalog!$B:$B,A172,Katalog!$Q:$Q,"&lt;&gt;Ishlamaydi*")+COUNTIFS(Katalog!$C:$C,"*"&amp;A172&amp;"*",Katalog!$Q:$Q,"&lt;&gt;Ishlamaydi*")</f>
        <v>3</v>
      </c>
      <c r="F172" s="6"/>
      <c r="G172" s="6"/>
      <c r="H172" s="6" t="str">
        <f aca="false">IF(G172&lt;&gt;"","Takroriy",IF(E172=0,"Yetishmaydi",IF(F172="ha","Qisman to‘ldirilgan","Mavjud, lekin tekshirilmagan")))</f>
        <v>Mavjud, lekin tekshirilmagan</v>
      </c>
      <c r="I172" s="6"/>
    </row>
    <row r="173" customFormat="false" ht="23.85" hidden="false" customHeight="false" outlineLevel="0" collapsed="false">
      <c r="A173" s="6" t="s">
        <v>428</v>
      </c>
      <c r="B173" s="6" t="s">
        <v>429</v>
      </c>
      <c r="C173" s="6" t="s">
        <v>430</v>
      </c>
      <c r="D173" s="6" t="s">
        <v>431</v>
      </c>
      <c r="E173" s="6" t="n">
        <f aca="false">COUNTIFS(Katalog!$B:$B,A173,Katalog!$Q:$Q,"&lt;&gt;Ishlamaydi*")+COUNTIFS(Katalog!$C:$C,"*"&amp;A173&amp;"*",Katalog!$Q:$Q,"&lt;&gt;Ishlamaydi*")</f>
        <v>3</v>
      </c>
      <c r="F173" s="6"/>
      <c r="G173" s="6"/>
      <c r="H173" s="6" t="str">
        <f aca="false">IF(G173&lt;&gt;"","Takroriy",IF(E173=0,"Yetishmaydi",IF(F173="ha","Qisman to‘ldirilgan","Mavjud, lekin tekshirilmagan")))</f>
        <v>Mavjud, lekin tekshirilmagan</v>
      </c>
      <c r="I173" s="6"/>
    </row>
    <row r="174" customFormat="false" ht="23.85" hidden="false" customHeight="false" outlineLevel="0" collapsed="false">
      <c r="A174" s="6" t="s">
        <v>432</v>
      </c>
      <c r="B174" s="6" t="s">
        <v>429</v>
      </c>
      <c r="C174" s="6" t="s">
        <v>430</v>
      </c>
      <c r="D174" s="6" t="s">
        <v>433</v>
      </c>
      <c r="E174" s="6" t="n">
        <f aca="false">COUNTIFS(Katalog!$B:$B,A174,Katalog!$Q:$Q,"&lt;&gt;Ishlamaydi*")+COUNTIFS(Katalog!$C:$C,"*"&amp;A174&amp;"*",Katalog!$Q:$Q,"&lt;&gt;Ishlamaydi*")</f>
        <v>3</v>
      </c>
      <c r="F174" s="6"/>
      <c r="G174" s="6"/>
      <c r="H174" s="6" t="str">
        <f aca="false">IF(G174&lt;&gt;"","Takroriy",IF(E174=0,"Yetishmaydi",IF(F174="ha","Qisman to‘ldirilgan","Mavjud, lekin tekshirilmagan")))</f>
        <v>Mavjud, lekin tekshirilmagan</v>
      </c>
      <c r="I174" s="6"/>
    </row>
    <row r="175" customFormat="false" ht="23.85" hidden="false" customHeight="false" outlineLevel="0" collapsed="false">
      <c r="A175" s="6" t="s">
        <v>434</v>
      </c>
      <c r="B175" s="6" t="s">
        <v>429</v>
      </c>
      <c r="C175" s="6" t="s">
        <v>430</v>
      </c>
      <c r="D175" s="6" t="s">
        <v>435</v>
      </c>
      <c r="E175" s="6" t="n">
        <f aca="false">COUNTIFS(Katalog!$B:$B,A175,Katalog!$Q:$Q,"&lt;&gt;Ishlamaydi*")+COUNTIFS(Katalog!$C:$C,"*"&amp;A175&amp;"*",Katalog!$Q:$Q,"&lt;&gt;Ishlamaydi*")</f>
        <v>3</v>
      </c>
      <c r="F175" s="6"/>
      <c r="G175" s="6"/>
      <c r="H175" s="6" t="str">
        <f aca="false">IF(G175&lt;&gt;"","Takroriy",IF(E175=0,"Yetishmaydi",IF(F175="ha","Qisman to‘ldirilgan","Mavjud, lekin tekshirilmagan")))</f>
        <v>Mavjud, lekin tekshirilmagan</v>
      </c>
      <c r="I175" s="6"/>
    </row>
    <row r="176" customFormat="false" ht="23.85" hidden="false" customHeight="false" outlineLevel="0" collapsed="false">
      <c r="A176" s="6" t="s">
        <v>436</v>
      </c>
      <c r="B176" s="6" t="s">
        <v>429</v>
      </c>
      <c r="C176" s="6" t="s">
        <v>430</v>
      </c>
      <c r="D176" s="6" t="s">
        <v>437</v>
      </c>
      <c r="E176" s="6" t="n">
        <f aca="false">COUNTIFS(Katalog!$B:$B,A176,Katalog!$Q:$Q,"&lt;&gt;Ishlamaydi*")+COUNTIFS(Katalog!$C:$C,"*"&amp;A176&amp;"*",Katalog!$Q:$Q,"&lt;&gt;Ishlamaydi*")</f>
        <v>1</v>
      </c>
      <c r="F176" s="6"/>
      <c r="G176" s="6"/>
      <c r="H176" s="6" t="str">
        <f aca="false">IF(G176&lt;&gt;"","Takroriy",IF(E176=0,"Yetishmaydi",IF(F176="ha","Qisman to‘ldirilgan","Mavjud, lekin tekshirilmagan")))</f>
        <v>Mavjud, lekin tekshirilmagan</v>
      </c>
      <c r="I176" s="6"/>
    </row>
    <row r="177" customFormat="false" ht="23.85" hidden="false" customHeight="false" outlineLevel="0" collapsed="false">
      <c r="A177" s="6" t="s">
        <v>438</v>
      </c>
      <c r="B177" s="6" t="s">
        <v>429</v>
      </c>
      <c r="C177" s="6" t="s">
        <v>430</v>
      </c>
      <c r="D177" s="6" t="s">
        <v>439</v>
      </c>
      <c r="E177" s="6" t="n">
        <f aca="false">COUNTIFS(Katalog!$B:$B,A177,Katalog!$Q:$Q,"&lt;&gt;Ishlamaydi*")+COUNTIFS(Katalog!$C:$C,"*"&amp;A177&amp;"*",Katalog!$Q:$Q,"&lt;&gt;Ishlamaydi*")</f>
        <v>3</v>
      </c>
      <c r="F177" s="6"/>
      <c r="G177" s="6"/>
      <c r="H177" s="6" t="str">
        <f aca="false">IF(G177&lt;&gt;"","Takroriy",IF(E177=0,"Yetishmaydi",IF(F177="ha","Qisman to‘ldirilgan","Mavjud, lekin tekshirilmagan")))</f>
        <v>Mavjud, lekin tekshirilmagan</v>
      </c>
      <c r="I177" s="6"/>
    </row>
    <row r="178" customFormat="false" ht="23.85" hidden="false" customHeight="false" outlineLevel="0" collapsed="false">
      <c r="A178" s="6" t="s">
        <v>440</v>
      </c>
      <c r="B178" s="6" t="s">
        <v>429</v>
      </c>
      <c r="C178" s="6" t="s">
        <v>430</v>
      </c>
      <c r="D178" s="6" t="s">
        <v>441</v>
      </c>
      <c r="E178" s="6" t="n">
        <f aca="false">COUNTIFS(Katalog!$B:$B,A178,Katalog!$Q:$Q,"&lt;&gt;Ishlamaydi*")+COUNTIFS(Katalog!$C:$C,"*"&amp;A178&amp;"*",Katalog!$Q:$Q,"&lt;&gt;Ishlamaydi*")</f>
        <v>5</v>
      </c>
      <c r="F178" s="6"/>
      <c r="G178" s="6"/>
      <c r="H178" s="6" t="str">
        <f aca="false">IF(G178&lt;&gt;"","Takroriy",IF(E178=0,"Yetishmaydi",IF(F178="ha","Qisman to‘ldirilgan","Mavjud, lekin tekshirilmagan")))</f>
        <v>Mavjud, lekin tekshirilmagan</v>
      </c>
      <c r="I178" s="6"/>
    </row>
    <row r="179" customFormat="false" ht="23.85" hidden="false" customHeight="false" outlineLevel="0" collapsed="false">
      <c r="A179" s="6" t="s">
        <v>442</v>
      </c>
      <c r="B179" s="6" t="s">
        <v>429</v>
      </c>
      <c r="C179" s="6" t="s">
        <v>430</v>
      </c>
      <c r="D179" s="6" t="s">
        <v>443</v>
      </c>
      <c r="E179" s="6" t="n">
        <f aca="false">COUNTIFS(Katalog!$B:$B,A179,Katalog!$Q:$Q,"&lt;&gt;Ishlamaydi*")+COUNTIFS(Katalog!$C:$C,"*"&amp;A179&amp;"*",Katalog!$Q:$Q,"&lt;&gt;Ishlamaydi*")</f>
        <v>3</v>
      </c>
      <c r="F179" s="6"/>
      <c r="G179" s="6"/>
      <c r="H179" s="6" t="str">
        <f aca="false">IF(G179&lt;&gt;"","Takroriy",IF(E179=0,"Yetishmaydi",IF(F179="ha","Qisman to‘ldirilgan","Mavjud, lekin tekshirilmagan")))</f>
        <v>Mavjud, lekin tekshirilmagan</v>
      </c>
      <c r="I179" s="6"/>
    </row>
    <row r="180" customFormat="false" ht="23.85" hidden="false" customHeight="false" outlineLevel="0" collapsed="false">
      <c r="A180" s="6" t="s">
        <v>444</v>
      </c>
      <c r="B180" s="6" t="s">
        <v>429</v>
      </c>
      <c r="C180" s="6" t="s">
        <v>430</v>
      </c>
      <c r="D180" s="6" t="s">
        <v>445</v>
      </c>
      <c r="E180" s="6" t="n">
        <f aca="false">COUNTIFS(Katalog!$B:$B,A180,Katalog!$Q:$Q,"&lt;&gt;Ishlamaydi*")+COUNTIFS(Katalog!$C:$C,"*"&amp;A180&amp;"*",Katalog!$Q:$Q,"&lt;&gt;Ishlamaydi*")</f>
        <v>1</v>
      </c>
      <c r="F180" s="6"/>
      <c r="G180" s="6"/>
      <c r="H180" s="6" t="str">
        <f aca="false">IF(G180&lt;&gt;"","Takroriy",IF(E180=0,"Yetishmaydi",IF(F180="ha","Qisman to‘ldirilgan","Mavjud, lekin tekshirilmagan")))</f>
        <v>Mavjud, lekin tekshirilmagan</v>
      </c>
      <c r="I180" s="6"/>
    </row>
    <row r="181" customFormat="false" ht="23.85" hidden="false" customHeight="false" outlineLevel="0" collapsed="false">
      <c r="A181" s="6" t="s">
        <v>446</v>
      </c>
      <c r="B181" s="6" t="s">
        <v>429</v>
      </c>
      <c r="C181" s="6" t="s">
        <v>430</v>
      </c>
      <c r="D181" s="6" t="s">
        <v>447</v>
      </c>
      <c r="E181" s="6" t="n">
        <f aca="false">COUNTIFS(Katalog!$B:$B,A181,Katalog!$Q:$Q,"&lt;&gt;Ishlamaydi*")+COUNTIFS(Katalog!$C:$C,"*"&amp;A181&amp;"*",Katalog!$Q:$Q,"&lt;&gt;Ishlamaydi*")</f>
        <v>2</v>
      </c>
      <c r="F181" s="6"/>
      <c r="G181" s="6"/>
      <c r="H181" s="6" t="str">
        <f aca="false">IF(G181&lt;&gt;"","Takroriy",IF(E181=0,"Yetishmaydi",IF(F181="ha","Qisman to‘ldirilgan","Mavjud, lekin tekshirilmagan")))</f>
        <v>Mavjud, lekin tekshirilmagan</v>
      </c>
      <c r="I181" s="6"/>
    </row>
    <row r="182" customFormat="false" ht="23.85" hidden="false" customHeight="false" outlineLevel="0" collapsed="false">
      <c r="A182" s="6" t="s">
        <v>448</v>
      </c>
      <c r="B182" s="6" t="s">
        <v>429</v>
      </c>
      <c r="C182" s="6" t="s">
        <v>430</v>
      </c>
      <c r="D182" s="6" t="s">
        <v>449</v>
      </c>
      <c r="E182" s="6" t="n">
        <f aca="false">COUNTIFS(Katalog!$B:$B,A182,Katalog!$Q:$Q,"&lt;&gt;Ishlamaydi*")+COUNTIFS(Katalog!$C:$C,"*"&amp;A182&amp;"*",Katalog!$Q:$Q,"&lt;&gt;Ishlamaydi*")</f>
        <v>6</v>
      </c>
      <c r="F182" s="6"/>
      <c r="G182" s="6"/>
      <c r="H182" s="6" t="str">
        <f aca="false">IF(G182&lt;&gt;"","Takroriy",IF(E182=0,"Yetishmaydi",IF(F182="ha","Qisman to‘ldirilgan","Mavjud, lekin tekshirilmagan")))</f>
        <v>Mavjud, lekin tekshirilmagan</v>
      </c>
      <c r="I182" s="6"/>
    </row>
    <row r="183" customFormat="false" ht="15" hidden="false" customHeight="false" outlineLevel="0" collapsed="false">
      <c r="A183" s="6" t="s">
        <v>450</v>
      </c>
      <c r="B183" s="6" t="s">
        <v>451</v>
      </c>
      <c r="C183" s="6" t="s">
        <v>452</v>
      </c>
      <c r="D183" s="6" t="s">
        <v>453</v>
      </c>
      <c r="E183" s="6" t="n">
        <f aca="false">COUNTIFS(Katalog!$B:$B,A183,Katalog!$Q:$Q,"&lt;&gt;Ishlamaydi*")+COUNTIFS(Katalog!$C:$C,"*"&amp;A183&amp;"*",Katalog!$Q:$Q,"&lt;&gt;Ishlamaydi*")</f>
        <v>1</v>
      </c>
      <c r="F183" s="6"/>
      <c r="G183" s="6"/>
      <c r="H183" s="6" t="str">
        <f aca="false">IF(G183&lt;&gt;"","Takroriy",IF(E183=0,"Yetishmaydi",IF(F183="ha","Qisman to‘ldirilgan","Mavjud, lekin tekshirilmagan")))</f>
        <v>Mavjud, lekin tekshirilmagan</v>
      </c>
      <c r="I183" s="6"/>
    </row>
    <row r="184" customFormat="false" ht="15" hidden="false" customHeight="false" outlineLevel="0" collapsed="false">
      <c r="A184" s="6" t="s">
        <v>454</v>
      </c>
      <c r="B184" s="6" t="s">
        <v>451</v>
      </c>
      <c r="C184" s="6" t="s">
        <v>452</v>
      </c>
      <c r="D184" s="6" t="s">
        <v>455</v>
      </c>
      <c r="E184" s="6" t="n">
        <f aca="false">COUNTIFS(Katalog!$B:$B,A184,Katalog!$Q:$Q,"&lt;&gt;Ishlamaydi*")+COUNTIFS(Katalog!$C:$C,"*"&amp;A184&amp;"*",Katalog!$Q:$Q,"&lt;&gt;Ishlamaydi*")</f>
        <v>2</v>
      </c>
      <c r="F184" s="6"/>
      <c r="G184" s="6"/>
      <c r="H184" s="6" t="str">
        <f aca="false">IF(G184&lt;&gt;"","Takroriy",IF(E184=0,"Yetishmaydi",IF(F184="ha","Qisman to‘ldirilgan","Mavjud, lekin tekshirilmagan")))</f>
        <v>Mavjud, lekin tekshirilmagan</v>
      </c>
      <c r="I184" s="6"/>
    </row>
    <row r="185" customFormat="false" ht="15" hidden="false" customHeight="false" outlineLevel="0" collapsed="false">
      <c r="A185" s="6" t="s">
        <v>456</v>
      </c>
      <c r="B185" s="6" t="s">
        <v>451</v>
      </c>
      <c r="C185" s="6" t="s">
        <v>452</v>
      </c>
      <c r="D185" s="6" t="s">
        <v>457</v>
      </c>
      <c r="E185" s="6" t="n">
        <f aca="false">COUNTIFS(Katalog!$B:$B,A185,Katalog!$Q:$Q,"&lt;&gt;Ishlamaydi*")+COUNTIFS(Katalog!$C:$C,"*"&amp;A185&amp;"*",Katalog!$Q:$Q,"&lt;&gt;Ishlamaydi*")</f>
        <v>0</v>
      </c>
      <c r="F185" s="6"/>
      <c r="G185" s="6"/>
      <c r="H185" s="6" t="str">
        <f aca="false">IF(G185&lt;&gt;"","Takroriy",IF(E185=0,"Yetishmaydi",IF(F185="ha","Qisman to‘ldirilgan","Mavjud, lekin tekshirilmagan")))</f>
        <v>Yetishmaydi</v>
      </c>
      <c r="I185" s="6"/>
    </row>
    <row r="186" customFormat="false" ht="15" hidden="false" customHeight="false" outlineLevel="0" collapsed="false">
      <c r="A186" s="6" t="s">
        <v>458</v>
      </c>
      <c r="B186" s="6" t="s">
        <v>451</v>
      </c>
      <c r="C186" s="6" t="s">
        <v>452</v>
      </c>
      <c r="D186" s="6" t="s">
        <v>459</v>
      </c>
      <c r="E186" s="6" t="n">
        <f aca="false">COUNTIFS(Katalog!$B:$B,A186,Katalog!$Q:$Q,"&lt;&gt;Ishlamaydi*")+COUNTIFS(Katalog!$C:$C,"*"&amp;A186&amp;"*",Katalog!$Q:$Q,"&lt;&gt;Ishlamaydi*")</f>
        <v>0</v>
      </c>
      <c r="F186" s="6"/>
      <c r="G186" s="6"/>
      <c r="H186" s="6" t="str">
        <f aca="false">IF(G186&lt;&gt;"","Takroriy",IF(E186=0,"Yetishmaydi",IF(F186="ha","Qisman to‘ldirilgan","Mavjud, lekin tekshirilmagan")))</f>
        <v>Yetishmaydi</v>
      </c>
      <c r="I186" s="6"/>
    </row>
    <row r="187" customFormat="false" ht="15" hidden="false" customHeight="false" outlineLevel="0" collapsed="false">
      <c r="A187" s="6" t="s">
        <v>460</v>
      </c>
      <c r="B187" s="6" t="s">
        <v>451</v>
      </c>
      <c r="C187" s="6" t="s">
        <v>452</v>
      </c>
      <c r="D187" s="6" t="s">
        <v>461</v>
      </c>
      <c r="E187" s="6" t="n">
        <f aca="false">COUNTIFS(Katalog!$B:$B,A187,Katalog!$Q:$Q,"&lt;&gt;Ishlamaydi*")+COUNTIFS(Katalog!$C:$C,"*"&amp;A187&amp;"*",Katalog!$Q:$Q,"&lt;&gt;Ishlamaydi*")</f>
        <v>0</v>
      </c>
      <c r="F187" s="6"/>
      <c r="G187" s="6"/>
      <c r="H187" s="6" t="str">
        <f aca="false">IF(G187&lt;&gt;"","Takroriy",IF(E187=0,"Yetishmaydi",IF(F187="ha","Qisman to‘ldirilgan","Mavjud, lekin tekshirilmagan")))</f>
        <v>Yetishmaydi</v>
      </c>
      <c r="I187" s="6"/>
    </row>
    <row r="188" customFormat="false" ht="15" hidden="false" customHeight="false" outlineLevel="0" collapsed="false">
      <c r="A188" s="6" t="s">
        <v>462</v>
      </c>
      <c r="B188" s="6" t="s">
        <v>451</v>
      </c>
      <c r="C188" s="6" t="s">
        <v>452</v>
      </c>
      <c r="D188" s="6" t="s">
        <v>463</v>
      </c>
      <c r="E188" s="6" t="n">
        <f aca="false">COUNTIFS(Katalog!$B:$B,A188,Katalog!$Q:$Q,"&lt;&gt;Ishlamaydi*")+COUNTIFS(Katalog!$C:$C,"*"&amp;A188&amp;"*",Katalog!$Q:$Q,"&lt;&gt;Ishlamaydi*")</f>
        <v>1</v>
      </c>
      <c r="F188" s="6"/>
      <c r="G188" s="6"/>
      <c r="H188" s="6" t="str">
        <f aca="false">IF(G188&lt;&gt;"","Takroriy",IF(E188=0,"Yetishmaydi",IF(F188="ha","Qisman to‘ldirilgan","Mavjud, lekin tekshirilmagan")))</f>
        <v>Mavjud, lekin tekshirilmagan</v>
      </c>
      <c r="I188" s="6"/>
    </row>
    <row r="189" customFormat="false" ht="15" hidden="false" customHeight="false" outlineLevel="0" collapsed="false">
      <c r="A189" s="6" t="s">
        <v>464</v>
      </c>
      <c r="B189" s="6" t="s">
        <v>451</v>
      </c>
      <c r="C189" s="6" t="s">
        <v>452</v>
      </c>
      <c r="D189" s="6" t="s">
        <v>465</v>
      </c>
      <c r="E189" s="6" t="n">
        <f aca="false">COUNTIFS(Katalog!$B:$B,A189,Katalog!$Q:$Q,"&lt;&gt;Ishlamaydi*")+COUNTIFS(Katalog!$C:$C,"*"&amp;A189&amp;"*",Katalog!$Q:$Q,"&lt;&gt;Ishlamaydi*")</f>
        <v>0</v>
      </c>
      <c r="F189" s="6"/>
      <c r="G189" s="6"/>
      <c r="H189" s="6" t="str">
        <f aca="false">IF(G189&lt;&gt;"","Takroriy",IF(E189=0,"Yetishmaydi",IF(F189="ha","Qisman to‘ldirilgan","Mavjud, lekin tekshirilmagan")))</f>
        <v>Yetishmaydi</v>
      </c>
      <c r="I189" s="6"/>
    </row>
    <row r="190" customFormat="false" ht="15" hidden="false" customHeight="false" outlineLevel="0" collapsed="false">
      <c r="A190" s="6" t="s">
        <v>466</v>
      </c>
      <c r="B190" s="6" t="s">
        <v>451</v>
      </c>
      <c r="C190" s="6" t="s">
        <v>452</v>
      </c>
      <c r="D190" s="6" t="s">
        <v>467</v>
      </c>
      <c r="E190" s="6" t="n">
        <f aca="false">COUNTIFS(Katalog!$B:$B,A190,Katalog!$Q:$Q,"&lt;&gt;Ishlamaydi*")+COUNTIFS(Katalog!$C:$C,"*"&amp;A190&amp;"*",Katalog!$Q:$Q,"&lt;&gt;Ishlamaydi*")</f>
        <v>3</v>
      </c>
      <c r="F190" s="6"/>
      <c r="G190" s="6"/>
      <c r="H190" s="6" t="str">
        <f aca="false">IF(G190&lt;&gt;"","Takroriy",IF(E190=0,"Yetishmaydi",IF(F190="ha","Qisman to‘ldirilgan","Mavjud, lekin tekshirilmagan")))</f>
        <v>Mavjud, lekin tekshirilmagan</v>
      </c>
      <c r="I190" s="6"/>
    </row>
    <row r="191" customFormat="false" ht="15" hidden="false" customHeight="false" outlineLevel="0" collapsed="false">
      <c r="A191" s="6" t="s">
        <v>468</v>
      </c>
      <c r="B191" s="6" t="s">
        <v>451</v>
      </c>
      <c r="C191" s="6" t="s">
        <v>452</v>
      </c>
      <c r="D191" s="6" t="s">
        <v>469</v>
      </c>
      <c r="E191" s="6" t="n">
        <f aca="false">COUNTIFS(Katalog!$B:$B,A191,Katalog!$Q:$Q,"&lt;&gt;Ishlamaydi*")+COUNTIFS(Katalog!$C:$C,"*"&amp;A191&amp;"*",Katalog!$Q:$Q,"&lt;&gt;Ishlamaydi*")</f>
        <v>0</v>
      </c>
      <c r="F191" s="6"/>
      <c r="G191" s="6"/>
      <c r="H191" s="6" t="str">
        <f aca="false">IF(G191&lt;&gt;"","Takroriy",IF(E191=0,"Yetishmaydi",IF(F191="ha","Qisman to‘ldirilgan","Mavjud, lekin tekshirilmagan")))</f>
        <v>Yetishmaydi</v>
      </c>
      <c r="I191" s="6"/>
    </row>
    <row r="192" customFormat="false" ht="15" hidden="false" customHeight="false" outlineLevel="0" collapsed="false">
      <c r="A192" s="6" t="s">
        <v>470</v>
      </c>
      <c r="B192" s="6" t="s">
        <v>451</v>
      </c>
      <c r="C192" s="6" t="s">
        <v>452</v>
      </c>
      <c r="D192" s="6" t="s">
        <v>471</v>
      </c>
      <c r="E192" s="6" t="n">
        <f aca="false">COUNTIFS(Katalog!$B:$B,A192,Katalog!$Q:$Q,"&lt;&gt;Ishlamaydi*")+COUNTIFS(Katalog!$C:$C,"*"&amp;A192&amp;"*",Katalog!$Q:$Q,"&lt;&gt;Ishlamaydi*")</f>
        <v>1</v>
      </c>
      <c r="F192" s="6"/>
      <c r="G192" s="6"/>
      <c r="H192" s="6" t="str">
        <f aca="false">IF(G192&lt;&gt;"","Takroriy",IF(E192=0,"Yetishmaydi",IF(F192="ha","Qisman to‘ldirilgan","Mavjud, lekin tekshirilmagan")))</f>
        <v>Mavjud, lekin tekshirilmagan</v>
      </c>
      <c r="I192" s="6"/>
    </row>
    <row r="193" customFormat="false" ht="15" hidden="false" customHeight="false" outlineLevel="0" collapsed="false">
      <c r="A193" s="6" t="s">
        <v>472</v>
      </c>
      <c r="B193" s="6" t="s">
        <v>451</v>
      </c>
      <c r="C193" s="6" t="s">
        <v>452</v>
      </c>
      <c r="D193" s="6" t="s">
        <v>473</v>
      </c>
      <c r="E193" s="6" t="n">
        <f aca="false">COUNTIFS(Katalog!$B:$B,A193,Katalog!$Q:$Q,"&lt;&gt;Ishlamaydi*")+COUNTIFS(Katalog!$C:$C,"*"&amp;A193&amp;"*",Katalog!$Q:$Q,"&lt;&gt;Ishlamaydi*")</f>
        <v>0</v>
      </c>
      <c r="F193" s="6"/>
      <c r="G193" s="6"/>
      <c r="H193" s="6" t="str">
        <f aca="false">IF(G193&lt;&gt;"","Takroriy",IF(E193=0,"Yetishmaydi",IF(F193="ha","Qisman to‘ldirilgan","Mavjud, lekin tekshirilmagan")))</f>
        <v>Yetishmaydi</v>
      </c>
      <c r="I193" s="6"/>
    </row>
    <row r="194" customFormat="false" ht="15" hidden="false" customHeight="false" outlineLevel="0" collapsed="false">
      <c r="A194" s="6" t="s">
        <v>474</v>
      </c>
      <c r="B194" s="6" t="s">
        <v>451</v>
      </c>
      <c r="C194" s="6" t="s">
        <v>452</v>
      </c>
      <c r="D194" s="6" t="s">
        <v>475</v>
      </c>
      <c r="E194" s="6" t="n">
        <f aca="false">COUNTIFS(Katalog!$B:$B,A194,Katalog!$Q:$Q,"&lt;&gt;Ishlamaydi*")+COUNTIFS(Katalog!$C:$C,"*"&amp;A194&amp;"*",Katalog!$Q:$Q,"&lt;&gt;Ishlamaydi*")</f>
        <v>0</v>
      </c>
      <c r="F194" s="6"/>
      <c r="G194" s="6"/>
      <c r="H194" s="6" t="str">
        <f aca="false">IF(G194&lt;&gt;"","Takroriy",IF(E194=0,"Yetishmaydi",IF(F194="ha","Qisman to‘ldirilgan","Mavjud, lekin tekshirilmagan")))</f>
        <v>Yetishmaydi</v>
      </c>
      <c r="I194" s="6"/>
    </row>
    <row r="195" customFormat="false" ht="15" hidden="false" customHeight="false" outlineLevel="0" collapsed="false">
      <c r="A195" s="6" t="s">
        <v>476</v>
      </c>
      <c r="B195" s="6" t="s">
        <v>451</v>
      </c>
      <c r="C195" s="6" t="s">
        <v>452</v>
      </c>
      <c r="D195" s="6" t="s">
        <v>477</v>
      </c>
      <c r="E195" s="6" t="n">
        <f aca="false">COUNTIFS(Katalog!$B:$B,A195,Katalog!$Q:$Q,"&lt;&gt;Ishlamaydi*")+COUNTIFS(Katalog!$C:$C,"*"&amp;A195&amp;"*",Katalog!$Q:$Q,"&lt;&gt;Ishlamaydi*")</f>
        <v>0</v>
      </c>
      <c r="F195" s="6"/>
      <c r="G195" s="6"/>
      <c r="H195" s="6" t="str">
        <f aca="false">IF(G195&lt;&gt;"","Takroriy",IF(E195=0,"Yetishmaydi",IF(F195="ha","Qisman to‘ldirilgan","Mavjud, lekin tekshirilmagan")))</f>
        <v>Yetishmaydi</v>
      </c>
      <c r="I195" s="6"/>
    </row>
    <row r="196" customFormat="false" ht="23.85" hidden="false" customHeight="false" outlineLevel="0" collapsed="false">
      <c r="A196" s="6" t="s">
        <v>478</v>
      </c>
      <c r="B196" s="6" t="s">
        <v>479</v>
      </c>
      <c r="C196" s="6" t="s">
        <v>480</v>
      </c>
      <c r="D196" s="6" t="s">
        <v>481</v>
      </c>
      <c r="E196" s="6" t="n">
        <f aca="false">COUNTIFS(Katalog!$B:$B,A196,Katalog!$Q:$Q,"&lt;&gt;Ishlamaydi*")+COUNTIFS(Katalog!$C:$C,"*"&amp;A196&amp;"*",Katalog!$Q:$Q,"&lt;&gt;Ishlamaydi*")</f>
        <v>1</v>
      </c>
      <c r="F196" s="6"/>
      <c r="G196" s="6"/>
      <c r="H196" s="6" t="str">
        <f aca="false">IF(G196&lt;&gt;"","Takroriy",IF(E196=0,"Yetishmaydi",IF(F196="ha","Qisman to‘ldirilgan","Mavjud, lekin tekshirilmagan")))</f>
        <v>Mavjud, lekin tekshirilmagan</v>
      </c>
      <c r="I196" s="6"/>
    </row>
    <row r="197" customFormat="false" ht="23.85" hidden="false" customHeight="false" outlineLevel="0" collapsed="false">
      <c r="A197" s="6" t="s">
        <v>482</v>
      </c>
      <c r="B197" s="6" t="s">
        <v>479</v>
      </c>
      <c r="C197" s="6" t="s">
        <v>480</v>
      </c>
      <c r="D197" s="6" t="s">
        <v>483</v>
      </c>
      <c r="E197" s="6" t="n">
        <f aca="false">COUNTIFS(Katalog!$B:$B,A197,Katalog!$Q:$Q,"&lt;&gt;Ishlamaydi*")+COUNTIFS(Katalog!$C:$C,"*"&amp;A197&amp;"*",Katalog!$Q:$Q,"&lt;&gt;Ishlamaydi*")</f>
        <v>8</v>
      </c>
      <c r="F197" s="6"/>
      <c r="G197" s="6"/>
      <c r="H197" s="6" t="str">
        <f aca="false">IF(G197&lt;&gt;"","Takroriy",IF(E197=0,"Yetishmaydi",IF(F197="ha","Qisman to‘ldirilgan","Mavjud, lekin tekshirilmagan")))</f>
        <v>Mavjud, lekin tekshirilmagan</v>
      </c>
      <c r="I197" s="6" t="s">
        <v>484</v>
      </c>
    </row>
    <row r="198" customFormat="false" ht="23.85" hidden="false" customHeight="false" outlineLevel="0" collapsed="false">
      <c r="A198" s="6" t="s">
        <v>485</v>
      </c>
      <c r="B198" s="6" t="s">
        <v>479</v>
      </c>
      <c r="C198" s="6" t="s">
        <v>480</v>
      </c>
      <c r="D198" s="6" t="s">
        <v>486</v>
      </c>
      <c r="E198" s="6" t="n">
        <f aca="false">COUNTIFS(Katalog!$B:$B,A198,Katalog!$Q:$Q,"&lt;&gt;Ishlamaydi*")+COUNTIFS(Katalog!$C:$C,"*"&amp;A198&amp;"*",Katalog!$Q:$Q,"&lt;&gt;Ishlamaydi*")</f>
        <v>1</v>
      </c>
      <c r="F198" s="6"/>
      <c r="G198" s="6"/>
      <c r="H198" s="6" t="str">
        <f aca="false">IF(G198&lt;&gt;"","Takroriy",IF(E198=0,"Yetishmaydi",IF(F198="ha","Qisman to‘ldirilgan","Mavjud, lekin tekshirilmagan")))</f>
        <v>Mavjud, lekin tekshirilmagan</v>
      </c>
      <c r="I198" s="6"/>
    </row>
    <row r="199" customFormat="false" ht="23.85" hidden="false" customHeight="false" outlineLevel="0" collapsed="false">
      <c r="A199" s="6" t="s">
        <v>487</v>
      </c>
      <c r="B199" s="6" t="s">
        <v>479</v>
      </c>
      <c r="C199" s="6" t="s">
        <v>480</v>
      </c>
      <c r="D199" s="6" t="s">
        <v>488</v>
      </c>
      <c r="E199" s="6" t="n">
        <f aca="false">COUNTIFS(Katalog!$B:$B,A199,Katalog!$Q:$Q,"&lt;&gt;Ishlamaydi*")+COUNTIFS(Katalog!$C:$C,"*"&amp;A199&amp;"*",Katalog!$Q:$Q,"&lt;&gt;Ishlamaydi*")</f>
        <v>0</v>
      </c>
      <c r="F199" s="6"/>
      <c r="G199" s="6"/>
      <c r="H199" s="6" t="str">
        <f aca="false">IF(G199&lt;&gt;"","Takroriy",IF(E199=0,"Yetishmaydi",IF(F199="ha","Qisman to‘ldirilgan","Mavjud, lekin tekshirilmagan")))</f>
        <v>Yetishmaydi</v>
      </c>
      <c r="I199" s="6"/>
    </row>
    <row r="200" customFormat="false" ht="23.85" hidden="false" customHeight="false" outlineLevel="0" collapsed="false">
      <c r="A200" s="6" t="s">
        <v>489</v>
      </c>
      <c r="B200" s="6" t="s">
        <v>479</v>
      </c>
      <c r="C200" s="6" t="s">
        <v>480</v>
      </c>
      <c r="D200" s="6" t="s">
        <v>490</v>
      </c>
      <c r="E200" s="6" t="n">
        <f aca="false">COUNTIFS(Katalog!$B:$B,A200,Katalog!$Q:$Q,"&lt;&gt;Ishlamaydi*")+COUNTIFS(Katalog!$C:$C,"*"&amp;A200&amp;"*",Katalog!$Q:$Q,"&lt;&gt;Ishlamaydi*")</f>
        <v>0</v>
      </c>
      <c r="F200" s="6"/>
      <c r="G200" s="6"/>
      <c r="H200" s="6" t="str">
        <f aca="false">IF(G200&lt;&gt;"","Takroriy",IF(E200=0,"Yetishmaydi",IF(F200="ha","Qisman to‘ldirilgan","Mavjud, lekin tekshirilmagan")))</f>
        <v>Yetishmaydi</v>
      </c>
      <c r="I200" s="6"/>
    </row>
    <row r="201" customFormat="false" ht="23.85" hidden="false" customHeight="false" outlineLevel="0" collapsed="false">
      <c r="A201" s="6" t="s">
        <v>491</v>
      </c>
      <c r="B201" s="6" t="s">
        <v>479</v>
      </c>
      <c r="C201" s="6" t="s">
        <v>480</v>
      </c>
      <c r="D201" s="6" t="s">
        <v>492</v>
      </c>
      <c r="E201" s="6" t="n">
        <f aca="false">COUNTIFS(Katalog!$B:$B,A201,Katalog!$Q:$Q,"&lt;&gt;Ishlamaydi*")+COUNTIFS(Katalog!$C:$C,"*"&amp;A201&amp;"*",Katalog!$Q:$Q,"&lt;&gt;Ishlamaydi*")</f>
        <v>0</v>
      </c>
      <c r="F201" s="6"/>
      <c r="G201" s="6"/>
      <c r="H201" s="6" t="str">
        <f aca="false">IF(G201&lt;&gt;"","Takroriy",IF(E201=0,"Yetishmaydi",IF(F201="ha","Qisman to‘ldirilgan","Mavjud, lekin tekshirilmagan")))</f>
        <v>Yetishmaydi</v>
      </c>
      <c r="I201" s="6"/>
    </row>
    <row r="202" customFormat="false" ht="23.85" hidden="false" customHeight="false" outlineLevel="0" collapsed="false">
      <c r="A202" s="6" t="s">
        <v>493</v>
      </c>
      <c r="B202" s="6" t="s">
        <v>479</v>
      </c>
      <c r="C202" s="6" t="s">
        <v>480</v>
      </c>
      <c r="D202" s="6" t="s">
        <v>494</v>
      </c>
      <c r="E202" s="6" t="n">
        <f aca="false">COUNTIFS(Katalog!$B:$B,A202,Katalog!$Q:$Q,"&lt;&gt;Ishlamaydi*")+COUNTIFS(Katalog!$C:$C,"*"&amp;A202&amp;"*",Katalog!$Q:$Q,"&lt;&gt;Ishlamaydi*")</f>
        <v>1</v>
      </c>
      <c r="F202" s="6"/>
      <c r="G202" s="6"/>
      <c r="H202" s="6" t="str">
        <f aca="false">IF(G202&lt;&gt;"","Takroriy",IF(E202=0,"Yetishmaydi",IF(F202="ha","Qisman to‘ldirilgan","Mavjud, lekin tekshirilmagan")))</f>
        <v>Mavjud, lekin tekshirilmagan</v>
      </c>
      <c r="I202" s="6"/>
    </row>
    <row r="203" customFormat="false" ht="23.85" hidden="false" customHeight="false" outlineLevel="0" collapsed="false">
      <c r="A203" s="6" t="s">
        <v>495</v>
      </c>
      <c r="B203" s="6" t="s">
        <v>479</v>
      </c>
      <c r="C203" s="6" t="s">
        <v>480</v>
      </c>
      <c r="D203" s="6" t="s">
        <v>496</v>
      </c>
      <c r="E203" s="6" t="n">
        <f aca="false">COUNTIFS(Katalog!$B:$B,A203,Katalog!$Q:$Q,"&lt;&gt;Ishlamaydi*")+COUNTIFS(Katalog!$C:$C,"*"&amp;A203&amp;"*",Katalog!$Q:$Q,"&lt;&gt;Ishlamaydi*")</f>
        <v>1</v>
      </c>
      <c r="F203" s="6"/>
      <c r="G203" s="6"/>
      <c r="H203" s="6" t="str">
        <f aca="false">IF(G203&lt;&gt;"","Takroriy",IF(E203=0,"Yetishmaydi",IF(F203="ha","Qisman to‘ldirilgan","Mavjud, lekin tekshirilmagan")))</f>
        <v>Mavjud, lekin tekshirilmagan</v>
      </c>
      <c r="I203" s="6"/>
    </row>
    <row r="204" customFormat="false" ht="23.85" hidden="false" customHeight="false" outlineLevel="0" collapsed="false">
      <c r="A204" s="6" t="s">
        <v>497</v>
      </c>
      <c r="B204" s="6" t="s">
        <v>479</v>
      </c>
      <c r="C204" s="6" t="s">
        <v>480</v>
      </c>
      <c r="D204" s="6" t="s">
        <v>498</v>
      </c>
      <c r="E204" s="6" t="n">
        <f aca="false">COUNTIFS(Katalog!$B:$B,A204,Katalog!$Q:$Q,"&lt;&gt;Ishlamaydi*")+COUNTIFS(Katalog!$C:$C,"*"&amp;A204&amp;"*",Katalog!$Q:$Q,"&lt;&gt;Ishlamaydi*")</f>
        <v>0</v>
      </c>
      <c r="F204" s="6"/>
      <c r="G204" s="6" t="s">
        <v>499</v>
      </c>
      <c r="H204" s="6" t="str">
        <f aca="false">IF(G204&lt;&gt;"","Takroriy",IF(E204=0,"Yetishmaydi",IF(F204="ha","Qisman to‘ldirilgan","Mavjud, lekin tekshirilmagan")))</f>
        <v>Takroriy</v>
      </c>
      <c r="I204" s="6"/>
    </row>
    <row r="205" customFormat="false" ht="23.85" hidden="false" customHeight="false" outlineLevel="0" collapsed="false">
      <c r="A205" s="6" t="s">
        <v>500</v>
      </c>
      <c r="B205" s="6" t="s">
        <v>479</v>
      </c>
      <c r="C205" s="6" t="s">
        <v>480</v>
      </c>
      <c r="D205" s="6" t="s">
        <v>501</v>
      </c>
      <c r="E205" s="6" t="n">
        <f aca="false">COUNTIFS(Katalog!$B:$B,A205,Katalog!$Q:$Q,"&lt;&gt;Ishlamaydi*")+COUNTIFS(Katalog!$C:$C,"*"&amp;A205&amp;"*",Katalog!$Q:$Q,"&lt;&gt;Ishlamaydi*")</f>
        <v>0</v>
      </c>
      <c r="F205" s="6"/>
      <c r="G205" s="6"/>
      <c r="H205" s="6" t="str">
        <f aca="false">IF(G205&lt;&gt;"","Takroriy",IF(E205=0,"Yetishmaydi",IF(F205="ha","Qisman to‘ldirilgan","Mavjud, lekin tekshirilmagan")))</f>
        <v>Yetishmaydi</v>
      </c>
      <c r="I205" s="6"/>
    </row>
    <row r="206" customFormat="false" ht="23.85" hidden="false" customHeight="false" outlineLevel="0" collapsed="false">
      <c r="A206" s="6" t="s">
        <v>502</v>
      </c>
      <c r="B206" s="6" t="s">
        <v>503</v>
      </c>
      <c r="C206" s="6" t="s">
        <v>504</v>
      </c>
      <c r="D206" s="6" t="s">
        <v>505</v>
      </c>
      <c r="E206" s="6" t="n">
        <f aca="false">COUNTIFS(Katalog!$B:$B,A206,Katalog!$Q:$Q,"&lt;&gt;Ishlamaydi*")+COUNTIFS(Katalog!$C:$C,"*"&amp;A206&amp;"*",Katalog!$Q:$Q,"&lt;&gt;Ishlamaydi*")</f>
        <v>0</v>
      </c>
      <c r="F206" s="6"/>
      <c r="G206" s="6"/>
      <c r="H206" s="6" t="str">
        <f aca="false">IF(G206&lt;&gt;"","Takroriy",IF(E206=0,"Yetishmaydi",IF(F206="ha","Qisman to‘ldirilgan","Mavjud, lekin tekshirilmagan")))</f>
        <v>Yetishmaydi</v>
      </c>
      <c r="I206" s="6"/>
    </row>
    <row r="207" customFormat="false" ht="23.85" hidden="false" customHeight="false" outlineLevel="0" collapsed="false">
      <c r="A207" s="6" t="s">
        <v>506</v>
      </c>
      <c r="B207" s="6" t="s">
        <v>503</v>
      </c>
      <c r="C207" s="6" t="s">
        <v>504</v>
      </c>
      <c r="D207" s="6" t="s">
        <v>507</v>
      </c>
      <c r="E207" s="6" t="n">
        <f aca="false">COUNTIFS(Katalog!$B:$B,A207,Katalog!$Q:$Q,"&lt;&gt;Ishlamaydi*")+COUNTIFS(Katalog!$C:$C,"*"&amp;A207&amp;"*",Katalog!$Q:$Q,"&lt;&gt;Ishlamaydi*")</f>
        <v>2</v>
      </c>
      <c r="F207" s="6"/>
      <c r="G207" s="6"/>
      <c r="H207" s="6" t="str">
        <f aca="false">IF(G207&lt;&gt;"","Takroriy",IF(E207=0,"Yetishmaydi",IF(F207="ha","Qisman to‘ldirilgan","Mavjud, lekin tekshirilmagan")))</f>
        <v>Mavjud, lekin tekshirilmagan</v>
      </c>
      <c r="I207" s="6"/>
    </row>
    <row r="208" customFormat="false" ht="23.85" hidden="false" customHeight="false" outlineLevel="0" collapsed="false">
      <c r="A208" s="6" t="s">
        <v>508</v>
      </c>
      <c r="B208" s="6" t="s">
        <v>503</v>
      </c>
      <c r="C208" s="6" t="s">
        <v>504</v>
      </c>
      <c r="D208" s="6" t="s">
        <v>509</v>
      </c>
      <c r="E208" s="6" t="n">
        <f aca="false">COUNTIFS(Katalog!$B:$B,A208,Katalog!$Q:$Q,"&lt;&gt;Ishlamaydi*")+COUNTIFS(Katalog!$C:$C,"*"&amp;A208&amp;"*",Katalog!$Q:$Q,"&lt;&gt;Ishlamaydi*")</f>
        <v>0</v>
      </c>
      <c r="F208" s="6"/>
      <c r="G208" s="6"/>
      <c r="H208" s="6" t="str">
        <f aca="false">IF(G208&lt;&gt;"","Takroriy",IF(E208=0,"Yetishmaydi",IF(F208="ha","Qisman to‘ldirilgan","Mavjud, lekin tekshirilmagan")))</f>
        <v>Yetishmaydi</v>
      </c>
      <c r="I208" s="6"/>
    </row>
    <row r="209" customFormat="false" ht="23.85" hidden="false" customHeight="false" outlineLevel="0" collapsed="false">
      <c r="A209" s="6" t="s">
        <v>510</v>
      </c>
      <c r="B209" s="6" t="s">
        <v>503</v>
      </c>
      <c r="C209" s="6" t="s">
        <v>504</v>
      </c>
      <c r="D209" s="6" t="s">
        <v>511</v>
      </c>
      <c r="E209" s="6" t="n">
        <f aca="false">COUNTIFS(Katalog!$B:$B,A209,Katalog!$Q:$Q,"&lt;&gt;Ishlamaydi*")+COUNTIFS(Katalog!$C:$C,"*"&amp;A209&amp;"*",Katalog!$Q:$Q,"&lt;&gt;Ishlamaydi*")</f>
        <v>2</v>
      </c>
      <c r="F209" s="6"/>
      <c r="G209" s="6"/>
      <c r="H209" s="6" t="str">
        <f aca="false">IF(G209&lt;&gt;"","Takroriy",IF(E209=0,"Yetishmaydi",IF(F209="ha","Qisman to‘ldirilgan","Mavjud, lekin tekshirilmagan")))</f>
        <v>Mavjud, lekin tekshirilmagan</v>
      </c>
      <c r="I209" s="6"/>
    </row>
    <row r="210" customFormat="false" ht="23.85" hidden="false" customHeight="false" outlineLevel="0" collapsed="false">
      <c r="A210" s="6" t="s">
        <v>512</v>
      </c>
      <c r="B210" s="6" t="s">
        <v>503</v>
      </c>
      <c r="C210" s="6" t="s">
        <v>504</v>
      </c>
      <c r="D210" s="6" t="s">
        <v>513</v>
      </c>
      <c r="E210" s="6" t="n">
        <f aca="false">COUNTIFS(Katalog!$B:$B,A210,Katalog!$Q:$Q,"&lt;&gt;Ishlamaydi*")+COUNTIFS(Katalog!$C:$C,"*"&amp;A210&amp;"*",Katalog!$Q:$Q,"&lt;&gt;Ishlamaydi*")</f>
        <v>1</v>
      </c>
      <c r="F210" s="6"/>
      <c r="G210" s="6"/>
      <c r="H210" s="6" t="str">
        <f aca="false">IF(G210&lt;&gt;"","Takroriy",IF(E210=0,"Yetishmaydi",IF(F210="ha","Qisman to‘ldirilgan","Mavjud, lekin tekshirilmagan")))</f>
        <v>Mavjud, lekin tekshirilmagan</v>
      </c>
      <c r="I210" s="6"/>
    </row>
    <row r="211" customFormat="false" ht="23.85" hidden="false" customHeight="false" outlineLevel="0" collapsed="false">
      <c r="A211" s="6" t="s">
        <v>514</v>
      </c>
      <c r="B211" s="6" t="s">
        <v>503</v>
      </c>
      <c r="C211" s="6" t="s">
        <v>504</v>
      </c>
      <c r="D211" s="6" t="s">
        <v>515</v>
      </c>
      <c r="E211" s="6" t="n">
        <f aca="false">COUNTIFS(Katalog!$B:$B,A211,Katalog!$Q:$Q,"&lt;&gt;Ishlamaydi*")+COUNTIFS(Katalog!$C:$C,"*"&amp;A211&amp;"*",Katalog!$Q:$Q,"&lt;&gt;Ishlamaydi*")</f>
        <v>0</v>
      </c>
      <c r="F211" s="6"/>
      <c r="G211" s="6"/>
      <c r="H211" s="6" t="str">
        <f aca="false">IF(G211&lt;&gt;"","Takroriy",IF(E211=0,"Yetishmaydi",IF(F211="ha","Qisman to‘ldirilgan","Mavjud, lekin tekshirilmagan")))</f>
        <v>Yetishmaydi</v>
      </c>
      <c r="I211" s="6"/>
    </row>
    <row r="212" customFormat="false" ht="23.85" hidden="false" customHeight="false" outlineLevel="0" collapsed="false">
      <c r="A212" s="6" t="s">
        <v>516</v>
      </c>
      <c r="B212" s="6" t="s">
        <v>503</v>
      </c>
      <c r="C212" s="6" t="s">
        <v>504</v>
      </c>
      <c r="D212" s="6" t="s">
        <v>517</v>
      </c>
      <c r="E212" s="6" t="n">
        <f aca="false">COUNTIFS(Katalog!$B:$B,A212,Katalog!$Q:$Q,"&lt;&gt;Ishlamaydi*")+COUNTIFS(Katalog!$C:$C,"*"&amp;A212&amp;"*",Katalog!$Q:$Q,"&lt;&gt;Ishlamaydi*")</f>
        <v>0</v>
      </c>
      <c r="F212" s="6"/>
      <c r="G212" s="6"/>
      <c r="H212" s="6" t="str">
        <f aca="false">IF(G212&lt;&gt;"","Takroriy",IF(E212=0,"Yetishmaydi",IF(F212="ha","Qisman to‘ldirilgan","Mavjud, lekin tekshirilmagan")))</f>
        <v>Yetishmaydi</v>
      </c>
      <c r="I212" s="6"/>
    </row>
    <row r="213" customFormat="false" ht="23.85" hidden="false" customHeight="false" outlineLevel="0" collapsed="false">
      <c r="A213" s="6" t="s">
        <v>518</v>
      </c>
      <c r="B213" s="6" t="s">
        <v>503</v>
      </c>
      <c r="C213" s="6" t="s">
        <v>504</v>
      </c>
      <c r="D213" s="6" t="s">
        <v>519</v>
      </c>
      <c r="E213" s="6" t="n">
        <f aca="false">COUNTIFS(Katalog!$B:$B,A213,Katalog!$Q:$Q,"&lt;&gt;Ishlamaydi*")+COUNTIFS(Katalog!$C:$C,"*"&amp;A213&amp;"*",Katalog!$Q:$Q,"&lt;&gt;Ishlamaydi*")</f>
        <v>2</v>
      </c>
      <c r="F213" s="6"/>
      <c r="G213" s="6"/>
      <c r="H213" s="6" t="str">
        <f aca="false">IF(G213&lt;&gt;"","Takroriy",IF(E213=0,"Yetishmaydi",IF(F213="ha","Qisman to‘ldirilgan","Mavjud, lekin tekshirilmagan")))</f>
        <v>Mavjud, lekin tekshirilmagan</v>
      </c>
      <c r="I213" s="6"/>
    </row>
    <row r="214" customFormat="false" ht="23.85" hidden="false" customHeight="false" outlineLevel="0" collapsed="false">
      <c r="A214" s="6" t="s">
        <v>520</v>
      </c>
      <c r="B214" s="6" t="s">
        <v>503</v>
      </c>
      <c r="C214" s="6" t="s">
        <v>504</v>
      </c>
      <c r="D214" s="6" t="s">
        <v>521</v>
      </c>
      <c r="E214" s="6" t="n">
        <f aca="false">COUNTIFS(Katalog!$B:$B,A214,Katalog!$Q:$Q,"&lt;&gt;Ishlamaydi*")+COUNTIFS(Katalog!$C:$C,"*"&amp;A214&amp;"*",Katalog!$Q:$Q,"&lt;&gt;Ishlamaydi*")</f>
        <v>0</v>
      </c>
      <c r="F214" s="6"/>
      <c r="G214" s="6"/>
      <c r="H214" s="6" t="str">
        <f aca="false">IF(G214&lt;&gt;"","Takroriy",IF(E214=0,"Yetishmaydi",IF(F214="ha","Qisman to‘ldirilgan","Mavjud, lekin tekshirilmagan")))</f>
        <v>Yetishmaydi</v>
      </c>
      <c r="I214" s="6"/>
    </row>
    <row r="215" customFormat="false" ht="23.85" hidden="false" customHeight="false" outlineLevel="0" collapsed="false">
      <c r="A215" s="6" t="s">
        <v>522</v>
      </c>
      <c r="B215" s="6" t="s">
        <v>503</v>
      </c>
      <c r="C215" s="6" t="s">
        <v>504</v>
      </c>
      <c r="D215" s="6" t="s">
        <v>523</v>
      </c>
      <c r="E215" s="6" t="n">
        <f aca="false">COUNTIFS(Katalog!$B:$B,A215,Katalog!$Q:$Q,"&lt;&gt;Ishlamaydi*")+COUNTIFS(Katalog!$C:$C,"*"&amp;A215&amp;"*",Katalog!$Q:$Q,"&lt;&gt;Ishlamaydi*")</f>
        <v>0</v>
      </c>
      <c r="F215" s="6"/>
      <c r="G215" s="6"/>
      <c r="H215" s="6" t="str">
        <f aca="false">IF(G215&lt;&gt;"","Takroriy",IF(E215=0,"Yetishmaydi",IF(F215="ha","Qisman to‘ldirilgan","Mavjud, lekin tekshirilmagan")))</f>
        <v>Yetishmaydi</v>
      </c>
      <c r="I215" s="6"/>
    </row>
    <row r="216" customFormat="false" ht="23.85" hidden="false" customHeight="false" outlineLevel="0" collapsed="false">
      <c r="A216" s="6" t="s">
        <v>524</v>
      </c>
      <c r="B216" s="6" t="s">
        <v>525</v>
      </c>
      <c r="C216" s="6" t="s">
        <v>526</v>
      </c>
      <c r="D216" s="6" t="s">
        <v>527</v>
      </c>
      <c r="E216" s="6" t="n">
        <f aca="false">COUNTIFS(Katalog!$B:$B,A216,Katalog!$Q:$Q,"&lt;&gt;Ishlamaydi*")+COUNTIFS(Katalog!$C:$C,"*"&amp;A216&amp;"*",Katalog!$Q:$Q,"&lt;&gt;Ishlamaydi*")</f>
        <v>0</v>
      </c>
      <c r="F216" s="6"/>
      <c r="G216" s="6"/>
      <c r="H216" s="6" t="str">
        <f aca="false">IF(G216&lt;&gt;"","Takroriy",IF(E216=0,"Yetishmaydi",IF(F216="ha","Qisman to‘ldirilgan","Mavjud, lekin tekshirilmagan")))</f>
        <v>Yetishmaydi</v>
      </c>
      <c r="I216" s="6"/>
    </row>
    <row r="217" customFormat="false" ht="23.85" hidden="false" customHeight="false" outlineLevel="0" collapsed="false">
      <c r="A217" s="6" t="s">
        <v>528</v>
      </c>
      <c r="B217" s="6" t="s">
        <v>525</v>
      </c>
      <c r="C217" s="6" t="s">
        <v>526</v>
      </c>
      <c r="D217" s="6" t="s">
        <v>529</v>
      </c>
      <c r="E217" s="6" t="n">
        <f aca="false">COUNTIFS(Katalog!$B:$B,A217,Katalog!$Q:$Q,"&lt;&gt;Ishlamaydi*")+COUNTIFS(Katalog!$C:$C,"*"&amp;A217&amp;"*",Katalog!$Q:$Q,"&lt;&gt;Ishlamaydi*")</f>
        <v>0</v>
      </c>
      <c r="F217" s="6"/>
      <c r="G217" s="6"/>
      <c r="H217" s="6" t="str">
        <f aca="false">IF(G217&lt;&gt;"","Takroriy",IF(E217=0,"Yetishmaydi",IF(F217="ha","Qisman to‘ldirilgan","Mavjud, lekin tekshirilmagan")))</f>
        <v>Yetishmaydi</v>
      </c>
      <c r="I217" s="6"/>
    </row>
    <row r="218" customFormat="false" ht="23.85" hidden="false" customHeight="false" outlineLevel="0" collapsed="false">
      <c r="A218" s="6" t="s">
        <v>530</v>
      </c>
      <c r="B218" s="6" t="s">
        <v>525</v>
      </c>
      <c r="C218" s="6" t="s">
        <v>526</v>
      </c>
      <c r="D218" s="6" t="s">
        <v>531</v>
      </c>
      <c r="E218" s="6" t="n">
        <f aca="false">COUNTIFS(Katalog!$B:$B,A218,Katalog!$Q:$Q,"&lt;&gt;Ishlamaydi*")+COUNTIFS(Katalog!$C:$C,"*"&amp;A218&amp;"*",Katalog!$Q:$Q,"&lt;&gt;Ishlamaydi*")</f>
        <v>0</v>
      </c>
      <c r="F218" s="6"/>
      <c r="G218" s="6"/>
      <c r="H218" s="6" t="str">
        <f aca="false">IF(G218&lt;&gt;"","Takroriy",IF(E218=0,"Yetishmaydi",IF(F218="ha","Qisman to‘ldirilgan","Mavjud, lekin tekshirilmagan")))</f>
        <v>Yetishmaydi</v>
      </c>
      <c r="I218" s="6"/>
    </row>
    <row r="219" customFormat="false" ht="23.85" hidden="false" customHeight="false" outlineLevel="0" collapsed="false">
      <c r="A219" s="6" t="s">
        <v>532</v>
      </c>
      <c r="B219" s="6" t="s">
        <v>525</v>
      </c>
      <c r="C219" s="6" t="s">
        <v>526</v>
      </c>
      <c r="D219" s="6" t="s">
        <v>533</v>
      </c>
      <c r="E219" s="6" t="n">
        <f aca="false">COUNTIFS(Katalog!$B:$B,A219,Katalog!$Q:$Q,"&lt;&gt;Ishlamaydi*")+COUNTIFS(Katalog!$C:$C,"*"&amp;A219&amp;"*",Katalog!$Q:$Q,"&lt;&gt;Ishlamaydi*")</f>
        <v>0</v>
      </c>
      <c r="F219" s="6"/>
      <c r="G219" s="6"/>
      <c r="H219" s="6" t="str">
        <f aca="false">IF(G219&lt;&gt;"","Takroriy",IF(E219=0,"Yetishmaydi",IF(F219="ha","Qisman to‘ldirilgan","Mavjud, lekin tekshirilmagan")))</f>
        <v>Yetishmaydi</v>
      </c>
      <c r="I219" s="6"/>
    </row>
    <row r="220" customFormat="false" ht="23.85" hidden="false" customHeight="false" outlineLevel="0" collapsed="false">
      <c r="A220" s="6" t="s">
        <v>534</v>
      </c>
      <c r="B220" s="6" t="s">
        <v>525</v>
      </c>
      <c r="C220" s="6" t="s">
        <v>526</v>
      </c>
      <c r="D220" s="6" t="s">
        <v>535</v>
      </c>
      <c r="E220" s="6" t="n">
        <f aca="false">COUNTIFS(Katalog!$B:$B,A220,Katalog!$Q:$Q,"&lt;&gt;Ishlamaydi*")+COUNTIFS(Katalog!$C:$C,"*"&amp;A220&amp;"*",Katalog!$Q:$Q,"&lt;&gt;Ishlamaydi*")</f>
        <v>0</v>
      </c>
      <c r="F220" s="6"/>
      <c r="G220" s="6"/>
      <c r="H220" s="6" t="str">
        <f aca="false">IF(G220&lt;&gt;"","Takroriy",IF(E220=0,"Yetishmaydi",IF(F220="ha","Qisman to‘ldirilgan","Mavjud, lekin tekshirilmagan")))</f>
        <v>Yetishmaydi</v>
      </c>
      <c r="I220" s="6"/>
    </row>
    <row r="221" customFormat="false" ht="23.85" hidden="false" customHeight="false" outlineLevel="0" collapsed="false">
      <c r="A221" s="6" t="s">
        <v>536</v>
      </c>
      <c r="B221" s="6" t="s">
        <v>525</v>
      </c>
      <c r="C221" s="6" t="s">
        <v>526</v>
      </c>
      <c r="D221" s="6" t="s">
        <v>537</v>
      </c>
      <c r="E221" s="6" t="n">
        <f aca="false">COUNTIFS(Katalog!$B:$B,A221,Katalog!$Q:$Q,"&lt;&gt;Ishlamaydi*")+COUNTIFS(Katalog!$C:$C,"*"&amp;A221&amp;"*",Katalog!$Q:$Q,"&lt;&gt;Ishlamaydi*")</f>
        <v>0</v>
      </c>
      <c r="F221" s="6"/>
      <c r="G221" s="6"/>
      <c r="H221" s="6" t="str">
        <f aca="false">IF(G221&lt;&gt;"","Takroriy",IF(E221=0,"Yetishmaydi",IF(F221="ha","Qisman to‘ldirilgan","Mavjud, lekin tekshirilmagan")))</f>
        <v>Yetishmaydi</v>
      </c>
      <c r="I221" s="6"/>
    </row>
    <row r="222" customFormat="false" ht="23.85" hidden="false" customHeight="false" outlineLevel="0" collapsed="false">
      <c r="A222" s="6" t="s">
        <v>538</v>
      </c>
      <c r="B222" s="6" t="s">
        <v>525</v>
      </c>
      <c r="C222" s="6" t="s">
        <v>526</v>
      </c>
      <c r="D222" s="6" t="s">
        <v>539</v>
      </c>
      <c r="E222" s="6" t="n">
        <f aca="false">COUNTIFS(Katalog!$B:$B,A222,Katalog!$Q:$Q,"&lt;&gt;Ishlamaydi*")+COUNTIFS(Katalog!$C:$C,"*"&amp;A222&amp;"*",Katalog!$Q:$Q,"&lt;&gt;Ishlamaydi*")</f>
        <v>0</v>
      </c>
      <c r="F222" s="6"/>
      <c r="G222" s="6"/>
      <c r="H222" s="6" t="str">
        <f aca="false">IF(G222&lt;&gt;"","Takroriy",IF(E222=0,"Yetishmaydi",IF(F222="ha","Qisman to‘ldirilgan","Mavjud, lekin tekshirilmagan")))</f>
        <v>Yetishmaydi</v>
      </c>
      <c r="I222" s="6"/>
    </row>
    <row r="223" customFormat="false" ht="23.85" hidden="false" customHeight="false" outlineLevel="0" collapsed="false">
      <c r="A223" s="6" t="s">
        <v>540</v>
      </c>
      <c r="B223" s="6" t="s">
        <v>525</v>
      </c>
      <c r="C223" s="6" t="s">
        <v>526</v>
      </c>
      <c r="D223" s="6" t="s">
        <v>541</v>
      </c>
      <c r="E223" s="6" t="n">
        <f aca="false">COUNTIFS(Katalog!$B:$B,A223,Katalog!$Q:$Q,"&lt;&gt;Ishlamaydi*")+COUNTIFS(Katalog!$C:$C,"*"&amp;A223&amp;"*",Katalog!$Q:$Q,"&lt;&gt;Ishlamaydi*")</f>
        <v>0</v>
      </c>
      <c r="F223" s="6"/>
      <c r="G223" s="6"/>
      <c r="H223" s="6" t="str">
        <f aca="false">IF(G223&lt;&gt;"","Takroriy",IF(E223=0,"Yetishmaydi",IF(F223="ha","Qisman to‘ldirilgan","Mavjud, lekin tekshirilmagan")))</f>
        <v>Yetishmaydi</v>
      </c>
      <c r="I223" s="6"/>
    </row>
    <row r="224" customFormat="false" ht="23.85" hidden="false" customHeight="false" outlineLevel="0" collapsed="false">
      <c r="A224" s="6" t="s">
        <v>542</v>
      </c>
      <c r="B224" s="6" t="s">
        <v>525</v>
      </c>
      <c r="C224" s="6" t="s">
        <v>526</v>
      </c>
      <c r="D224" s="6" t="s">
        <v>543</v>
      </c>
      <c r="E224" s="6" t="n">
        <f aca="false">COUNTIFS(Katalog!$B:$B,A224,Katalog!$Q:$Q,"&lt;&gt;Ishlamaydi*")+COUNTIFS(Katalog!$C:$C,"*"&amp;A224&amp;"*",Katalog!$Q:$Q,"&lt;&gt;Ishlamaydi*")</f>
        <v>0</v>
      </c>
      <c r="F224" s="6"/>
      <c r="G224" s="6"/>
      <c r="H224" s="6" t="str">
        <f aca="false">IF(G224&lt;&gt;"","Takroriy",IF(E224=0,"Yetishmaydi",IF(F224="ha","Qisman to‘ldirilgan","Mavjud, lekin tekshirilmagan")))</f>
        <v>Yetishmaydi</v>
      </c>
      <c r="I224" s="6"/>
    </row>
    <row r="225" customFormat="false" ht="35.05" hidden="false" customHeight="false" outlineLevel="0" collapsed="false">
      <c r="A225" s="6" t="s">
        <v>544</v>
      </c>
      <c r="B225" s="6" t="s">
        <v>545</v>
      </c>
      <c r="C225" s="6" t="s">
        <v>546</v>
      </c>
      <c r="D225" s="6" t="s">
        <v>547</v>
      </c>
      <c r="E225" s="6" t="n">
        <f aca="false">COUNTIFS(Katalog!$B:$B,A225,Katalog!$Q:$Q,"&lt;&gt;Ishlamaydi*")+COUNTIFS(Katalog!$C:$C,"*"&amp;A225&amp;"*",Katalog!$Q:$Q,"&lt;&gt;Ishlamaydi*")</f>
        <v>0</v>
      </c>
      <c r="F225" s="6"/>
      <c r="G225" s="6"/>
      <c r="H225" s="6" t="str">
        <f aca="false">IF(G225&lt;&gt;"","Takroriy",IF(E225=0,"Yetishmaydi",IF(F225="ha","Qisman to‘ldirilgan","Mavjud, lekin tekshirilmagan")))</f>
        <v>Yetishmaydi</v>
      </c>
      <c r="I225" s="6"/>
    </row>
    <row r="226" customFormat="false" ht="35.05" hidden="false" customHeight="false" outlineLevel="0" collapsed="false">
      <c r="A226" s="6" t="s">
        <v>548</v>
      </c>
      <c r="B226" s="6" t="s">
        <v>545</v>
      </c>
      <c r="C226" s="6" t="s">
        <v>546</v>
      </c>
      <c r="D226" s="6" t="s">
        <v>549</v>
      </c>
      <c r="E226" s="6" t="n">
        <f aca="false">COUNTIFS(Katalog!$B:$B,A226,Katalog!$Q:$Q,"&lt;&gt;Ishlamaydi*")+COUNTIFS(Katalog!$C:$C,"*"&amp;A226&amp;"*",Katalog!$Q:$Q,"&lt;&gt;Ishlamaydi*")</f>
        <v>0</v>
      </c>
      <c r="F226" s="6"/>
      <c r="G226" s="6"/>
      <c r="H226" s="6" t="str">
        <f aca="false">IF(G226&lt;&gt;"","Takroriy",IF(E226=0,"Yetishmaydi",IF(F226="ha","Qisman to‘ldirilgan","Mavjud, lekin tekshirilmagan")))</f>
        <v>Yetishmaydi</v>
      </c>
      <c r="I226" s="6"/>
    </row>
    <row r="227" customFormat="false" ht="35.05" hidden="false" customHeight="false" outlineLevel="0" collapsed="false">
      <c r="A227" s="6" t="s">
        <v>550</v>
      </c>
      <c r="B227" s="6" t="s">
        <v>545</v>
      </c>
      <c r="C227" s="6" t="s">
        <v>546</v>
      </c>
      <c r="D227" s="6" t="s">
        <v>551</v>
      </c>
      <c r="E227" s="6" t="n">
        <f aca="false">COUNTIFS(Katalog!$B:$B,A227,Katalog!$Q:$Q,"&lt;&gt;Ishlamaydi*")+COUNTIFS(Katalog!$C:$C,"*"&amp;A227&amp;"*",Katalog!$Q:$Q,"&lt;&gt;Ishlamaydi*")</f>
        <v>0</v>
      </c>
      <c r="F227" s="6"/>
      <c r="G227" s="6"/>
      <c r="H227" s="6" t="str">
        <f aca="false">IF(G227&lt;&gt;"","Takroriy",IF(E227=0,"Yetishmaydi",IF(F227="ha","Qisman to‘ldirilgan","Mavjud, lekin tekshirilmagan")))</f>
        <v>Yetishmaydi</v>
      </c>
      <c r="I227" s="6"/>
    </row>
    <row r="228" customFormat="false" ht="35.05" hidden="false" customHeight="false" outlineLevel="0" collapsed="false">
      <c r="A228" s="6" t="s">
        <v>552</v>
      </c>
      <c r="B228" s="6" t="s">
        <v>545</v>
      </c>
      <c r="C228" s="6" t="s">
        <v>546</v>
      </c>
      <c r="D228" s="6" t="s">
        <v>553</v>
      </c>
      <c r="E228" s="6" t="n">
        <f aca="false">COUNTIFS(Katalog!$B:$B,A228,Katalog!$Q:$Q,"&lt;&gt;Ishlamaydi*")+COUNTIFS(Katalog!$C:$C,"*"&amp;A228&amp;"*",Katalog!$Q:$Q,"&lt;&gt;Ishlamaydi*")</f>
        <v>0</v>
      </c>
      <c r="F228" s="6"/>
      <c r="G228" s="6" t="s">
        <v>554</v>
      </c>
      <c r="H228" s="6" t="str">
        <f aca="false">IF(G228&lt;&gt;"","Takroriy",IF(E228=0,"Yetishmaydi",IF(F228="ha","Qisman to‘ldirilgan","Mavjud, lekin tekshirilmagan")))</f>
        <v>Takroriy</v>
      </c>
      <c r="I228" s="6"/>
    </row>
    <row r="229" customFormat="false" ht="35.05" hidden="false" customHeight="false" outlineLevel="0" collapsed="false">
      <c r="A229" s="6" t="s">
        <v>555</v>
      </c>
      <c r="B229" s="6" t="s">
        <v>545</v>
      </c>
      <c r="C229" s="6" t="s">
        <v>546</v>
      </c>
      <c r="D229" s="6" t="s">
        <v>556</v>
      </c>
      <c r="E229" s="6" t="n">
        <f aca="false">COUNTIFS(Katalog!$B:$B,A229,Katalog!$Q:$Q,"&lt;&gt;Ishlamaydi*")+COUNTIFS(Katalog!$C:$C,"*"&amp;A229&amp;"*",Katalog!$Q:$Q,"&lt;&gt;Ishlamaydi*")</f>
        <v>0</v>
      </c>
      <c r="F229" s="6"/>
      <c r="G229" s="6"/>
      <c r="H229" s="6" t="str">
        <f aca="false">IF(G229&lt;&gt;"","Takroriy",IF(E229=0,"Yetishmaydi",IF(F229="ha","Qisman to‘ldirilgan","Mavjud, lekin tekshirilmagan")))</f>
        <v>Yetishmaydi</v>
      </c>
      <c r="I229" s="6"/>
    </row>
    <row r="230" customFormat="false" ht="35.05" hidden="false" customHeight="false" outlineLevel="0" collapsed="false">
      <c r="A230" s="6" t="s">
        <v>557</v>
      </c>
      <c r="B230" s="6" t="s">
        <v>545</v>
      </c>
      <c r="C230" s="6" t="s">
        <v>546</v>
      </c>
      <c r="D230" s="6" t="s">
        <v>558</v>
      </c>
      <c r="E230" s="6" t="n">
        <f aca="false">COUNTIFS(Katalog!$B:$B,A230,Katalog!$Q:$Q,"&lt;&gt;Ishlamaydi*")+COUNTIFS(Katalog!$C:$C,"*"&amp;A230&amp;"*",Katalog!$Q:$Q,"&lt;&gt;Ishlamaydi*")</f>
        <v>1</v>
      </c>
      <c r="F230" s="6"/>
      <c r="G230" s="6" t="s">
        <v>559</v>
      </c>
      <c r="H230" s="6" t="str">
        <f aca="false">IF(G230&lt;&gt;"","Takroriy",IF(E230=0,"Yetishmaydi",IF(F230="ha","Qisman to‘ldirilgan","Mavjud, lekin tekshirilmagan")))</f>
        <v>Takroriy</v>
      </c>
      <c r="I230" s="6"/>
    </row>
    <row r="231" customFormat="false" ht="35.05" hidden="false" customHeight="false" outlineLevel="0" collapsed="false">
      <c r="A231" s="6" t="s">
        <v>560</v>
      </c>
      <c r="B231" s="6" t="s">
        <v>545</v>
      </c>
      <c r="C231" s="6" t="s">
        <v>546</v>
      </c>
      <c r="D231" s="6" t="s">
        <v>561</v>
      </c>
      <c r="E231" s="6" t="n">
        <f aca="false">COUNTIFS(Katalog!$B:$B,A231,Katalog!$Q:$Q,"&lt;&gt;Ishlamaydi*")+COUNTIFS(Katalog!$C:$C,"*"&amp;A231&amp;"*",Katalog!$Q:$Q,"&lt;&gt;Ishlamaydi*")</f>
        <v>0</v>
      </c>
      <c r="F231" s="6"/>
      <c r="G231" s="6"/>
      <c r="H231" s="6" t="str">
        <f aca="false">IF(G231&lt;&gt;"","Takroriy",IF(E231=0,"Yetishmaydi",IF(F231="ha","Qisman to‘ldirilgan","Mavjud, lekin tekshirilmagan")))</f>
        <v>Yetishmaydi</v>
      </c>
      <c r="I231" s="6"/>
    </row>
    <row r="232" customFormat="false" ht="35.05" hidden="false" customHeight="false" outlineLevel="0" collapsed="false">
      <c r="A232" s="6" t="s">
        <v>562</v>
      </c>
      <c r="B232" s="6" t="s">
        <v>545</v>
      </c>
      <c r="C232" s="6" t="s">
        <v>546</v>
      </c>
      <c r="D232" s="6" t="s">
        <v>563</v>
      </c>
      <c r="E232" s="6" t="n">
        <f aca="false">COUNTIFS(Katalog!$B:$B,A232,Katalog!$Q:$Q,"&lt;&gt;Ishlamaydi*")+COUNTIFS(Katalog!$C:$C,"*"&amp;A232&amp;"*",Katalog!$Q:$Q,"&lt;&gt;Ishlamaydi*")</f>
        <v>0</v>
      </c>
      <c r="F232" s="6"/>
      <c r="G232" s="6"/>
      <c r="H232" s="6" t="str">
        <f aca="false">IF(G232&lt;&gt;"","Takroriy",IF(E232=0,"Yetishmaydi",IF(F232="ha","Qisman to‘ldirilgan","Mavjud, lekin tekshirilmagan")))</f>
        <v>Yetishmaydi</v>
      </c>
      <c r="I232" s="6"/>
    </row>
    <row r="233" customFormat="false" ht="35.05" hidden="false" customHeight="false" outlineLevel="0" collapsed="false">
      <c r="A233" s="6" t="s">
        <v>564</v>
      </c>
      <c r="B233" s="6" t="s">
        <v>545</v>
      </c>
      <c r="C233" s="6" t="s">
        <v>565</v>
      </c>
      <c r="D233" s="6" t="s">
        <v>566</v>
      </c>
      <c r="E233" s="6" t="n">
        <f aca="false">COUNTIFS(Katalog!$B:$B,A233,Katalog!$Q:$Q,"&lt;&gt;Ishlamaydi*")+COUNTIFS(Katalog!$C:$C,"*"&amp;A233&amp;"*",Katalog!$Q:$Q,"&lt;&gt;Ishlamaydi*")</f>
        <v>0</v>
      </c>
      <c r="F233" s="6"/>
      <c r="G233" s="6"/>
      <c r="H233" s="6" t="str">
        <f aca="false">IF(G233&lt;&gt;"","Takroriy",IF(E233=0,"Yetishmaydi",IF(F233="ha","Qisman to‘ldirilgan","Mavjud, lekin tekshirilmagan")))</f>
        <v>Yetishmaydi</v>
      </c>
      <c r="I233" s="6"/>
    </row>
    <row r="234" customFormat="false" ht="35.05" hidden="false" customHeight="false" outlineLevel="0" collapsed="false">
      <c r="A234" s="6" t="s">
        <v>567</v>
      </c>
      <c r="B234" s="6" t="s">
        <v>545</v>
      </c>
      <c r="C234" s="6" t="s">
        <v>565</v>
      </c>
      <c r="D234" s="6" t="s">
        <v>568</v>
      </c>
      <c r="E234" s="6" t="n">
        <f aca="false">COUNTIFS(Katalog!$B:$B,A234,Katalog!$Q:$Q,"&lt;&gt;Ishlamaydi*")+COUNTIFS(Katalog!$C:$C,"*"&amp;A234&amp;"*",Katalog!$Q:$Q,"&lt;&gt;Ishlamaydi*")</f>
        <v>0</v>
      </c>
      <c r="F234" s="6"/>
      <c r="G234" s="6"/>
      <c r="H234" s="6" t="str">
        <f aca="false">IF(G234&lt;&gt;"","Takroriy",IF(E234=0,"Yetishmaydi",IF(F234="ha","Qisman to‘ldirilgan","Mavjud, lekin tekshirilmagan")))</f>
        <v>Yetishmaydi</v>
      </c>
      <c r="I234" s="6"/>
    </row>
    <row r="235" customFormat="false" ht="35.05" hidden="false" customHeight="false" outlineLevel="0" collapsed="false">
      <c r="A235" s="6" t="s">
        <v>569</v>
      </c>
      <c r="B235" s="6" t="s">
        <v>545</v>
      </c>
      <c r="C235" s="6" t="s">
        <v>565</v>
      </c>
      <c r="D235" s="6" t="s">
        <v>570</v>
      </c>
      <c r="E235" s="6" t="n">
        <f aca="false">COUNTIFS(Katalog!$B:$B,A235,Katalog!$Q:$Q,"&lt;&gt;Ishlamaydi*")+COUNTIFS(Katalog!$C:$C,"*"&amp;A235&amp;"*",Katalog!$Q:$Q,"&lt;&gt;Ishlamaydi*")</f>
        <v>0</v>
      </c>
      <c r="F235" s="6"/>
      <c r="G235" s="6"/>
      <c r="H235" s="6" t="str">
        <f aca="false">IF(G235&lt;&gt;"","Takroriy",IF(E235=0,"Yetishmaydi",IF(F235="ha","Qisman to‘ldirilgan","Mavjud, lekin tekshirilmagan")))</f>
        <v>Yetishmaydi</v>
      </c>
      <c r="I235" s="6"/>
    </row>
    <row r="236" customFormat="false" ht="35.05" hidden="false" customHeight="false" outlineLevel="0" collapsed="false">
      <c r="A236" s="6" t="s">
        <v>571</v>
      </c>
      <c r="B236" s="6" t="s">
        <v>545</v>
      </c>
      <c r="C236" s="6" t="s">
        <v>565</v>
      </c>
      <c r="D236" s="6" t="s">
        <v>572</v>
      </c>
      <c r="E236" s="6" t="n">
        <f aca="false">COUNTIFS(Katalog!$B:$B,A236,Katalog!$Q:$Q,"&lt;&gt;Ishlamaydi*")+COUNTIFS(Katalog!$C:$C,"*"&amp;A236&amp;"*",Katalog!$Q:$Q,"&lt;&gt;Ishlamaydi*")</f>
        <v>0</v>
      </c>
      <c r="F236" s="6"/>
      <c r="G236" s="6"/>
      <c r="H236" s="6" t="str">
        <f aca="false">IF(G236&lt;&gt;"","Takroriy",IF(E236=0,"Yetishmaydi",IF(F236="ha","Qisman to‘ldirilgan","Mavjud, lekin tekshirilmagan")))</f>
        <v>Yetishmaydi</v>
      </c>
      <c r="I236" s="6"/>
    </row>
    <row r="237" customFormat="false" ht="35.05" hidden="false" customHeight="false" outlineLevel="0" collapsed="false">
      <c r="A237" s="6" t="s">
        <v>573</v>
      </c>
      <c r="B237" s="6" t="s">
        <v>545</v>
      </c>
      <c r="C237" s="6" t="s">
        <v>565</v>
      </c>
      <c r="D237" s="6" t="s">
        <v>574</v>
      </c>
      <c r="E237" s="6" t="n">
        <f aca="false">COUNTIFS(Katalog!$B:$B,A237,Katalog!$Q:$Q,"&lt;&gt;Ishlamaydi*")+COUNTIFS(Katalog!$C:$C,"*"&amp;A237&amp;"*",Katalog!$Q:$Q,"&lt;&gt;Ishlamaydi*")</f>
        <v>0</v>
      </c>
      <c r="F237" s="6"/>
      <c r="G237" s="6"/>
      <c r="H237" s="6" t="str">
        <f aca="false">IF(G237&lt;&gt;"","Takroriy",IF(E237=0,"Yetishmaydi",IF(F237="ha","Qisman to‘ldirilgan","Mavjud, lekin tekshirilmagan")))</f>
        <v>Yetishmaydi</v>
      </c>
      <c r="I237" s="6"/>
    </row>
    <row r="238" customFormat="false" ht="35.05" hidden="false" customHeight="false" outlineLevel="0" collapsed="false">
      <c r="A238" s="6" t="s">
        <v>575</v>
      </c>
      <c r="B238" s="6" t="s">
        <v>545</v>
      </c>
      <c r="C238" s="6" t="s">
        <v>565</v>
      </c>
      <c r="D238" s="6" t="s">
        <v>576</v>
      </c>
      <c r="E238" s="6" t="n">
        <f aca="false">COUNTIFS(Katalog!$B:$B,A238,Katalog!$Q:$Q,"&lt;&gt;Ishlamaydi*")+COUNTIFS(Katalog!$C:$C,"*"&amp;A238&amp;"*",Katalog!$Q:$Q,"&lt;&gt;Ishlamaydi*")</f>
        <v>0</v>
      </c>
      <c r="F238" s="6"/>
      <c r="G238" s="6"/>
      <c r="H238" s="6" t="str">
        <f aca="false">IF(G238&lt;&gt;"","Takroriy",IF(E238=0,"Yetishmaydi",IF(F238="ha","Qisman to‘ldirilgan","Mavjud, lekin tekshirilmagan")))</f>
        <v>Yetishmaydi</v>
      </c>
      <c r="I238" s="6"/>
    </row>
    <row r="239" customFormat="false" ht="35.05" hidden="false" customHeight="false" outlineLevel="0" collapsed="false">
      <c r="A239" s="6" t="s">
        <v>577</v>
      </c>
      <c r="B239" s="6" t="s">
        <v>545</v>
      </c>
      <c r="C239" s="6" t="s">
        <v>565</v>
      </c>
      <c r="D239" s="6" t="s">
        <v>578</v>
      </c>
      <c r="E239" s="6" t="n">
        <f aca="false">COUNTIFS(Katalog!$B:$B,A239,Katalog!$Q:$Q,"&lt;&gt;Ishlamaydi*")+COUNTIFS(Katalog!$C:$C,"*"&amp;A239&amp;"*",Katalog!$Q:$Q,"&lt;&gt;Ishlamaydi*")</f>
        <v>0</v>
      </c>
      <c r="F239" s="6"/>
      <c r="G239" s="6"/>
      <c r="H239" s="6" t="str">
        <f aca="false">IF(G239&lt;&gt;"","Takroriy",IF(E239=0,"Yetishmaydi",IF(F239="ha","Qisman to‘ldirilgan","Mavjud, lekin tekshirilmagan")))</f>
        <v>Yetishmaydi</v>
      </c>
      <c r="I239" s="6"/>
    </row>
    <row r="240" customFormat="false" ht="35.05" hidden="false" customHeight="false" outlineLevel="0" collapsed="false">
      <c r="A240" s="6" t="s">
        <v>579</v>
      </c>
      <c r="B240" s="6" t="s">
        <v>545</v>
      </c>
      <c r="C240" s="6" t="s">
        <v>580</v>
      </c>
      <c r="D240" s="6" t="s">
        <v>581</v>
      </c>
      <c r="E240" s="6" t="n">
        <f aca="false">COUNTIFS(Katalog!$B:$B,A240,Katalog!$Q:$Q,"&lt;&gt;Ishlamaydi*")+COUNTIFS(Katalog!$C:$C,"*"&amp;A240&amp;"*",Katalog!$Q:$Q,"&lt;&gt;Ishlamaydi*")</f>
        <v>0</v>
      </c>
      <c r="F240" s="6"/>
      <c r="G240" s="6"/>
      <c r="H240" s="6" t="str">
        <f aca="false">IF(G240&lt;&gt;"","Takroriy",IF(E240=0,"Yetishmaydi",IF(F240="ha","Qisman to‘ldirilgan","Mavjud, lekin tekshirilmagan")))</f>
        <v>Yetishmaydi</v>
      </c>
      <c r="I240" s="6"/>
    </row>
    <row r="241" customFormat="false" ht="35.05" hidden="false" customHeight="false" outlineLevel="0" collapsed="false">
      <c r="A241" s="6" t="s">
        <v>582</v>
      </c>
      <c r="B241" s="6" t="s">
        <v>545</v>
      </c>
      <c r="C241" s="6" t="s">
        <v>580</v>
      </c>
      <c r="D241" s="6" t="s">
        <v>583</v>
      </c>
      <c r="E241" s="6" t="n">
        <f aca="false">COUNTIFS(Katalog!$B:$B,A241,Katalog!$Q:$Q,"&lt;&gt;Ishlamaydi*")+COUNTIFS(Katalog!$C:$C,"*"&amp;A241&amp;"*",Katalog!$Q:$Q,"&lt;&gt;Ishlamaydi*")</f>
        <v>0</v>
      </c>
      <c r="F241" s="6"/>
      <c r="G241" s="6"/>
      <c r="H241" s="6" t="str">
        <f aca="false">IF(G241&lt;&gt;"","Takroriy",IF(E241=0,"Yetishmaydi",IF(F241="ha","Qisman to‘ldirilgan","Mavjud, lekin tekshirilmagan")))</f>
        <v>Yetishmaydi</v>
      </c>
      <c r="I241" s="6"/>
    </row>
    <row r="242" customFormat="false" ht="35.05" hidden="false" customHeight="false" outlineLevel="0" collapsed="false">
      <c r="A242" s="6" t="s">
        <v>584</v>
      </c>
      <c r="B242" s="6" t="s">
        <v>545</v>
      </c>
      <c r="C242" s="6" t="s">
        <v>580</v>
      </c>
      <c r="D242" s="6" t="s">
        <v>585</v>
      </c>
      <c r="E242" s="6" t="n">
        <f aca="false">COUNTIFS(Katalog!$B:$B,A242,Katalog!$Q:$Q,"&lt;&gt;Ishlamaydi*")+COUNTIFS(Katalog!$C:$C,"*"&amp;A242&amp;"*",Katalog!$Q:$Q,"&lt;&gt;Ishlamaydi*")</f>
        <v>0</v>
      </c>
      <c r="F242" s="6"/>
      <c r="G242" s="6" t="s">
        <v>586</v>
      </c>
      <c r="H242" s="6" t="str">
        <f aca="false">IF(G242&lt;&gt;"","Takroriy",IF(E242=0,"Yetishmaydi",IF(F242="ha","Qisman to‘ldirilgan","Mavjud, lekin tekshirilmagan")))</f>
        <v>Takroriy</v>
      </c>
      <c r="I242" s="6"/>
    </row>
    <row r="243" customFormat="false" ht="35.05" hidden="false" customHeight="false" outlineLevel="0" collapsed="false">
      <c r="A243" s="6" t="s">
        <v>587</v>
      </c>
      <c r="B243" s="6" t="s">
        <v>545</v>
      </c>
      <c r="C243" s="6" t="s">
        <v>580</v>
      </c>
      <c r="D243" s="6" t="s">
        <v>588</v>
      </c>
      <c r="E243" s="6" t="n">
        <f aca="false">COUNTIFS(Katalog!$B:$B,A243,Katalog!$Q:$Q,"&lt;&gt;Ishlamaydi*")+COUNTIFS(Katalog!$C:$C,"*"&amp;A243&amp;"*",Katalog!$Q:$Q,"&lt;&gt;Ishlamaydi*")</f>
        <v>0</v>
      </c>
      <c r="F243" s="6"/>
      <c r="G243" s="6"/>
      <c r="H243" s="6" t="str">
        <f aca="false">IF(G243&lt;&gt;"","Takroriy",IF(E243=0,"Yetishmaydi",IF(F243="ha","Qisman to‘ldirilgan","Mavjud, lekin tekshirilmagan")))</f>
        <v>Yetishmaydi</v>
      </c>
      <c r="I243" s="6"/>
    </row>
    <row r="244" customFormat="false" ht="35.05" hidden="false" customHeight="false" outlineLevel="0" collapsed="false">
      <c r="A244" s="6" t="s">
        <v>589</v>
      </c>
      <c r="B244" s="6" t="s">
        <v>545</v>
      </c>
      <c r="C244" s="6" t="s">
        <v>580</v>
      </c>
      <c r="D244" s="6" t="s">
        <v>590</v>
      </c>
      <c r="E244" s="6" t="n">
        <f aca="false">COUNTIFS(Katalog!$B:$B,A244,Katalog!$Q:$Q,"&lt;&gt;Ishlamaydi*")+COUNTIFS(Katalog!$C:$C,"*"&amp;A244&amp;"*",Katalog!$Q:$Q,"&lt;&gt;Ishlamaydi*")</f>
        <v>0</v>
      </c>
      <c r="F244" s="6"/>
      <c r="G244" s="6"/>
      <c r="H244" s="6" t="str">
        <f aca="false">IF(G244&lt;&gt;"","Takroriy",IF(E244=0,"Yetishmaydi",IF(F244="ha","Qisman to‘ldirilgan","Mavjud, lekin tekshirilmagan")))</f>
        <v>Yetishmaydi</v>
      </c>
      <c r="I244" s="6"/>
    </row>
    <row r="245" customFormat="false" ht="35.05" hidden="false" customHeight="false" outlineLevel="0" collapsed="false">
      <c r="A245" s="6" t="s">
        <v>591</v>
      </c>
      <c r="B245" s="6" t="s">
        <v>545</v>
      </c>
      <c r="C245" s="6" t="s">
        <v>580</v>
      </c>
      <c r="D245" s="6" t="s">
        <v>592</v>
      </c>
      <c r="E245" s="6" t="n">
        <f aca="false">COUNTIFS(Katalog!$B:$B,A245,Katalog!$Q:$Q,"&lt;&gt;Ishlamaydi*")+COUNTIFS(Katalog!$C:$C,"*"&amp;A245&amp;"*",Katalog!$Q:$Q,"&lt;&gt;Ishlamaydi*")</f>
        <v>0</v>
      </c>
      <c r="F245" s="6"/>
      <c r="G245" s="6"/>
      <c r="H245" s="6" t="str">
        <f aca="false">IF(G245&lt;&gt;"","Takroriy",IF(E245=0,"Yetishmaydi",IF(F245="ha","Qisman to‘ldirilgan","Mavjud, lekin tekshirilmagan")))</f>
        <v>Yetishmaydi</v>
      </c>
      <c r="I245" s="6"/>
    </row>
    <row r="246" customFormat="false" ht="35.05" hidden="false" customHeight="false" outlineLevel="0" collapsed="false">
      <c r="A246" s="6" t="s">
        <v>593</v>
      </c>
      <c r="B246" s="6" t="s">
        <v>545</v>
      </c>
      <c r="C246" s="6" t="s">
        <v>580</v>
      </c>
      <c r="D246" s="6" t="s">
        <v>594</v>
      </c>
      <c r="E246" s="6" t="n">
        <f aca="false">COUNTIFS(Katalog!$B:$B,A246,Katalog!$Q:$Q,"&lt;&gt;Ishlamaydi*")+COUNTIFS(Katalog!$C:$C,"*"&amp;A246&amp;"*",Katalog!$Q:$Q,"&lt;&gt;Ishlamaydi*")</f>
        <v>0</v>
      </c>
      <c r="F246" s="6"/>
      <c r="G246" s="6"/>
      <c r="H246" s="6" t="str">
        <f aca="false">IF(G246&lt;&gt;"","Takroriy",IF(E246=0,"Yetishmaydi",IF(F246="ha","Qisman to‘ldirilgan","Mavjud, lekin tekshirilmagan")))</f>
        <v>Yetishmaydi</v>
      </c>
      <c r="I246" s="6"/>
    </row>
    <row r="247" customFormat="false" ht="35.05" hidden="false" customHeight="false" outlineLevel="0" collapsed="false">
      <c r="A247" s="6" t="s">
        <v>595</v>
      </c>
      <c r="B247" s="6" t="s">
        <v>596</v>
      </c>
      <c r="C247" s="6" t="s">
        <v>597</v>
      </c>
      <c r="D247" s="6" t="s">
        <v>598</v>
      </c>
      <c r="E247" s="6" t="n">
        <f aca="false">COUNTIFS(Katalog!$B:$B,A247,Katalog!$Q:$Q,"&lt;&gt;Ishlamaydi*")+COUNTIFS(Katalog!$C:$C,"*"&amp;A247&amp;"*",Katalog!$Q:$Q,"&lt;&gt;Ishlamaydi*")</f>
        <v>0</v>
      </c>
      <c r="F247" s="6"/>
      <c r="G247" s="6" t="s">
        <v>599</v>
      </c>
      <c r="H247" s="6" t="str">
        <f aca="false">IF(G247&lt;&gt;"","Takroriy",IF(E247=0,"Yetishmaydi",IF(F247="ha","Qisman to‘ldirilgan","Mavjud, lekin tekshirilmagan")))</f>
        <v>Takroriy</v>
      </c>
      <c r="I247" s="6"/>
    </row>
    <row r="248" customFormat="false" ht="35.05" hidden="false" customHeight="false" outlineLevel="0" collapsed="false">
      <c r="A248" s="6" t="s">
        <v>600</v>
      </c>
      <c r="B248" s="6" t="s">
        <v>596</v>
      </c>
      <c r="C248" s="6" t="s">
        <v>597</v>
      </c>
      <c r="D248" s="6" t="s">
        <v>601</v>
      </c>
      <c r="E248" s="6" t="n">
        <f aca="false">COUNTIFS(Katalog!$B:$B,A248,Katalog!$Q:$Q,"&lt;&gt;Ishlamaydi*")+COUNTIFS(Katalog!$C:$C,"*"&amp;A248&amp;"*",Katalog!$Q:$Q,"&lt;&gt;Ishlamaydi*")</f>
        <v>0</v>
      </c>
      <c r="F248" s="6"/>
      <c r="G248" s="6"/>
      <c r="H248" s="6" t="str">
        <f aca="false">IF(G248&lt;&gt;"","Takroriy",IF(E248=0,"Yetishmaydi",IF(F248="ha","Qisman to‘ldirilgan","Mavjud, lekin tekshirilmagan")))</f>
        <v>Yetishmaydi</v>
      </c>
      <c r="I248" s="6"/>
    </row>
    <row r="249" customFormat="false" ht="35.05" hidden="false" customHeight="false" outlineLevel="0" collapsed="false">
      <c r="A249" s="6" t="s">
        <v>602</v>
      </c>
      <c r="B249" s="6" t="s">
        <v>596</v>
      </c>
      <c r="C249" s="6" t="s">
        <v>597</v>
      </c>
      <c r="D249" s="6" t="s">
        <v>603</v>
      </c>
      <c r="E249" s="6" t="n">
        <f aca="false">COUNTIFS(Katalog!$B:$B,A249,Katalog!$Q:$Q,"&lt;&gt;Ishlamaydi*")+COUNTIFS(Katalog!$C:$C,"*"&amp;A249&amp;"*",Katalog!$Q:$Q,"&lt;&gt;Ishlamaydi*")</f>
        <v>0</v>
      </c>
      <c r="F249" s="6"/>
      <c r="G249" s="6"/>
      <c r="H249" s="6" t="str">
        <f aca="false">IF(G249&lt;&gt;"","Takroriy",IF(E249=0,"Yetishmaydi",IF(F249="ha","Qisman to‘ldirilgan","Mavjud, lekin tekshirilmagan")))</f>
        <v>Yetishmaydi</v>
      </c>
      <c r="I249" s="6"/>
    </row>
    <row r="250" customFormat="false" ht="35.05" hidden="false" customHeight="false" outlineLevel="0" collapsed="false">
      <c r="A250" s="6" t="s">
        <v>604</v>
      </c>
      <c r="B250" s="6" t="s">
        <v>596</v>
      </c>
      <c r="C250" s="6" t="s">
        <v>597</v>
      </c>
      <c r="D250" s="6" t="s">
        <v>605</v>
      </c>
      <c r="E250" s="6" t="n">
        <f aca="false">COUNTIFS(Katalog!$B:$B,A250,Katalog!$Q:$Q,"&lt;&gt;Ishlamaydi*")+COUNTIFS(Katalog!$C:$C,"*"&amp;A250&amp;"*",Katalog!$Q:$Q,"&lt;&gt;Ishlamaydi*")</f>
        <v>1</v>
      </c>
      <c r="F250" s="6"/>
      <c r="G250" s="6"/>
      <c r="H250" s="6" t="str">
        <f aca="false">IF(G250&lt;&gt;"","Takroriy",IF(E250=0,"Yetishmaydi",IF(F250="ha","Qisman to‘ldirilgan","Mavjud, lekin tekshirilmagan")))</f>
        <v>Mavjud, lekin tekshirilmagan</v>
      </c>
      <c r="I250" s="6"/>
    </row>
    <row r="251" customFormat="false" ht="35.05" hidden="false" customHeight="false" outlineLevel="0" collapsed="false">
      <c r="A251" s="6" t="s">
        <v>606</v>
      </c>
      <c r="B251" s="6" t="s">
        <v>596</v>
      </c>
      <c r="C251" s="6" t="s">
        <v>597</v>
      </c>
      <c r="D251" s="6" t="s">
        <v>607</v>
      </c>
      <c r="E251" s="6" t="n">
        <f aca="false">COUNTIFS(Katalog!$B:$B,A251,Katalog!$Q:$Q,"&lt;&gt;Ishlamaydi*")+COUNTIFS(Katalog!$C:$C,"*"&amp;A251&amp;"*",Katalog!$Q:$Q,"&lt;&gt;Ishlamaydi*")</f>
        <v>0</v>
      </c>
      <c r="F251" s="6"/>
      <c r="G251" s="6"/>
      <c r="H251" s="6" t="str">
        <f aca="false">IF(G251&lt;&gt;"","Takroriy",IF(E251=0,"Yetishmaydi",IF(F251="ha","Qisman to‘ldirilgan","Mavjud, lekin tekshirilmagan")))</f>
        <v>Yetishmaydi</v>
      </c>
      <c r="I251" s="6"/>
    </row>
    <row r="252" customFormat="false" ht="35.05" hidden="false" customHeight="false" outlineLevel="0" collapsed="false">
      <c r="A252" s="6" t="s">
        <v>608</v>
      </c>
      <c r="B252" s="6" t="s">
        <v>596</v>
      </c>
      <c r="C252" s="6" t="s">
        <v>597</v>
      </c>
      <c r="D252" s="6" t="s">
        <v>609</v>
      </c>
      <c r="E252" s="6" t="n">
        <f aca="false">COUNTIFS(Katalog!$B:$B,A252,Katalog!$Q:$Q,"&lt;&gt;Ishlamaydi*")+COUNTIFS(Katalog!$C:$C,"*"&amp;A252&amp;"*",Katalog!$Q:$Q,"&lt;&gt;Ishlamaydi*")</f>
        <v>1</v>
      </c>
      <c r="F252" s="6"/>
      <c r="G252" s="6"/>
      <c r="H252" s="6" t="str">
        <f aca="false">IF(G252&lt;&gt;"","Takroriy",IF(E252=0,"Yetishmaydi",IF(F252="ha","Qisman to‘ldirilgan","Mavjud, lekin tekshirilmagan")))</f>
        <v>Mavjud, lekin tekshirilmagan</v>
      </c>
      <c r="I252" s="6"/>
    </row>
    <row r="253" customFormat="false" ht="35.05" hidden="false" customHeight="false" outlineLevel="0" collapsed="false">
      <c r="A253" s="6" t="s">
        <v>610</v>
      </c>
      <c r="B253" s="6" t="s">
        <v>596</v>
      </c>
      <c r="C253" s="6" t="s">
        <v>597</v>
      </c>
      <c r="D253" s="6" t="s">
        <v>611</v>
      </c>
      <c r="E253" s="6" t="n">
        <f aca="false">COUNTIFS(Katalog!$B:$B,A253,Katalog!$Q:$Q,"&lt;&gt;Ishlamaydi*")+COUNTIFS(Katalog!$C:$C,"*"&amp;A253&amp;"*",Katalog!$Q:$Q,"&lt;&gt;Ishlamaydi*")</f>
        <v>0</v>
      </c>
      <c r="F253" s="6"/>
      <c r="G253" s="6"/>
      <c r="H253" s="6" t="str">
        <f aca="false">IF(G253&lt;&gt;"","Takroriy",IF(E253=0,"Yetishmaydi",IF(F253="ha","Qisman to‘ldirilgan","Mavjud, lekin tekshirilmagan")))</f>
        <v>Yetishmaydi</v>
      </c>
      <c r="I253" s="6"/>
    </row>
    <row r="254" customFormat="false" ht="35.05" hidden="false" customHeight="false" outlineLevel="0" collapsed="false">
      <c r="A254" s="6" t="s">
        <v>612</v>
      </c>
      <c r="B254" s="6" t="s">
        <v>596</v>
      </c>
      <c r="C254" s="6" t="s">
        <v>597</v>
      </c>
      <c r="D254" s="6" t="s">
        <v>613</v>
      </c>
      <c r="E254" s="6" t="n">
        <f aca="false">COUNTIFS(Katalog!$B:$B,A254,Katalog!$Q:$Q,"&lt;&gt;Ishlamaydi*")+COUNTIFS(Katalog!$C:$C,"*"&amp;A254&amp;"*",Katalog!$Q:$Q,"&lt;&gt;Ishlamaydi*")</f>
        <v>0</v>
      </c>
      <c r="F254" s="6"/>
      <c r="G254" s="6"/>
      <c r="H254" s="6" t="str">
        <f aca="false">IF(G254&lt;&gt;"","Takroriy",IF(E254=0,"Yetishmaydi",IF(F254="ha","Qisman to‘ldirilgan","Mavjud, lekin tekshirilmagan")))</f>
        <v>Yetishmaydi</v>
      </c>
      <c r="I254" s="6"/>
    </row>
  </sheetData>
  <autoFilter ref="A1:I254"/>
  <conditionalFormatting sqref="H2:H254">
    <cfRule type="expression" priority="2" aboveAverage="0" equalAverage="0" bottom="0" percent="0" rank="0" text="" dxfId="7">
      <formula>$H2="Yetishmaydi"</formula>
    </cfRule>
    <cfRule type="expression" priority="3" aboveAverage="0" equalAverage="0" bottom="0" percent="0" rank="0" text="" dxfId="8">
      <formula>$H2="Qisman to‘ldirilgan"</formula>
    </cfRule>
    <cfRule type="expression" priority="4" aboveAverage="0" equalAverage="0" bottom="0" percent="0" rank="0" text="" dxfId="9">
      <formula>$H2="Mavjud, lekin tekshirilmagan"</formula>
    </cfRule>
    <cfRule type="expression" priority="5" aboveAverage="0" equalAverage="0" bottom="0" percent="0" rank="0" text="" dxfId="10">
      <formula>$H2="Takroriy"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60"/>
    <col collapsed="false" customWidth="true" hidden="false" outlineLevel="0" max="3" min="3" style="0" width="10"/>
    <col collapsed="false" customWidth="true" hidden="false" outlineLevel="0" max="4" min="4" style="0" width="30"/>
    <col collapsed="false" customWidth="true" hidden="false" outlineLevel="0" max="5" min="5" style="0" width="70"/>
    <col collapsed="false" customWidth="true" hidden="false" outlineLevel="0" max="6" min="6" style="0" width="14"/>
  </cols>
  <sheetData>
    <row r="1" customFormat="false" ht="31.5" hidden="false" customHeight="true" outlineLevel="0" collapsed="false">
      <c r="A1" s="5" t="s">
        <v>34</v>
      </c>
      <c r="B1" s="5" t="s">
        <v>37</v>
      </c>
      <c r="C1" s="5" t="s">
        <v>614</v>
      </c>
      <c r="D1" s="5" t="s">
        <v>41</v>
      </c>
      <c r="E1" s="5" t="s">
        <v>615</v>
      </c>
      <c r="F1" s="5" t="s">
        <v>616</v>
      </c>
    </row>
    <row r="2" customFormat="false" ht="23.85" hidden="false" customHeight="false" outlineLevel="0" collapsed="false">
      <c r="A2" s="6" t="s">
        <v>53</v>
      </c>
      <c r="B2" s="6" t="s">
        <v>54</v>
      </c>
      <c r="C2" s="6" t="n">
        <v>1</v>
      </c>
      <c r="D2" s="7" t="s">
        <v>617</v>
      </c>
      <c r="E2" s="6" t="s">
        <v>618</v>
      </c>
      <c r="F2" s="6" t="s">
        <v>2</v>
      </c>
    </row>
    <row r="3" customFormat="false" ht="23.85" hidden="false" customHeight="false" outlineLevel="0" collapsed="false">
      <c r="A3" s="6" t="s">
        <v>61</v>
      </c>
      <c r="B3" s="6" t="s">
        <v>62</v>
      </c>
      <c r="C3" s="6" t="n">
        <v>1</v>
      </c>
      <c r="D3" s="7" t="s">
        <v>617</v>
      </c>
      <c r="E3" s="6" t="s">
        <v>619</v>
      </c>
      <c r="F3" s="6" t="s">
        <v>2</v>
      </c>
    </row>
    <row r="4" customFormat="false" ht="23.85" hidden="false" customHeight="false" outlineLevel="0" collapsed="false">
      <c r="A4" s="6" t="s">
        <v>68</v>
      </c>
      <c r="B4" s="6" t="s">
        <v>69</v>
      </c>
      <c r="C4" s="6" t="n">
        <v>1</v>
      </c>
      <c r="D4" s="7" t="s">
        <v>617</v>
      </c>
      <c r="E4" s="6" t="s">
        <v>620</v>
      </c>
      <c r="F4" s="6" t="s">
        <v>2</v>
      </c>
    </row>
    <row r="5" customFormat="false" ht="15" hidden="false" customHeight="false" outlineLevel="0" collapsed="false">
      <c r="A5" s="6" t="s">
        <v>71</v>
      </c>
      <c r="B5" s="6" t="s">
        <v>72</v>
      </c>
      <c r="C5" s="6" t="n">
        <v>2</v>
      </c>
      <c r="D5" s="7" t="s">
        <v>617</v>
      </c>
      <c r="E5" s="6" t="s">
        <v>621</v>
      </c>
      <c r="F5" s="6" t="s">
        <v>2</v>
      </c>
    </row>
    <row r="6" customFormat="false" ht="15" hidden="false" customHeight="false" outlineLevel="0" collapsed="false">
      <c r="A6" s="6" t="s">
        <v>80</v>
      </c>
      <c r="B6" s="6" t="s">
        <v>81</v>
      </c>
      <c r="C6" s="6" t="n">
        <v>1</v>
      </c>
      <c r="D6" s="7" t="s">
        <v>617</v>
      </c>
      <c r="E6" s="6" t="s">
        <v>622</v>
      </c>
      <c r="F6" s="6" t="s">
        <v>2</v>
      </c>
    </row>
    <row r="7" customFormat="false" ht="15" hidden="false" customHeight="false" outlineLevel="0" collapsed="false">
      <c r="A7" s="6" t="s">
        <v>82</v>
      </c>
      <c r="B7" s="6" t="s">
        <v>83</v>
      </c>
      <c r="C7" s="6" t="n">
        <v>0</v>
      </c>
      <c r="D7" s="8" t="s">
        <v>623</v>
      </c>
      <c r="E7" s="6" t="s">
        <v>624</v>
      </c>
      <c r="F7" s="6" t="s">
        <v>2</v>
      </c>
    </row>
    <row r="8" customFormat="false" ht="15" hidden="false" customHeight="false" outlineLevel="0" collapsed="false">
      <c r="A8" s="6" t="s">
        <v>91</v>
      </c>
      <c r="B8" s="6" t="s">
        <v>92</v>
      </c>
      <c r="C8" s="6" t="n">
        <v>2</v>
      </c>
      <c r="D8" s="7" t="s">
        <v>617</v>
      </c>
      <c r="E8" s="6" t="s">
        <v>625</v>
      </c>
      <c r="F8" s="6" t="s">
        <v>2</v>
      </c>
    </row>
    <row r="9" customFormat="false" ht="15" hidden="false" customHeight="false" outlineLevel="0" collapsed="false">
      <c r="A9" s="6" t="s">
        <v>93</v>
      </c>
      <c r="B9" s="6" t="s">
        <v>94</v>
      </c>
      <c r="C9" s="6" t="n">
        <v>2</v>
      </c>
      <c r="D9" s="7" t="s">
        <v>617</v>
      </c>
      <c r="E9" s="6" t="s">
        <v>626</v>
      </c>
      <c r="F9" s="6" t="s">
        <v>2</v>
      </c>
    </row>
    <row r="10" customFormat="false" ht="15" hidden="false" customHeight="false" outlineLevel="0" collapsed="false">
      <c r="A10" s="6" t="s">
        <v>109</v>
      </c>
      <c r="B10" s="6" t="s">
        <v>110</v>
      </c>
      <c r="C10" s="6" t="n">
        <v>1</v>
      </c>
      <c r="D10" s="7" t="s">
        <v>617</v>
      </c>
      <c r="E10" s="6" t="s">
        <v>627</v>
      </c>
      <c r="F10" s="6" t="s">
        <v>2</v>
      </c>
    </row>
    <row r="11" customFormat="false" ht="15" hidden="false" customHeight="false" outlineLevel="0" collapsed="false">
      <c r="A11" s="6" t="s">
        <v>113</v>
      </c>
      <c r="B11" s="6" t="s">
        <v>114</v>
      </c>
      <c r="C11" s="6" t="n">
        <v>1</v>
      </c>
      <c r="D11" s="7" t="s">
        <v>617</v>
      </c>
      <c r="E11" s="6"/>
      <c r="F11" s="6"/>
    </row>
    <row r="12" customFormat="false" ht="23.85" hidden="false" customHeight="false" outlineLevel="0" collapsed="false">
      <c r="A12" s="6" t="s">
        <v>123</v>
      </c>
      <c r="B12" s="6" t="s">
        <v>124</v>
      </c>
      <c r="C12" s="6" t="n">
        <v>1</v>
      </c>
      <c r="D12" s="7" t="s">
        <v>617</v>
      </c>
      <c r="E12" s="6" t="s">
        <v>628</v>
      </c>
      <c r="F12" s="6" t="s">
        <v>2</v>
      </c>
    </row>
    <row r="13" customFormat="false" ht="15" hidden="false" customHeight="false" outlineLevel="0" collapsed="false">
      <c r="A13" s="6" t="s">
        <v>125</v>
      </c>
      <c r="B13" s="6" t="s">
        <v>126</v>
      </c>
      <c r="C13" s="6" t="n">
        <v>1</v>
      </c>
      <c r="D13" s="7" t="s">
        <v>617</v>
      </c>
      <c r="E13" s="6"/>
      <c r="F13" s="6"/>
    </row>
    <row r="14" customFormat="false" ht="15" hidden="false" customHeight="false" outlineLevel="0" collapsed="false">
      <c r="A14" s="6" t="s">
        <v>128</v>
      </c>
      <c r="B14" s="6" t="s">
        <v>129</v>
      </c>
      <c r="C14" s="6" t="n">
        <v>1</v>
      </c>
      <c r="D14" s="7" t="s">
        <v>617</v>
      </c>
      <c r="E14" s="6" t="s">
        <v>629</v>
      </c>
      <c r="F14" s="6" t="s">
        <v>2</v>
      </c>
    </row>
    <row r="15" customFormat="false" ht="15" hidden="false" customHeight="false" outlineLevel="0" collapsed="false">
      <c r="A15" s="6" t="s">
        <v>131</v>
      </c>
      <c r="B15" s="6" t="s">
        <v>134</v>
      </c>
      <c r="C15" s="6" t="n">
        <v>0</v>
      </c>
      <c r="D15" s="8" t="s">
        <v>623</v>
      </c>
      <c r="E15" s="6" t="s">
        <v>630</v>
      </c>
      <c r="F15" s="6" t="s">
        <v>2</v>
      </c>
    </row>
    <row r="16" customFormat="false" ht="15" hidden="false" customHeight="false" outlineLevel="0" collapsed="false">
      <c r="A16" s="6" t="s">
        <v>143</v>
      </c>
      <c r="B16" s="6" t="s">
        <v>144</v>
      </c>
      <c r="C16" s="6" t="n">
        <v>0</v>
      </c>
      <c r="D16" s="8" t="s">
        <v>623</v>
      </c>
      <c r="E16" s="6" t="s">
        <v>631</v>
      </c>
      <c r="F16" s="6" t="s">
        <v>2</v>
      </c>
    </row>
    <row r="17" customFormat="false" ht="15" hidden="false" customHeight="false" outlineLevel="0" collapsed="false">
      <c r="A17" s="6" t="s">
        <v>148</v>
      </c>
      <c r="B17" s="6" t="s">
        <v>149</v>
      </c>
      <c r="C17" s="6" t="n">
        <v>3</v>
      </c>
      <c r="D17" s="7" t="s">
        <v>617</v>
      </c>
      <c r="E17" s="6" t="s">
        <v>632</v>
      </c>
      <c r="F17" s="6" t="s">
        <v>2</v>
      </c>
    </row>
    <row r="18" customFormat="false" ht="15" hidden="false" customHeight="false" outlineLevel="0" collapsed="false">
      <c r="A18" s="6" t="s">
        <v>154</v>
      </c>
      <c r="B18" s="6" t="s">
        <v>155</v>
      </c>
      <c r="C18" s="6" t="n">
        <v>0</v>
      </c>
      <c r="D18" s="8" t="s">
        <v>623</v>
      </c>
      <c r="E18" s="6" t="s">
        <v>633</v>
      </c>
      <c r="F18" s="6" t="s">
        <v>2</v>
      </c>
    </row>
    <row r="19" customFormat="false" ht="15" hidden="false" customHeight="false" outlineLevel="0" collapsed="false">
      <c r="A19" s="6" t="s">
        <v>158</v>
      </c>
      <c r="B19" s="6" t="s">
        <v>160</v>
      </c>
      <c r="C19" s="6" t="n">
        <v>1</v>
      </c>
      <c r="D19" s="7" t="s">
        <v>617</v>
      </c>
      <c r="E19" s="6" t="s">
        <v>634</v>
      </c>
      <c r="F19" s="6" t="s">
        <v>2</v>
      </c>
    </row>
    <row r="20" customFormat="false" ht="23.85" hidden="false" customHeight="false" outlineLevel="0" collapsed="false">
      <c r="A20" s="6" t="s">
        <v>169</v>
      </c>
      <c r="B20" s="6" t="s">
        <v>170</v>
      </c>
      <c r="C20" s="6" t="n">
        <v>0</v>
      </c>
      <c r="D20" s="8" t="s">
        <v>623</v>
      </c>
      <c r="E20" s="6" t="s">
        <v>635</v>
      </c>
      <c r="F20" s="6" t="s">
        <v>2</v>
      </c>
    </row>
    <row r="21" customFormat="false" ht="15" hidden="false" customHeight="false" outlineLevel="0" collapsed="false">
      <c r="A21" s="6" t="s">
        <v>190</v>
      </c>
      <c r="B21" s="6" t="s">
        <v>191</v>
      </c>
      <c r="C21" s="6" t="n">
        <v>0</v>
      </c>
      <c r="D21" s="8" t="s">
        <v>623</v>
      </c>
      <c r="E21" s="6" t="s">
        <v>636</v>
      </c>
      <c r="F21" s="6" t="s">
        <v>2</v>
      </c>
    </row>
    <row r="22" customFormat="false" ht="15" hidden="false" customHeight="false" outlineLevel="0" collapsed="false">
      <c r="A22" s="6" t="s">
        <v>204</v>
      </c>
      <c r="B22" s="6" t="s">
        <v>205</v>
      </c>
      <c r="C22" s="6" t="n">
        <v>0</v>
      </c>
      <c r="D22" s="8" t="s">
        <v>623</v>
      </c>
      <c r="E22" s="6" t="s">
        <v>637</v>
      </c>
      <c r="F22" s="6" t="s">
        <v>2</v>
      </c>
    </row>
    <row r="23" customFormat="false" ht="15" hidden="false" customHeight="false" outlineLevel="0" collapsed="false">
      <c r="A23" s="6" t="s">
        <v>208</v>
      </c>
      <c r="B23" s="6" t="s">
        <v>209</v>
      </c>
      <c r="C23" s="6" t="n">
        <v>0</v>
      </c>
      <c r="D23" s="8" t="s">
        <v>623</v>
      </c>
      <c r="E23" s="6" t="s">
        <v>638</v>
      </c>
      <c r="F23" s="6" t="s">
        <v>2</v>
      </c>
    </row>
    <row r="24" customFormat="false" ht="15" hidden="false" customHeight="false" outlineLevel="0" collapsed="false">
      <c r="A24" s="6" t="s">
        <v>210</v>
      </c>
      <c r="B24" s="6" t="s">
        <v>211</v>
      </c>
      <c r="C24" s="6" t="n">
        <v>0</v>
      </c>
      <c r="D24" s="8" t="s">
        <v>623</v>
      </c>
      <c r="E24" s="6" t="s">
        <v>639</v>
      </c>
      <c r="F24" s="6" t="s">
        <v>2</v>
      </c>
    </row>
    <row r="25" customFormat="false" ht="15" hidden="false" customHeight="false" outlineLevel="0" collapsed="false">
      <c r="A25" s="6" t="s">
        <v>212</v>
      </c>
      <c r="B25" s="6" t="s">
        <v>214</v>
      </c>
      <c r="C25" s="6" t="n">
        <v>2</v>
      </c>
      <c r="D25" s="7" t="s">
        <v>617</v>
      </c>
      <c r="E25" s="6" t="s">
        <v>640</v>
      </c>
      <c r="F25" s="6" t="s">
        <v>2</v>
      </c>
    </row>
    <row r="26" customFormat="false" ht="15" hidden="false" customHeight="false" outlineLevel="0" collapsed="false">
      <c r="A26" s="6" t="s">
        <v>217</v>
      </c>
      <c r="B26" s="6" t="s">
        <v>218</v>
      </c>
      <c r="C26" s="6" t="n">
        <v>0</v>
      </c>
      <c r="D26" s="8" t="s">
        <v>623</v>
      </c>
      <c r="E26" s="6" t="s">
        <v>641</v>
      </c>
      <c r="F26" s="6" t="s">
        <v>2</v>
      </c>
    </row>
    <row r="27" customFormat="false" ht="15" hidden="false" customHeight="false" outlineLevel="0" collapsed="false">
      <c r="A27" s="6" t="s">
        <v>219</v>
      </c>
      <c r="B27" s="6" t="s">
        <v>220</v>
      </c>
      <c r="C27" s="6" t="n">
        <v>0</v>
      </c>
      <c r="D27" s="8" t="s">
        <v>623</v>
      </c>
      <c r="E27" s="6" t="s">
        <v>642</v>
      </c>
      <c r="F27" s="6" t="s">
        <v>2</v>
      </c>
    </row>
    <row r="28" customFormat="false" ht="15" hidden="false" customHeight="false" outlineLevel="0" collapsed="false">
      <c r="A28" s="6" t="s">
        <v>221</v>
      </c>
      <c r="B28" s="6" t="s">
        <v>222</v>
      </c>
      <c r="C28" s="6" t="n">
        <v>0</v>
      </c>
      <c r="D28" s="8" t="s">
        <v>623</v>
      </c>
      <c r="E28" s="6" t="s">
        <v>643</v>
      </c>
      <c r="F28" s="6" t="s">
        <v>2</v>
      </c>
    </row>
    <row r="29" customFormat="false" ht="15" hidden="false" customHeight="false" outlineLevel="0" collapsed="false">
      <c r="A29" s="6" t="s">
        <v>228</v>
      </c>
      <c r="B29" s="6" t="s">
        <v>229</v>
      </c>
      <c r="C29" s="6" t="n">
        <v>0</v>
      </c>
      <c r="D29" s="8" t="s">
        <v>623</v>
      </c>
      <c r="E29" s="6" t="s">
        <v>644</v>
      </c>
      <c r="F29" s="6" t="s">
        <v>2</v>
      </c>
    </row>
    <row r="30" customFormat="false" ht="15" hidden="false" customHeight="false" outlineLevel="0" collapsed="false">
      <c r="A30" s="6" t="s">
        <v>237</v>
      </c>
      <c r="B30" s="6" t="s">
        <v>238</v>
      </c>
      <c r="C30" s="6" t="n">
        <v>3</v>
      </c>
      <c r="D30" s="7" t="s">
        <v>617</v>
      </c>
      <c r="E30" s="6" t="s">
        <v>645</v>
      </c>
      <c r="F30" s="6" t="s">
        <v>2</v>
      </c>
    </row>
    <row r="31" customFormat="false" ht="15" hidden="false" customHeight="false" outlineLevel="0" collapsed="false">
      <c r="A31" s="6" t="s">
        <v>241</v>
      </c>
      <c r="B31" s="6" t="s">
        <v>242</v>
      </c>
      <c r="C31" s="6" t="n">
        <v>0</v>
      </c>
      <c r="D31" s="8" t="s">
        <v>623</v>
      </c>
      <c r="E31" s="6" t="s">
        <v>646</v>
      </c>
      <c r="F31" s="6" t="s">
        <v>2</v>
      </c>
    </row>
    <row r="32" customFormat="false" ht="15" hidden="false" customHeight="false" outlineLevel="0" collapsed="false">
      <c r="A32" s="6" t="s">
        <v>249</v>
      </c>
      <c r="B32" s="6" t="s">
        <v>250</v>
      </c>
      <c r="C32" s="6" t="n">
        <v>0</v>
      </c>
      <c r="D32" s="8" t="s">
        <v>623</v>
      </c>
      <c r="E32" s="6" t="s">
        <v>647</v>
      </c>
      <c r="F32" s="6" t="s">
        <v>2</v>
      </c>
    </row>
    <row r="33" customFormat="false" ht="15" hidden="false" customHeight="false" outlineLevel="0" collapsed="false">
      <c r="A33" s="6" t="s">
        <v>258</v>
      </c>
      <c r="B33" s="6" t="s">
        <v>259</v>
      </c>
      <c r="C33" s="6" t="n">
        <v>0</v>
      </c>
      <c r="D33" s="8" t="s">
        <v>623</v>
      </c>
      <c r="E33" s="6" t="s">
        <v>648</v>
      </c>
      <c r="F33" s="6" t="s">
        <v>2</v>
      </c>
    </row>
    <row r="34" customFormat="false" ht="15" hidden="false" customHeight="false" outlineLevel="0" collapsed="false">
      <c r="A34" s="6" t="s">
        <v>262</v>
      </c>
      <c r="B34" s="6" t="s">
        <v>263</v>
      </c>
      <c r="C34" s="6" t="n">
        <v>0</v>
      </c>
      <c r="D34" s="8" t="s">
        <v>623</v>
      </c>
      <c r="E34" s="6" t="s">
        <v>649</v>
      </c>
      <c r="F34" s="6" t="s">
        <v>2</v>
      </c>
    </row>
    <row r="35" customFormat="false" ht="15" hidden="false" customHeight="false" outlineLevel="0" collapsed="false">
      <c r="A35" s="6" t="s">
        <v>264</v>
      </c>
      <c r="B35" s="6" t="s">
        <v>265</v>
      </c>
      <c r="C35" s="6" t="n">
        <v>0</v>
      </c>
      <c r="D35" s="8" t="s">
        <v>623</v>
      </c>
      <c r="E35" s="6" t="s">
        <v>650</v>
      </c>
      <c r="F35" s="6" t="s">
        <v>2</v>
      </c>
    </row>
    <row r="36" customFormat="false" ht="23.85" hidden="false" customHeight="false" outlineLevel="0" collapsed="false">
      <c r="A36" s="6" t="s">
        <v>268</v>
      </c>
      <c r="B36" s="6" t="s">
        <v>269</v>
      </c>
      <c r="C36" s="6" t="n">
        <v>0</v>
      </c>
      <c r="D36" s="8" t="s">
        <v>623</v>
      </c>
      <c r="E36" s="6" t="s">
        <v>651</v>
      </c>
      <c r="F36" s="6" t="s">
        <v>2</v>
      </c>
    </row>
    <row r="37" customFormat="false" ht="15" hidden="false" customHeight="false" outlineLevel="0" collapsed="false">
      <c r="A37" s="6" t="s">
        <v>270</v>
      </c>
      <c r="B37" s="6" t="s">
        <v>273</v>
      </c>
      <c r="C37" s="6" t="n">
        <v>1</v>
      </c>
      <c r="D37" s="6" t="s">
        <v>652</v>
      </c>
      <c r="E37" s="6" t="s">
        <v>653</v>
      </c>
      <c r="F37" s="6" t="s">
        <v>2</v>
      </c>
    </row>
    <row r="38" customFormat="false" ht="15" hidden="false" customHeight="false" outlineLevel="0" collapsed="false">
      <c r="A38" s="6" t="s">
        <v>274</v>
      </c>
      <c r="B38" s="6" t="s">
        <v>275</v>
      </c>
      <c r="C38" s="6" t="n">
        <v>3</v>
      </c>
      <c r="D38" s="6" t="s">
        <v>652</v>
      </c>
      <c r="E38" s="6" t="s">
        <v>654</v>
      </c>
      <c r="F38" s="6" t="s">
        <v>2</v>
      </c>
    </row>
    <row r="39" customFormat="false" ht="15" hidden="false" customHeight="false" outlineLevel="0" collapsed="false">
      <c r="A39" s="6" t="s">
        <v>276</v>
      </c>
      <c r="B39" s="6" t="s">
        <v>277</v>
      </c>
      <c r="C39" s="6" t="n">
        <v>2</v>
      </c>
      <c r="D39" s="6" t="s">
        <v>652</v>
      </c>
      <c r="E39" s="6" t="s">
        <v>655</v>
      </c>
      <c r="F39" s="6" t="s">
        <v>2</v>
      </c>
    </row>
    <row r="40" customFormat="false" ht="15" hidden="false" customHeight="false" outlineLevel="0" collapsed="false">
      <c r="A40" s="6" t="s">
        <v>278</v>
      </c>
      <c r="B40" s="6" t="s">
        <v>279</v>
      </c>
      <c r="C40" s="6" t="n">
        <v>4</v>
      </c>
      <c r="D40" s="6" t="s">
        <v>652</v>
      </c>
      <c r="E40" s="6" t="s">
        <v>656</v>
      </c>
      <c r="F40" s="6" t="s">
        <v>2</v>
      </c>
    </row>
    <row r="41" customFormat="false" ht="15" hidden="false" customHeight="false" outlineLevel="0" collapsed="false">
      <c r="A41" s="6" t="s">
        <v>280</v>
      </c>
      <c r="B41" s="6" t="s">
        <v>281</v>
      </c>
      <c r="C41" s="6" t="n">
        <v>4</v>
      </c>
      <c r="D41" s="6" t="s">
        <v>652</v>
      </c>
      <c r="E41" s="6" t="s">
        <v>657</v>
      </c>
      <c r="F41" s="6" t="s">
        <v>2</v>
      </c>
    </row>
    <row r="42" customFormat="false" ht="15" hidden="false" customHeight="false" outlineLevel="0" collapsed="false">
      <c r="A42" s="6" t="s">
        <v>282</v>
      </c>
      <c r="B42" s="6" t="s">
        <v>283</v>
      </c>
      <c r="C42" s="6" t="n">
        <v>1</v>
      </c>
      <c r="D42" s="6" t="s">
        <v>652</v>
      </c>
      <c r="E42" s="6" t="s">
        <v>658</v>
      </c>
      <c r="F42" s="6" t="s">
        <v>2</v>
      </c>
    </row>
    <row r="43" customFormat="false" ht="23.85" hidden="false" customHeight="false" outlineLevel="0" collapsed="false">
      <c r="A43" s="6" t="s">
        <v>284</v>
      </c>
      <c r="B43" s="6" t="s">
        <v>285</v>
      </c>
      <c r="C43" s="6" t="n">
        <v>4</v>
      </c>
      <c r="D43" s="6" t="s">
        <v>652</v>
      </c>
      <c r="E43" s="6" t="s">
        <v>659</v>
      </c>
      <c r="F43" s="6" t="s">
        <v>2</v>
      </c>
    </row>
    <row r="44" customFormat="false" ht="15" hidden="false" customHeight="false" outlineLevel="0" collapsed="false">
      <c r="A44" s="6" t="s">
        <v>286</v>
      </c>
      <c r="B44" s="6" t="s">
        <v>287</v>
      </c>
      <c r="C44" s="6" t="n">
        <v>1</v>
      </c>
      <c r="D44" s="6" t="s">
        <v>652</v>
      </c>
      <c r="E44" s="6" t="s">
        <v>660</v>
      </c>
      <c r="F44" s="6" t="s">
        <v>2</v>
      </c>
    </row>
    <row r="45" customFormat="false" ht="15" hidden="false" customHeight="false" outlineLevel="0" collapsed="false">
      <c r="A45" s="6" t="s">
        <v>288</v>
      </c>
      <c r="B45" s="6" t="s">
        <v>289</v>
      </c>
      <c r="C45" s="6" t="n">
        <v>1</v>
      </c>
      <c r="D45" s="6" t="s">
        <v>652</v>
      </c>
      <c r="E45" s="6" t="s">
        <v>661</v>
      </c>
      <c r="F45" s="6" t="s">
        <v>2</v>
      </c>
    </row>
    <row r="46" customFormat="false" ht="15" hidden="false" customHeight="false" outlineLevel="0" collapsed="false">
      <c r="A46" s="6" t="s">
        <v>290</v>
      </c>
      <c r="B46" s="6" t="s">
        <v>291</v>
      </c>
      <c r="C46" s="6" t="n">
        <v>2</v>
      </c>
      <c r="D46" s="6" t="s">
        <v>652</v>
      </c>
      <c r="E46" s="6" t="s">
        <v>662</v>
      </c>
      <c r="F46" s="6" t="s">
        <v>2</v>
      </c>
    </row>
    <row r="47" customFormat="false" ht="15" hidden="false" customHeight="false" outlineLevel="0" collapsed="false">
      <c r="A47" s="6" t="s">
        <v>292</v>
      </c>
      <c r="B47" s="6" t="s">
        <v>294</v>
      </c>
      <c r="C47" s="6" t="n">
        <v>2</v>
      </c>
      <c r="D47" s="6" t="s">
        <v>652</v>
      </c>
      <c r="E47" s="6" t="s">
        <v>663</v>
      </c>
      <c r="F47" s="6" t="s">
        <v>2</v>
      </c>
    </row>
    <row r="48" customFormat="false" ht="15" hidden="false" customHeight="false" outlineLevel="0" collapsed="false">
      <c r="A48" s="6" t="s">
        <v>295</v>
      </c>
      <c r="B48" s="6" t="s">
        <v>296</v>
      </c>
      <c r="C48" s="6" t="n">
        <v>1</v>
      </c>
      <c r="D48" s="6" t="s">
        <v>652</v>
      </c>
      <c r="E48" s="6" t="s">
        <v>664</v>
      </c>
      <c r="F48" s="6" t="s">
        <v>2</v>
      </c>
    </row>
    <row r="49" customFormat="false" ht="15" hidden="false" customHeight="false" outlineLevel="0" collapsed="false">
      <c r="A49" s="6" t="s">
        <v>297</v>
      </c>
      <c r="B49" s="6" t="s">
        <v>298</v>
      </c>
      <c r="C49" s="6" t="n">
        <v>4</v>
      </c>
      <c r="D49" s="6" t="s">
        <v>652</v>
      </c>
      <c r="E49" s="6" t="s">
        <v>665</v>
      </c>
      <c r="F49" s="6" t="s">
        <v>2</v>
      </c>
    </row>
    <row r="50" customFormat="false" ht="15" hidden="false" customHeight="false" outlineLevel="0" collapsed="false">
      <c r="A50" s="6" t="s">
        <v>299</v>
      </c>
      <c r="B50" s="6" t="s">
        <v>300</v>
      </c>
      <c r="C50" s="6" t="n">
        <v>2</v>
      </c>
      <c r="D50" s="6" t="s">
        <v>652</v>
      </c>
      <c r="E50" s="6" t="s">
        <v>666</v>
      </c>
      <c r="F50" s="6" t="s">
        <v>2</v>
      </c>
    </row>
    <row r="51" customFormat="false" ht="23.85" hidden="false" customHeight="false" outlineLevel="0" collapsed="false">
      <c r="A51" s="6" t="s">
        <v>301</v>
      </c>
      <c r="B51" s="6" t="s">
        <v>302</v>
      </c>
      <c r="C51" s="6" t="n">
        <v>2</v>
      </c>
      <c r="D51" s="7" t="s">
        <v>617</v>
      </c>
      <c r="E51" s="6" t="s">
        <v>667</v>
      </c>
      <c r="F51" s="6" t="s">
        <v>2</v>
      </c>
    </row>
    <row r="52" customFormat="false" ht="15" hidden="false" customHeight="false" outlineLevel="0" collapsed="false">
      <c r="A52" s="6" t="s">
        <v>303</v>
      </c>
      <c r="B52" s="6" t="s">
        <v>304</v>
      </c>
      <c r="C52" s="6" t="n">
        <v>2</v>
      </c>
      <c r="D52" s="6" t="s">
        <v>652</v>
      </c>
      <c r="E52" s="6" t="s">
        <v>668</v>
      </c>
      <c r="F52" s="6" t="s">
        <v>2</v>
      </c>
    </row>
    <row r="53" customFormat="false" ht="15" hidden="false" customHeight="false" outlineLevel="0" collapsed="false">
      <c r="A53" s="6" t="s">
        <v>305</v>
      </c>
      <c r="B53" s="6" t="s">
        <v>306</v>
      </c>
      <c r="C53" s="6" t="n">
        <v>3</v>
      </c>
      <c r="D53" s="6" t="s">
        <v>652</v>
      </c>
      <c r="E53" s="6" t="s">
        <v>669</v>
      </c>
      <c r="F53" s="6" t="s">
        <v>2</v>
      </c>
    </row>
    <row r="54" customFormat="false" ht="15" hidden="false" customHeight="false" outlineLevel="0" collapsed="false">
      <c r="A54" s="6" t="s">
        <v>307</v>
      </c>
      <c r="B54" s="6" t="s">
        <v>308</v>
      </c>
      <c r="C54" s="6" t="n">
        <v>2</v>
      </c>
      <c r="D54" s="6" t="s">
        <v>652</v>
      </c>
      <c r="E54" s="6" t="s">
        <v>670</v>
      </c>
      <c r="F54" s="6" t="s">
        <v>2</v>
      </c>
    </row>
    <row r="55" customFormat="false" ht="15" hidden="false" customHeight="false" outlineLevel="0" collapsed="false">
      <c r="A55" s="6" t="s">
        <v>309</v>
      </c>
      <c r="B55" s="6" t="s">
        <v>310</v>
      </c>
      <c r="C55" s="6" t="n">
        <v>2</v>
      </c>
      <c r="D55" s="6" t="s">
        <v>652</v>
      </c>
      <c r="E55" s="6" t="s">
        <v>671</v>
      </c>
      <c r="F55" s="6" t="s">
        <v>2</v>
      </c>
    </row>
    <row r="56" customFormat="false" ht="15" hidden="false" customHeight="false" outlineLevel="0" collapsed="false">
      <c r="A56" s="6" t="s">
        <v>311</v>
      </c>
      <c r="B56" s="6" t="s">
        <v>314</v>
      </c>
      <c r="C56" s="6" t="n">
        <v>3</v>
      </c>
      <c r="D56" s="6" t="s">
        <v>652</v>
      </c>
      <c r="E56" s="6" t="s">
        <v>672</v>
      </c>
      <c r="F56" s="6" t="s">
        <v>2</v>
      </c>
    </row>
    <row r="57" customFormat="false" ht="15" hidden="false" customHeight="false" outlineLevel="0" collapsed="false">
      <c r="A57" s="6" t="s">
        <v>315</v>
      </c>
      <c r="B57" s="6" t="s">
        <v>316</v>
      </c>
      <c r="C57" s="6" t="n">
        <v>3</v>
      </c>
      <c r="D57" s="6" t="s">
        <v>652</v>
      </c>
      <c r="E57" s="6" t="s">
        <v>673</v>
      </c>
      <c r="F57" s="6" t="s">
        <v>2</v>
      </c>
    </row>
    <row r="58" customFormat="false" ht="15" hidden="false" customHeight="false" outlineLevel="0" collapsed="false">
      <c r="A58" s="6" t="s">
        <v>317</v>
      </c>
      <c r="B58" s="6" t="s">
        <v>318</v>
      </c>
      <c r="C58" s="6" t="n">
        <v>2</v>
      </c>
      <c r="D58" s="6" t="s">
        <v>652</v>
      </c>
      <c r="E58" s="6" t="s">
        <v>674</v>
      </c>
      <c r="F58" s="6" t="s">
        <v>2</v>
      </c>
    </row>
    <row r="59" customFormat="false" ht="15" hidden="false" customHeight="false" outlineLevel="0" collapsed="false">
      <c r="A59" s="6" t="s">
        <v>319</v>
      </c>
      <c r="B59" s="6" t="s">
        <v>320</v>
      </c>
      <c r="C59" s="6" t="n">
        <v>1</v>
      </c>
      <c r="D59" s="6" t="s">
        <v>652</v>
      </c>
      <c r="E59" s="6" t="s">
        <v>675</v>
      </c>
      <c r="F59" s="6" t="s">
        <v>2</v>
      </c>
    </row>
    <row r="60" customFormat="false" ht="15" hidden="false" customHeight="false" outlineLevel="0" collapsed="false">
      <c r="A60" s="6" t="s">
        <v>321</v>
      </c>
      <c r="B60" s="6" t="s">
        <v>322</v>
      </c>
      <c r="C60" s="6" t="n">
        <v>3</v>
      </c>
      <c r="D60" s="6" t="s">
        <v>652</v>
      </c>
      <c r="E60" s="6" t="s">
        <v>676</v>
      </c>
      <c r="F60" s="6" t="s">
        <v>2</v>
      </c>
    </row>
    <row r="61" customFormat="false" ht="23.85" hidden="false" customHeight="false" outlineLevel="0" collapsed="false">
      <c r="A61" s="6" t="s">
        <v>323</v>
      </c>
      <c r="B61" s="6" t="s">
        <v>324</v>
      </c>
      <c r="C61" s="6" t="n">
        <v>2</v>
      </c>
      <c r="D61" s="6" t="s">
        <v>652</v>
      </c>
      <c r="E61" s="6" t="s">
        <v>677</v>
      </c>
      <c r="F61" s="6" t="s">
        <v>2</v>
      </c>
    </row>
    <row r="62" customFormat="false" ht="15" hidden="false" customHeight="false" outlineLevel="0" collapsed="false">
      <c r="A62" s="6" t="s">
        <v>326</v>
      </c>
      <c r="B62" s="6" t="s">
        <v>327</v>
      </c>
      <c r="C62" s="6" t="n">
        <v>2</v>
      </c>
      <c r="D62" s="6" t="s">
        <v>652</v>
      </c>
      <c r="E62" s="6" t="s">
        <v>678</v>
      </c>
      <c r="F62" s="6" t="s">
        <v>2</v>
      </c>
    </row>
    <row r="63" customFormat="false" ht="15" hidden="false" customHeight="false" outlineLevel="0" collapsed="false">
      <c r="A63" s="6" t="s">
        <v>328</v>
      </c>
      <c r="B63" s="6" t="s">
        <v>330</v>
      </c>
      <c r="C63" s="6" t="n">
        <v>4</v>
      </c>
      <c r="D63" s="6" t="s">
        <v>652</v>
      </c>
      <c r="E63" s="6" t="s">
        <v>679</v>
      </c>
      <c r="F63" s="6" t="s">
        <v>2</v>
      </c>
    </row>
    <row r="64" customFormat="false" ht="15" hidden="false" customHeight="false" outlineLevel="0" collapsed="false">
      <c r="A64" s="6" t="s">
        <v>331</v>
      </c>
      <c r="B64" s="6" t="s">
        <v>332</v>
      </c>
      <c r="C64" s="6" t="n">
        <v>3</v>
      </c>
      <c r="D64" s="6" t="s">
        <v>652</v>
      </c>
      <c r="E64" s="6" t="s">
        <v>680</v>
      </c>
      <c r="F64" s="6" t="s">
        <v>2</v>
      </c>
    </row>
    <row r="65" customFormat="false" ht="23.85" hidden="false" customHeight="false" outlineLevel="0" collapsed="false">
      <c r="A65" s="6" t="s">
        <v>333</v>
      </c>
      <c r="B65" s="6" t="s">
        <v>334</v>
      </c>
      <c r="C65" s="6" t="n">
        <v>3</v>
      </c>
      <c r="D65" s="6" t="s">
        <v>652</v>
      </c>
      <c r="E65" s="6" t="s">
        <v>681</v>
      </c>
      <c r="F65" s="6" t="s">
        <v>2</v>
      </c>
    </row>
    <row r="66" customFormat="false" ht="15" hidden="false" customHeight="false" outlineLevel="0" collapsed="false">
      <c r="A66" s="6" t="s">
        <v>335</v>
      </c>
      <c r="B66" s="6" t="s">
        <v>336</v>
      </c>
      <c r="C66" s="6" t="n">
        <v>3</v>
      </c>
      <c r="D66" s="6" t="s">
        <v>652</v>
      </c>
      <c r="E66" s="6" t="s">
        <v>682</v>
      </c>
      <c r="F66" s="6" t="s">
        <v>2</v>
      </c>
    </row>
    <row r="67" customFormat="false" ht="15" hidden="false" customHeight="false" outlineLevel="0" collapsed="false">
      <c r="A67" s="6" t="s">
        <v>337</v>
      </c>
      <c r="B67" s="6" t="s">
        <v>338</v>
      </c>
      <c r="C67" s="6" t="n">
        <v>0</v>
      </c>
      <c r="D67" s="8" t="s">
        <v>623</v>
      </c>
      <c r="E67" s="6" t="s">
        <v>683</v>
      </c>
      <c r="F67" s="6" t="s">
        <v>2</v>
      </c>
    </row>
    <row r="68" customFormat="false" ht="15" hidden="false" customHeight="false" outlineLevel="0" collapsed="false">
      <c r="A68" s="6" t="s">
        <v>339</v>
      </c>
      <c r="B68" s="6" t="s">
        <v>341</v>
      </c>
      <c r="C68" s="6" t="n">
        <v>2</v>
      </c>
      <c r="D68" s="6" t="s">
        <v>652</v>
      </c>
      <c r="E68" s="6" t="s">
        <v>684</v>
      </c>
      <c r="F68" s="6" t="s">
        <v>2</v>
      </c>
    </row>
    <row r="69" customFormat="false" ht="15" hidden="false" customHeight="false" outlineLevel="0" collapsed="false">
      <c r="A69" s="6" t="s">
        <v>342</v>
      </c>
      <c r="B69" s="6" t="s">
        <v>343</v>
      </c>
      <c r="C69" s="6" t="n">
        <v>2</v>
      </c>
      <c r="D69" s="6" t="s">
        <v>652</v>
      </c>
      <c r="E69" s="6" t="s">
        <v>685</v>
      </c>
      <c r="F69" s="6" t="s">
        <v>2</v>
      </c>
    </row>
    <row r="70" customFormat="false" ht="15" hidden="false" customHeight="false" outlineLevel="0" collapsed="false">
      <c r="A70" s="6" t="s">
        <v>344</v>
      </c>
      <c r="B70" s="6" t="s">
        <v>345</v>
      </c>
      <c r="C70" s="6" t="n">
        <v>2</v>
      </c>
      <c r="D70" s="6" t="s">
        <v>652</v>
      </c>
      <c r="E70" s="6" t="s">
        <v>686</v>
      </c>
      <c r="F70" s="6" t="s">
        <v>2</v>
      </c>
    </row>
    <row r="71" customFormat="false" ht="15" hidden="false" customHeight="false" outlineLevel="0" collapsed="false">
      <c r="A71" s="6" t="s">
        <v>346</v>
      </c>
      <c r="B71" s="6" t="s">
        <v>347</v>
      </c>
      <c r="C71" s="6" t="n">
        <v>4</v>
      </c>
      <c r="D71" s="6" t="s">
        <v>652</v>
      </c>
      <c r="E71" s="6" t="s">
        <v>687</v>
      </c>
      <c r="F71" s="6" t="s">
        <v>2</v>
      </c>
    </row>
    <row r="72" customFormat="false" ht="15" hidden="false" customHeight="false" outlineLevel="0" collapsed="false">
      <c r="A72" s="6" t="s">
        <v>348</v>
      </c>
      <c r="B72" s="6" t="s">
        <v>349</v>
      </c>
      <c r="C72" s="6" t="n">
        <v>2</v>
      </c>
      <c r="D72" s="6" t="s">
        <v>652</v>
      </c>
      <c r="E72" s="6" t="s">
        <v>688</v>
      </c>
      <c r="F72" s="6" t="s">
        <v>2</v>
      </c>
    </row>
    <row r="73" customFormat="false" ht="15" hidden="false" customHeight="false" outlineLevel="0" collapsed="false">
      <c r="A73" s="6" t="s">
        <v>350</v>
      </c>
      <c r="B73" s="6" t="s">
        <v>351</v>
      </c>
      <c r="C73" s="6" t="n">
        <v>2</v>
      </c>
      <c r="D73" s="6" t="s">
        <v>652</v>
      </c>
      <c r="E73" s="6" t="s">
        <v>689</v>
      </c>
      <c r="F73" s="6" t="s">
        <v>2</v>
      </c>
    </row>
    <row r="74" customFormat="false" ht="15" hidden="false" customHeight="false" outlineLevel="0" collapsed="false">
      <c r="A74" s="6" t="s">
        <v>352</v>
      </c>
      <c r="B74" s="6" t="s">
        <v>353</v>
      </c>
      <c r="C74" s="6" t="n">
        <v>0</v>
      </c>
      <c r="D74" s="8" t="s">
        <v>623</v>
      </c>
      <c r="E74" s="6" t="s">
        <v>690</v>
      </c>
      <c r="F74" s="6" t="s">
        <v>2</v>
      </c>
    </row>
    <row r="75" customFormat="false" ht="15" hidden="false" customHeight="false" outlineLevel="0" collapsed="false">
      <c r="A75" s="6" t="s">
        <v>354</v>
      </c>
      <c r="B75" s="6" t="s">
        <v>355</v>
      </c>
      <c r="C75" s="6" t="n">
        <v>3</v>
      </c>
      <c r="D75" s="6" t="s">
        <v>652</v>
      </c>
      <c r="E75" s="6" t="s">
        <v>691</v>
      </c>
      <c r="F75" s="6" t="s">
        <v>2</v>
      </c>
    </row>
    <row r="76" customFormat="false" ht="15" hidden="false" customHeight="false" outlineLevel="0" collapsed="false">
      <c r="A76" s="6" t="s">
        <v>357</v>
      </c>
      <c r="B76" s="6" t="s">
        <v>358</v>
      </c>
      <c r="C76" s="6" t="n">
        <v>2</v>
      </c>
      <c r="D76" s="6" t="s">
        <v>652</v>
      </c>
      <c r="E76" s="6" t="s">
        <v>692</v>
      </c>
      <c r="F76" s="6" t="s">
        <v>2</v>
      </c>
    </row>
    <row r="77" customFormat="false" ht="15" hidden="false" customHeight="false" outlineLevel="0" collapsed="false">
      <c r="A77" s="6" t="s">
        <v>359</v>
      </c>
      <c r="B77" s="6" t="s">
        <v>360</v>
      </c>
      <c r="C77" s="6" t="n">
        <v>1</v>
      </c>
      <c r="D77" s="6" t="s">
        <v>652</v>
      </c>
      <c r="E77" s="6" t="s">
        <v>693</v>
      </c>
      <c r="F77" s="6" t="s">
        <v>2</v>
      </c>
    </row>
    <row r="78" customFormat="false" ht="15" hidden="false" customHeight="false" outlineLevel="0" collapsed="false">
      <c r="A78" s="6" t="s">
        <v>361</v>
      </c>
      <c r="B78" s="6" t="s">
        <v>362</v>
      </c>
      <c r="C78" s="6" t="n">
        <v>3</v>
      </c>
      <c r="D78" s="6" t="s">
        <v>652</v>
      </c>
      <c r="E78" s="6" t="s">
        <v>694</v>
      </c>
      <c r="F78" s="6" t="s">
        <v>2</v>
      </c>
    </row>
    <row r="79" customFormat="false" ht="15" hidden="false" customHeight="false" outlineLevel="0" collapsed="false">
      <c r="A79" s="6" t="s">
        <v>363</v>
      </c>
      <c r="B79" s="6" t="s">
        <v>364</v>
      </c>
      <c r="C79" s="6" t="n">
        <v>1</v>
      </c>
      <c r="D79" s="6" t="s">
        <v>652</v>
      </c>
      <c r="E79" s="6" t="s">
        <v>695</v>
      </c>
      <c r="F79" s="6" t="s">
        <v>2</v>
      </c>
    </row>
    <row r="80" customFormat="false" ht="15" hidden="false" customHeight="false" outlineLevel="0" collapsed="false">
      <c r="A80" s="6" t="s">
        <v>365</v>
      </c>
      <c r="B80" s="6" t="s">
        <v>367</v>
      </c>
      <c r="C80" s="6" t="n">
        <v>3</v>
      </c>
      <c r="D80" s="6" t="s">
        <v>652</v>
      </c>
      <c r="E80" s="6" t="s">
        <v>696</v>
      </c>
      <c r="F80" s="6" t="s">
        <v>2</v>
      </c>
    </row>
    <row r="81" customFormat="false" ht="15" hidden="false" customHeight="false" outlineLevel="0" collapsed="false">
      <c r="A81" s="6" t="s">
        <v>368</v>
      </c>
      <c r="B81" s="6" t="s">
        <v>369</v>
      </c>
      <c r="C81" s="6" t="n">
        <v>3</v>
      </c>
      <c r="D81" s="6" t="s">
        <v>652</v>
      </c>
      <c r="E81" s="6" t="s">
        <v>697</v>
      </c>
      <c r="F81" s="6" t="s">
        <v>2</v>
      </c>
    </row>
    <row r="82" customFormat="false" ht="15" hidden="false" customHeight="false" outlineLevel="0" collapsed="false">
      <c r="A82" s="6" t="s">
        <v>370</v>
      </c>
      <c r="B82" s="6" t="s">
        <v>371</v>
      </c>
      <c r="C82" s="6" t="n">
        <v>3</v>
      </c>
      <c r="D82" s="6" t="s">
        <v>652</v>
      </c>
      <c r="E82" s="6" t="s">
        <v>698</v>
      </c>
      <c r="F82" s="6" t="s">
        <v>2</v>
      </c>
    </row>
    <row r="83" customFormat="false" ht="15" hidden="false" customHeight="false" outlineLevel="0" collapsed="false">
      <c r="A83" s="6" t="s">
        <v>372</v>
      </c>
      <c r="B83" s="6" t="s">
        <v>373</v>
      </c>
      <c r="C83" s="6" t="n">
        <v>2</v>
      </c>
      <c r="D83" s="6" t="s">
        <v>652</v>
      </c>
      <c r="E83" s="6" t="s">
        <v>699</v>
      </c>
      <c r="F83" s="6" t="s">
        <v>2</v>
      </c>
    </row>
    <row r="84" customFormat="false" ht="15" hidden="false" customHeight="false" outlineLevel="0" collapsed="false">
      <c r="A84" s="6" t="s">
        <v>374</v>
      </c>
      <c r="B84" s="6" t="s">
        <v>375</v>
      </c>
      <c r="C84" s="6" t="n">
        <v>4</v>
      </c>
      <c r="D84" s="6" t="s">
        <v>652</v>
      </c>
      <c r="E84" s="6" t="s">
        <v>700</v>
      </c>
      <c r="F84" s="6" t="s">
        <v>2</v>
      </c>
    </row>
    <row r="85" customFormat="false" ht="15" hidden="false" customHeight="false" outlineLevel="0" collapsed="false">
      <c r="A85" s="6" t="s">
        <v>376</v>
      </c>
      <c r="B85" s="6" t="s">
        <v>377</v>
      </c>
      <c r="C85" s="6" t="n">
        <v>4</v>
      </c>
      <c r="D85" s="6" t="s">
        <v>652</v>
      </c>
      <c r="E85" s="6" t="s">
        <v>701</v>
      </c>
      <c r="F85" s="6" t="s">
        <v>2</v>
      </c>
    </row>
    <row r="86" customFormat="false" ht="15" hidden="false" customHeight="false" outlineLevel="0" collapsed="false">
      <c r="A86" s="6" t="s">
        <v>378</v>
      </c>
      <c r="B86" s="6" t="s">
        <v>379</v>
      </c>
      <c r="C86" s="6" t="n">
        <v>3</v>
      </c>
      <c r="D86" s="6" t="s">
        <v>652</v>
      </c>
      <c r="E86" s="6" t="s">
        <v>702</v>
      </c>
      <c r="F86" s="6" t="s">
        <v>2</v>
      </c>
    </row>
    <row r="87" customFormat="false" ht="15" hidden="false" customHeight="false" outlineLevel="0" collapsed="false">
      <c r="A87" s="6" t="s">
        <v>380</v>
      </c>
      <c r="B87" s="6" t="s">
        <v>381</v>
      </c>
      <c r="C87" s="6" t="n">
        <v>2</v>
      </c>
      <c r="D87" s="6" t="s">
        <v>652</v>
      </c>
      <c r="E87" s="6" t="s">
        <v>703</v>
      </c>
      <c r="F87" s="6" t="s">
        <v>2</v>
      </c>
    </row>
    <row r="88" customFormat="false" ht="15" hidden="false" customHeight="false" outlineLevel="0" collapsed="false">
      <c r="A88" s="6" t="s">
        <v>382</v>
      </c>
      <c r="B88" s="6" t="s">
        <v>383</v>
      </c>
      <c r="C88" s="6" t="n">
        <v>1</v>
      </c>
      <c r="D88" s="6" t="s">
        <v>652</v>
      </c>
      <c r="E88" s="6" t="s">
        <v>704</v>
      </c>
      <c r="F88" s="6" t="s">
        <v>2</v>
      </c>
    </row>
    <row r="89" customFormat="false" ht="15" hidden="false" customHeight="false" outlineLevel="0" collapsed="false">
      <c r="A89" s="6" t="s">
        <v>384</v>
      </c>
      <c r="B89" s="6" t="s">
        <v>387</v>
      </c>
      <c r="C89" s="6" t="n">
        <v>3</v>
      </c>
      <c r="D89" s="6" t="s">
        <v>652</v>
      </c>
      <c r="E89" s="6" t="s">
        <v>705</v>
      </c>
      <c r="F89" s="6" t="s">
        <v>2</v>
      </c>
    </row>
    <row r="90" customFormat="false" ht="15" hidden="false" customHeight="false" outlineLevel="0" collapsed="false">
      <c r="A90" s="6" t="s">
        <v>388</v>
      </c>
      <c r="B90" s="6" t="s">
        <v>389</v>
      </c>
      <c r="C90" s="6" t="n">
        <v>4</v>
      </c>
      <c r="D90" s="6" t="s">
        <v>652</v>
      </c>
      <c r="E90" s="6" t="s">
        <v>706</v>
      </c>
      <c r="F90" s="6" t="s">
        <v>2</v>
      </c>
    </row>
    <row r="91" customFormat="false" ht="15" hidden="false" customHeight="false" outlineLevel="0" collapsed="false">
      <c r="A91" s="6" t="s">
        <v>390</v>
      </c>
      <c r="B91" s="6" t="s">
        <v>391</v>
      </c>
      <c r="C91" s="6" t="n">
        <v>1</v>
      </c>
      <c r="D91" s="6" t="s">
        <v>652</v>
      </c>
      <c r="E91" s="6" t="s">
        <v>707</v>
      </c>
      <c r="F91" s="6" t="s">
        <v>2</v>
      </c>
    </row>
    <row r="92" customFormat="false" ht="15" hidden="false" customHeight="false" outlineLevel="0" collapsed="false">
      <c r="A92" s="6" t="s">
        <v>392</v>
      </c>
      <c r="B92" s="6" t="s">
        <v>393</v>
      </c>
      <c r="C92" s="6" t="n">
        <v>1</v>
      </c>
      <c r="D92" s="6" t="s">
        <v>652</v>
      </c>
      <c r="E92" s="6" t="s">
        <v>708</v>
      </c>
      <c r="F92" s="6" t="s">
        <v>2</v>
      </c>
    </row>
    <row r="93" customFormat="false" ht="15" hidden="false" customHeight="false" outlineLevel="0" collapsed="false">
      <c r="A93" s="6" t="s">
        <v>394</v>
      </c>
      <c r="B93" s="6" t="s">
        <v>395</v>
      </c>
      <c r="C93" s="6" t="n">
        <v>3</v>
      </c>
      <c r="D93" s="6" t="s">
        <v>652</v>
      </c>
      <c r="E93" s="6" t="s">
        <v>709</v>
      </c>
      <c r="F93" s="6" t="s">
        <v>2</v>
      </c>
    </row>
    <row r="94" customFormat="false" ht="15" hidden="false" customHeight="false" outlineLevel="0" collapsed="false">
      <c r="A94" s="6" t="s">
        <v>396</v>
      </c>
      <c r="B94" s="6" t="s">
        <v>397</v>
      </c>
      <c r="C94" s="6" t="n">
        <v>1</v>
      </c>
      <c r="D94" s="6" t="s">
        <v>652</v>
      </c>
      <c r="E94" s="6" t="s">
        <v>710</v>
      </c>
      <c r="F94" s="6" t="s">
        <v>2</v>
      </c>
    </row>
    <row r="95" customFormat="false" ht="15" hidden="false" customHeight="false" outlineLevel="0" collapsed="false">
      <c r="A95" s="6" t="s">
        <v>398</v>
      </c>
      <c r="B95" s="6" t="s">
        <v>399</v>
      </c>
      <c r="C95" s="6" t="n">
        <v>2</v>
      </c>
      <c r="D95" s="6" t="s">
        <v>652</v>
      </c>
      <c r="E95" s="6" t="s">
        <v>711</v>
      </c>
      <c r="F95" s="6" t="s">
        <v>2</v>
      </c>
    </row>
    <row r="96" customFormat="false" ht="15" hidden="false" customHeight="false" outlineLevel="0" collapsed="false">
      <c r="A96" s="6" t="s">
        <v>400</v>
      </c>
      <c r="B96" s="6" t="s">
        <v>402</v>
      </c>
      <c r="C96" s="6" t="n">
        <v>2</v>
      </c>
      <c r="D96" s="6" t="s">
        <v>652</v>
      </c>
      <c r="E96" s="6" t="s">
        <v>712</v>
      </c>
      <c r="F96" s="6" t="s">
        <v>2</v>
      </c>
    </row>
    <row r="97" customFormat="false" ht="15" hidden="false" customHeight="false" outlineLevel="0" collapsed="false">
      <c r="A97" s="6" t="s">
        <v>403</v>
      </c>
      <c r="B97" s="6" t="s">
        <v>404</v>
      </c>
      <c r="C97" s="6" t="n">
        <v>4</v>
      </c>
      <c r="D97" s="6" t="s">
        <v>652</v>
      </c>
      <c r="E97" s="6" t="s">
        <v>713</v>
      </c>
      <c r="F97" s="6" t="s">
        <v>2</v>
      </c>
    </row>
    <row r="98" customFormat="false" ht="15" hidden="false" customHeight="false" outlineLevel="0" collapsed="false">
      <c r="A98" s="6" t="s">
        <v>405</v>
      </c>
      <c r="B98" s="6" t="s">
        <v>406</v>
      </c>
      <c r="C98" s="6" t="n">
        <v>2</v>
      </c>
      <c r="D98" s="6" t="s">
        <v>652</v>
      </c>
      <c r="E98" s="6" t="s">
        <v>714</v>
      </c>
      <c r="F98" s="6" t="s">
        <v>2</v>
      </c>
    </row>
    <row r="99" customFormat="false" ht="15" hidden="false" customHeight="false" outlineLevel="0" collapsed="false">
      <c r="A99" s="6" t="s">
        <v>407</v>
      </c>
      <c r="B99" s="6" t="s">
        <v>408</v>
      </c>
      <c r="C99" s="6" t="n">
        <v>1</v>
      </c>
      <c r="D99" s="7" t="s">
        <v>617</v>
      </c>
      <c r="E99" s="6" t="s">
        <v>715</v>
      </c>
      <c r="F99" s="6" t="s">
        <v>2</v>
      </c>
    </row>
    <row r="100" customFormat="false" ht="15" hidden="false" customHeight="false" outlineLevel="0" collapsed="false">
      <c r="A100" s="6" t="s">
        <v>409</v>
      </c>
      <c r="B100" s="6" t="s">
        <v>410</v>
      </c>
      <c r="C100" s="6" t="n">
        <v>2</v>
      </c>
      <c r="D100" s="6" t="s">
        <v>652</v>
      </c>
      <c r="E100" s="6" t="s">
        <v>716</v>
      </c>
      <c r="F100" s="6" t="s">
        <v>2</v>
      </c>
    </row>
    <row r="101" customFormat="false" ht="15" hidden="false" customHeight="false" outlineLevel="0" collapsed="false">
      <c r="A101" s="6" t="s">
        <v>411</v>
      </c>
      <c r="B101" s="6" t="s">
        <v>412</v>
      </c>
      <c r="C101" s="6" t="n">
        <v>2</v>
      </c>
      <c r="D101" s="6" t="s">
        <v>652</v>
      </c>
      <c r="E101" s="6" t="s">
        <v>717</v>
      </c>
      <c r="F101" s="6" t="s">
        <v>2</v>
      </c>
    </row>
    <row r="102" customFormat="false" ht="15" hidden="false" customHeight="false" outlineLevel="0" collapsed="false">
      <c r="A102" s="6" t="s">
        <v>413</v>
      </c>
      <c r="B102" s="6" t="s">
        <v>414</v>
      </c>
      <c r="C102" s="6" t="n">
        <v>1</v>
      </c>
      <c r="D102" s="6" t="s">
        <v>652</v>
      </c>
      <c r="E102" s="6" t="s">
        <v>718</v>
      </c>
      <c r="F102" s="6" t="s">
        <v>2</v>
      </c>
    </row>
    <row r="103" customFormat="false" ht="15" hidden="false" customHeight="false" outlineLevel="0" collapsed="false">
      <c r="A103" s="6" t="s">
        <v>415</v>
      </c>
      <c r="B103" s="6" t="s">
        <v>416</v>
      </c>
      <c r="C103" s="6" t="n">
        <v>1</v>
      </c>
      <c r="D103" s="7" t="s">
        <v>617</v>
      </c>
      <c r="E103" s="6" t="s">
        <v>719</v>
      </c>
      <c r="F103" s="6" t="s">
        <v>2</v>
      </c>
    </row>
    <row r="104" customFormat="false" ht="15" hidden="false" customHeight="false" outlineLevel="0" collapsed="false">
      <c r="A104" s="6" t="s">
        <v>417</v>
      </c>
      <c r="B104" s="6" t="s">
        <v>419</v>
      </c>
      <c r="C104" s="6" t="n">
        <v>3</v>
      </c>
      <c r="D104" s="6" t="s">
        <v>652</v>
      </c>
      <c r="E104" s="6" t="s">
        <v>720</v>
      </c>
      <c r="F104" s="6" t="s">
        <v>2</v>
      </c>
    </row>
    <row r="105" customFormat="false" ht="15" hidden="false" customHeight="false" outlineLevel="0" collapsed="false">
      <c r="A105" s="6" t="s">
        <v>420</v>
      </c>
      <c r="B105" s="6" t="s">
        <v>421</v>
      </c>
      <c r="C105" s="6" t="n">
        <v>3</v>
      </c>
      <c r="D105" s="6" t="s">
        <v>652</v>
      </c>
      <c r="E105" s="6" t="s">
        <v>721</v>
      </c>
      <c r="F105" s="6" t="s">
        <v>2</v>
      </c>
    </row>
    <row r="106" customFormat="false" ht="15" hidden="false" customHeight="false" outlineLevel="0" collapsed="false">
      <c r="A106" s="6" t="s">
        <v>422</v>
      </c>
      <c r="B106" s="6" t="s">
        <v>423</v>
      </c>
      <c r="C106" s="6" t="n">
        <v>3</v>
      </c>
      <c r="D106" s="6" t="s">
        <v>652</v>
      </c>
      <c r="E106" s="6" t="s">
        <v>722</v>
      </c>
      <c r="F106" s="6" t="s">
        <v>2</v>
      </c>
    </row>
    <row r="107" customFormat="false" ht="15" hidden="false" customHeight="false" outlineLevel="0" collapsed="false">
      <c r="A107" s="6" t="s">
        <v>424</v>
      </c>
      <c r="B107" s="6" t="s">
        <v>425</v>
      </c>
      <c r="C107" s="6" t="n">
        <v>3</v>
      </c>
      <c r="D107" s="6" t="s">
        <v>652</v>
      </c>
      <c r="E107" s="6" t="s">
        <v>723</v>
      </c>
      <c r="F107" s="6" t="s">
        <v>2</v>
      </c>
    </row>
    <row r="108" customFormat="false" ht="15" hidden="false" customHeight="false" outlineLevel="0" collapsed="false">
      <c r="A108" s="6" t="s">
        <v>426</v>
      </c>
      <c r="B108" s="6" t="s">
        <v>427</v>
      </c>
      <c r="C108" s="6" t="n">
        <v>3</v>
      </c>
      <c r="D108" s="6" t="s">
        <v>652</v>
      </c>
      <c r="E108" s="6" t="s">
        <v>724</v>
      </c>
      <c r="F108" s="6" t="s">
        <v>2</v>
      </c>
    </row>
    <row r="109" customFormat="false" ht="15" hidden="false" customHeight="false" outlineLevel="0" collapsed="false">
      <c r="A109" s="6" t="s">
        <v>428</v>
      </c>
      <c r="B109" s="6" t="s">
        <v>431</v>
      </c>
      <c r="C109" s="6" t="n">
        <v>3</v>
      </c>
      <c r="D109" s="6" t="s">
        <v>652</v>
      </c>
      <c r="E109" s="6" t="s">
        <v>725</v>
      </c>
      <c r="F109" s="6" t="s">
        <v>2</v>
      </c>
    </row>
    <row r="110" customFormat="false" ht="15" hidden="false" customHeight="false" outlineLevel="0" collapsed="false">
      <c r="A110" s="6" t="s">
        <v>432</v>
      </c>
      <c r="B110" s="6" t="s">
        <v>433</v>
      </c>
      <c r="C110" s="6" t="n">
        <v>3</v>
      </c>
      <c r="D110" s="6" t="s">
        <v>652</v>
      </c>
      <c r="E110" s="6" t="s">
        <v>726</v>
      </c>
      <c r="F110" s="6" t="s">
        <v>2</v>
      </c>
    </row>
    <row r="111" customFormat="false" ht="15" hidden="false" customHeight="false" outlineLevel="0" collapsed="false">
      <c r="A111" s="6" t="s">
        <v>434</v>
      </c>
      <c r="B111" s="6" t="s">
        <v>435</v>
      </c>
      <c r="C111" s="6" t="n">
        <v>3</v>
      </c>
      <c r="D111" s="6" t="s">
        <v>652</v>
      </c>
      <c r="E111" s="6" t="s">
        <v>727</v>
      </c>
      <c r="F111" s="6" t="s">
        <v>2</v>
      </c>
    </row>
    <row r="112" customFormat="false" ht="15" hidden="false" customHeight="false" outlineLevel="0" collapsed="false">
      <c r="A112" s="6" t="s">
        <v>436</v>
      </c>
      <c r="B112" s="6" t="s">
        <v>437</v>
      </c>
      <c r="C112" s="6" t="n">
        <v>1</v>
      </c>
      <c r="D112" s="6" t="s">
        <v>652</v>
      </c>
      <c r="E112" s="6" t="s">
        <v>728</v>
      </c>
      <c r="F112" s="6" t="s">
        <v>2</v>
      </c>
    </row>
    <row r="113" customFormat="false" ht="15" hidden="false" customHeight="false" outlineLevel="0" collapsed="false">
      <c r="A113" s="6" t="s">
        <v>438</v>
      </c>
      <c r="B113" s="6" t="s">
        <v>439</v>
      </c>
      <c r="C113" s="6" t="n">
        <v>3</v>
      </c>
      <c r="D113" s="6" t="s">
        <v>652</v>
      </c>
      <c r="E113" s="6" t="s">
        <v>729</v>
      </c>
      <c r="F113" s="6" t="s">
        <v>2</v>
      </c>
    </row>
    <row r="114" customFormat="false" ht="15" hidden="false" customHeight="false" outlineLevel="0" collapsed="false">
      <c r="A114" s="6" t="s">
        <v>440</v>
      </c>
      <c r="B114" s="6" t="s">
        <v>441</v>
      </c>
      <c r="C114" s="6" t="n">
        <v>5</v>
      </c>
      <c r="D114" s="6" t="s">
        <v>652</v>
      </c>
      <c r="E114" s="6" t="s">
        <v>730</v>
      </c>
      <c r="F114" s="6" t="s">
        <v>2</v>
      </c>
    </row>
    <row r="115" customFormat="false" ht="15" hidden="false" customHeight="false" outlineLevel="0" collapsed="false">
      <c r="A115" s="6" t="s">
        <v>442</v>
      </c>
      <c r="B115" s="6" t="s">
        <v>443</v>
      </c>
      <c r="C115" s="6" t="n">
        <v>3</v>
      </c>
      <c r="D115" s="6" t="s">
        <v>652</v>
      </c>
      <c r="E115" s="6" t="s">
        <v>731</v>
      </c>
      <c r="F115" s="6" t="s">
        <v>2</v>
      </c>
    </row>
    <row r="116" customFormat="false" ht="15" hidden="false" customHeight="false" outlineLevel="0" collapsed="false">
      <c r="A116" s="6" t="s">
        <v>444</v>
      </c>
      <c r="B116" s="6" t="s">
        <v>445</v>
      </c>
      <c r="C116" s="6" t="n">
        <v>1</v>
      </c>
      <c r="D116" s="6" t="s">
        <v>652</v>
      </c>
      <c r="E116" s="6" t="s">
        <v>732</v>
      </c>
      <c r="F116" s="6" t="s">
        <v>2</v>
      </c>
    </row>
    <row r="117" customFormat="false" ht="23.85" hidden="false" customHeight="false" outlineLevel="0" collapsed="false">
      <c r="A117" s="6" t="s">
        <v>446</v>
      </c>
      <c r="B117" s="6" t="s">
        <v>447</v>
      </c>
      <c r="C117" s="6" t="n">
        <v>2</v>
      </c>
      <c r="D117" s="6" t="s">
        <v>652</v>
      </c>
      <c r="E117" s="6" t="s">
        <v>733</v>
      </c>
      <c r="F117" s="6" t="s">
        <v>2</v>
      </c>
    </row>
    <row r="118" customFormat="false" ht="15" hidden="false" customHeight="false" outlineLevel="0" collapsed="false">
      <c r="A118" s="6" t="s">
        <v>448</v>
      </c>
      <c r="B118" s="6" t="s">
        <v>449</v>
      </c>
      <c r="C118" s="6" t="n">
        <v>6</v>
      </c>
      <c r="D118" s="6" t="s">
        <v>652</v>
      </c>
      <c r="E118" s="6" t="s">
        <v>734</v>
      </c>
      <c r="F118" s="6" t="s">
        <v>2</v>
      </c>
    </row>
    <row r="120" customFormat="false" ht="15" hidden="false" customHeight="false" outlineLevel="0" collapsed="false">
      <c r="A120" s="9" t="s">
        <v>735</v>
      </c>
    </row>
    <row r="121" customFormat="false" ht="15" hidden="false" customHeight="false" outlineLevel="0" collapsed="false">
      <c r="A121" s="10" t="s">
        <v>35</v>
      </c>
      <c r="B121" s="10" t="s">
        <v>41</v>
      </c>
      <c r="C121" s="10" t="s">
        <v>736</v>
      </c>
    </row>
    <row r="122" customFormat="false" ht="79.85" hidden="false" customHeight="false" outlineLevel="0" collapsed="false">
      <c r="A122" s="6" t="s">
        <v>44</v>
      </c>
      <c r="B122" s="6" t="s">
        <v>737</v>
      </c>
      <c r="C122" s="6" t="s">
        <v>738</v>
      </c>
    </row>
    <row r="123" customFormat="false" ht="79.85" hidden="false" customHeight="false" outlineLevel="0" collapsed="false">
      <c r="A123" s="6" t="s">
        <v>132</v>
      </c>
      <c r="B123" s="6" t="s">
        <v>737</v>
      </c>
      <c r="C123" s="6" t="s">
        <v>739</v>
      </c>
    </row>
    <row r="124" customFormat="false" ht="68.65" hidden="false" customHeight="false" outlineLevel="0" collapsed="false">
      <c r="A124" s="6" t="s">
        <v>174</v>
      </c>
      <c r="B124" s="6" t="s">
        <v>737</v>
      </c>
      <c r="C124" s="6" t="s">
        <v>740</v>
      </c>
    </row>
    <row r="125" customFormat="false" ht="102.2" hidden="false" customHeight="false" outlineLevel="0" collapsed="false">
      <c r="A125" s="6" t="s">
        <v>271</v>
      </c>
      <c r="B125" s="6" t="s">
        <v>737</v>
      </c>
      <c r="C125" s="6" t="s">
        <v>741</v>
      </c>
    </row>
    <row r="126" customFormat="false" ht="102.2" hidden="false" customHeight="false" outlineLevel="0" collapsed="false">
      <c r="A126" s="6" t="s">
        <v>312</v>
      </c>
      <c r="B126" s="6" t="s">
        <v>737</v>
      </c>
      <c r="C126" s="6" t="s">
        <v>742</v>
      </c>
    </row>
    <row r="127" customFormat="false" ht="102.2" hidden="false" customHeight="false" outlineLevel="0" collapsed="false">
      <c r="A127" s="6" t="s">
        <v>385</v>
      </c>
      <c r="B127" s="6" t="s">
        <v>737</v>
      </c>
      <c r="C127" s="6" t="s">
        <v>743</v>
      </c>
    </row>
    <row r="128" customFormat="false" ht="57.45" hidden="false" customHeight="false" outlineLevel="0" collapsed="false">
      <c r="A128" s="6" t="s">
        <v>429</v>
      </c>
      <c r="B128" s="6" t="s">
        <v>737</v>
      </c>
      <c r="C128" s="6" t="s">
        <v>744</v>
      </c>
    </row>
    <row r="129" customFormat="false" ht="79.85" hidden="false" customHeight="false" outlineLevel="0" collapsed="false">
      <c r="A129" s="6" t="s">
        <v>451</v>
      </c>
      <c r="B129" s="6" t="s">
        <v>745</v>
      </c>
      <c r="C129" s="6" t="s">
        <v>746</v>
      </c>
    </row>
    <row r="130" customFormat="false" ht="79.85" hidden="false" customHeight="false" outlineLevel="0" collapsed="false">
      <c r="A130" s="6" t="s">
        <v>479</v>
      </c>
      <c r="B130" s="6" t="s">
        <v>745</v>
      </c>
      <c r="C130" s="6" t="s">
        <v>746</v>
      </c>
    </row>
    <row r="131" customFormat="false" ht="79.85" hidden="false" customHeight="false" outlineLevel="0" collapsed="false">
      <c r="A131" s="6" t="s">
        <v>503</v>
      </c>
      <c r="B131" s="6" t="s">
        <v>745</v>
      </c>
      <c r="C131" s="6" t="s">
        <v>746</v>
      </c>
    </row>
    <row r="132" customFormat="false" ht="79.85" hidden="false" customHeight="false" outlineLevel="0" collapsed="false">
      <c r="A132" s="6" t="s">
        <v>525</v>
      </c>
      <c r="B132" s="6" t="s">
        <v>745</v>
      </c>
      <c r="C132" s="6" t="s">
        <v>746</v>
      </c>
    </row>
    <row r="133" customFormat="false" ht="79.85" hidden="false" customHeight="false" outlineLevel="0" collapsed="false">
      <c r="A133" s="6" t="s">
        <v>545</v>
      </c>
      <c r="B133" s="6" t="s">
        <v>745</v>
      </c>
      <c r="C133" s="6" t="s">
        <v>746</v>
      </c>
    </row>
    <row r="134" customFormat="false" ht="79.85" hidden="false" customHeight="false" outlineLevel="0" collapsed="false">
      <c r="A134" s="6" t="s">
        <v>596</v>
      </c>
      <c r="B134" s="6" t="s">
        <v>745</v>
      </c>
      <c r="C134" s="6" t="s">
        <v>746</v>
      </c>
    </row>
  </sheetData>
  <autoFilter ref="A1:F118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"/>
    <col collapsed="false" customWidth="true" hidden="false" outlineLevel="0" max="2" min="2" style="0" width="42"/>
    <col collapsed="false" customWidth="true" hidden="false" outlineLevel="0" max="3" min="3" style="0" width="60"/>
    <col collapsed="false" customWidth="true" hidden="false" outlineLevel="0" max="4" min="4" style="0" width="30"/>
    <col collapsed="false" customWidth="true" hidden="false" outlineLevel="0" max="5" min="5" style="0" width="22"/>
    <col collapsed="false" customWidth="true" hidden="false" outlineLevel="0" max="6" min="6" style="0" width="44"/>
  </cols>
  <sheetData>
    <row r="1" customFormat="false" ht="31.5" hidden="false" customHeight="true" outlineLevel="0" collapsed="false">
      <c r="A1" s="5" t="s">
        <v>34</v>
      </c>
      <c r="B1" s="5" t="s">
        <v>747</v>
      </c>
      <c r="C1" s="5" t="s">
        <v>748</v>
      </c>
      <c r="D1" s="5" t="s">
        <v>749</v>
      </c>
      <c r="E1" s="5" t="s">
        <v>750</v>
      </c>
      <c r="F1" s="5" t="s">
        <v>41</v>
      </c>
    </row>
    <row r="2" customFormat="false" ht="23.85" hidden="false" customHeight="false" outlineLevel="0" collapsed="false">
      <c r="A2" s="6" t="s">
        <v>288</v>
      </c>
      <c r="B2" s="11" t="s">
        <v>751</v>
      </c>
      <c r="C2" s="6" t="s">
        <v>752</v>
      </c>
      <c r="D2" s="6" t="s">
        <v>753</v>
      </c>
      <c r="E2" s="6" t="s">
        <v>754</v>
      </c>
      <c r="F2" s="6" t="s">
        <v>755</v>
      </c>
    </row>
    <row r="3" customFormat="false" ht="23.85" hidden="false" customHeight="false" outlineLevel="0" collapsed="false">
      <c r="A3" s="6" t="s">
        <v>301</v>
      </c>
      <c r="B3" s="11" t="s">
        <v>756</v>
      </c>
      <c r="C3" s="6" t="s">
        <v>757</v>
      </c>
      <c r="D3" s="6" t="s">
        <v>758</v>
      </c>
      <c r="E3" s="6" t="s">
        <v>759</v>
      </c>
      <c r="F3" s="6" t="s">
        <v>755</v>
      </c>
    </row>
    <row r="4" customFormat="false" ht="23.85" hidden="false" customHeight="false" outlineLevel="0" collapsed="false">
      <c r="A4" s="6" t="s">
        <v>328</v>
      </c>
      <c r="B4" s="11" t="s">
        <v>760</v>
      </c>
      <c r="C4" s="6" t="s">
        <v>761</v>
      </c>
      <c r="D4" s="6" t="s">
        <v>762</v>
      </c>
      <c r="E4" s="6" t="s">
        <v>759</v>
      </c>
      <c r="F4" s="6" t="s">
        <v>755</v>
      </c>
    </row>
    <row r="5" customFormat="false" ht="23.85" hidden="false" customHeight="false" outlineLevel="0" collapsed="false">
      <c r="A5" s="6" t="s">
        <v>328</v>
      </c>
      <c r="B5" s="11" t="s">
        <v>763</v>
      </c>
      <c r="C5" s="6" t="s">
        <v>764</v>
      </c>
      <c r="D5" s="6" t="s">
        <v>765</v>
      </c>
      <c r="E5" s="6" t="s">
        <v>766</v>
      </c>
      <c r="F5" s="6" t="s">
        <v>755</v>
      </c>
    </row>
    <row r="6" customFormat="false" ht="23.85" hidden="false" customHeight="false" outlineLevel="0" collapsed="false">
      <c r="A6" s="6" t="s">
        <v>361</v>
      </c>
      <c r="B6" s="11" t="s">
        <v>767</v>
      </c>
      <c r="C6" s="6" t="s">
        <v>768</v>
      </c>
      <c r="D6" s="6" t="s">
        <v>769</v>
      </c>
      <c r="E6" s="6" t="s">
        <v>770</v>
      </c>
      <c r="F6" s="6" t="s">
        <v>755</v>
      </c>
    </row>
    <row r="7" customFormat="false" ht="23.85" hidden="false" customHeight="false" outlineLevel="0" collapsed="false">
      <c r="A7" s="6" t="s">
        <v>374</v>
      </c>
      <c r="B7" s="11" t="s">
        <v>771</v>
      </c>
      <c r="C7" s="6" t="s">
        <v>772</v>
      </c>
      <c r="D7" s="6" t="s">
        <v>773</v>
      </c>
      <c r="E7" s="6" t="s">
        <v>759</v>
      </c>
      <c r="F7" s="6" t="s">
        <v>755</v>
      </c>
    </row>
    <row r="8" customFormat="false" ht="23.85" hidden="false" customHeight="false" outlineLevel="0" collapsed="false">
      <c r="A8" s="6" t="s">
        <v>370</v>
      </c>
      <c r="B8" s="11" t="s">
        <v>774</v>
      </c>
      <c r="C8" s="6" t="s">
        <v>775</v>
      </c>
      <c r="D8" s="6" t="s">
        <v>776</v>
      </c>
      <c r="E8" s="6" t="s">
        <v>759</v>
      </c>
      <c r="F8" s="6" t="s">
        <v>755</v>
      </c>
    </row>
    <row r="9" customFormat="false" ht="23.85" hidden="false" customHeight="false" outlineLevel="0" collapsed="false">
      <c r="A9" s="6" t="s">
        <v>348</v>
      </c>
      <c r="B9" s="11" t="s">
        <v>777</v>
      </c>
      <c r="C9" s="6" t="s">
        <v>778</v>
      </c>
      <c r="D9" s="6" t="s">
        <v>779</v>
      </c>
      <c r="E9" s="6" t="s">
        <v>780</v>
      </c>
      <c r="F9" s="6" t="s">
        <v>755</v>
      </c>
    </row>
    <row r="10" customFormat="false" ht="23.85" hidden="false" customHeight="false" outlineLevel="0" collapsed="false">
      <c r="A10" s="6" t="s">
        <v>398</v>
      </c>
      <c r="B10" s="11" t="s">
        <v>781</v>
      </c>
      <c r="C10" s="6" t="s">
        <v>782</v>
      </c>
      <c r="D10" s="6" t="s">
        <v>783</v>
      </c>
      <c r="E10" s="6" t="s">
        <v>784</v>
      </c>
      <c r="F10" s="6" t="s">
        <v>755</v>
      </c>
    </row>
  </sheetData>
  <hyperlinks>
    <hyperlink ref="B2" r:id="rId1" display="https://www.youtube.com/watch?v=GgEFNTCF3hE"/>
    <hyperlink ref="B3" r:id="rId2" display="https://www.youtube.com/watch?v=oUO9OtDKkIo"/>
    <hyperlink ref="B4" r:id="rId3" display="https://www.youtube.com/watch?v=EHNIZ5YyVgw"/>
    <hyperlink ref="B5" r:id="rId4" display="https://www.youtube.com/watch?v=oQkzUPrnVt8"/>
    <hyperlink ref="B6" r:id="rId5" display="https://www.youtube.com/watch?v=mS5n2wNjuDs"/>
    <hyperlink ref="B7" r:id="rId6" display="https://www.youtube.com/watch?v=yGlP6mraFsI"/>
    <hyperlink ref="B8" r:id="rId7" display="https://www.youtube.com/watch?v=1RNmygm6Crs"/>
    <hyperlink ref="B9" r:id="rId8" display="https://www.youtube.com/watch?v=G-LbrNbOd-Y"/>
    <hyperlink ref="B10" r:id="rId9" display="https://www.youtube.com/watch?v=QiS7Xxya_2U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Y28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9"/>
    <col collapsed="false" customWidth="true" hidden="false" outlineLevel="0" max="2" min="2" style="0" width="11"/>
    <col collapsed="false" customWidth="true" hidden="false" outlineLevel="0" max="3" min="3" style="0" width="22"/>
    <col collapsed="false" customWidth="true" hidden="false" outlineLevel="0" max="4" min="4" style="0" width="40"/>
    <col collapsed="false" customWidth="true" hidden="false" outlineLevel="0" max="5" min="5" style="0" width="48"/>
    <col collapsed="false" customWidth="true" hidden="false" outlineLevel="0" max="6" min="6" style="0" width="40"/>
    <col collapsed="false" customWidth="true" hidden="false" outlineLevel="0" max="7" min="7" style="0" width="28"/>
    <col collapsed="false" customWidth="true" hidden="false" outlineLevel="0" max="8" min="8" style="0" width="26"/>
    <col collapsed="false" customWidth="true" hidden="false" outlineLevel="0" max="9" min="9" style="0" width="10"/>
    <col collapsed="false" customWidth="true" hidden="false" outlineLevel="0" max="10" min="10" style="0" width="12"/>
    <col collapsed="false" customWidth="true" hidden="false" outlineLevel="0" max="11" min="11" style="0" width="8"/>
    <col collapsed="false" customWidth="true" hidden="false" outlineLevel="0" max="13" min="12" style="0" width="14"/>
    <col collapsed="false" customWidth="true" hidden="false" outlineLevel="0" max="14" min="14" style="0" width="18"/>
    <col collapsed="false" customWidth="true" hidden="false" outlineLevel="0" max="15" min="15" style="0" width="22"/>
    <col collapsed="false" customWidth="true" hidden="false" outlineLevel="0" max="16" min="16" style="0" width="12"/>
    <col collapsed="false" customWidth="true" hidden="false" outlineLevel="0" max="17" min="17" style="0" width="30"/>
    <col collapsed="false" customWidth="true" hidden="false" outlineLevel="0" max="23" min="18" style="0" width="9"/>
    <col collapsed="false" customWidth="true" hidden="false" outlineLevel="0" max="24" min="24" style="0" width="12"/>
    <col collapsed="false" customWidth="true" hidden="false" outlineLevel="0" max="25" min="25" style="0" width="44"/>
  </cols>
  <sheetData>
    <row r="1" customFormat="false" ht="31.5" hidden="false" customHeight="true" outlineLevel="0" collapsed="false">
      <c r="A1" s="5" t="s">
        <v>7</v>
      </c>
      <c r="B1" s="5" t="s">
        <v>785</v>
      </c>
      <c r="C1" s="5" t="s">
        <v>786</v>
      </c>
      <c r="D1" s="5" t="s">
        <v>787</v>
      </c>
      <c r="E1" s="5" t="s">
        <v>788</v>
      </c>
      <c r="F1" s="5" t="s">
        <v>747</v>
      </c>
      <c r="G1" s="5" t="s">
        <v>789</v>
      </c>
      <c r="H1" s="5" t="s">
        <v>790</v>
      </c>
      <c r="I1" s="5" t="s">
        <v>791</v>
      </c>
      <c r="J1" s="5" t="s">
        <v>792</v>
      </c>
      <c r="K1" s="5" t="s">
        <v>793</v>
      </c>
      <c r="L1" s="5" t="s">
        <v>794</v>
      </c>
      <c r="M1" s="5" t="s">
        <v>795</v>
      </c>
      <c r="N1" s="5" t="s">
        <v>796</v>
      </c>
      <c r="O1" s="5" t="s">
        <v>797</v>
      </c>
      <c r="P1" s="5" t="s">
        <v>798</v>
      </c>
      <c r="Q1" s="5" t="s">
        <v>799</v>
      </c>
      <c r="R1" s="5" t="s">
        <v>800</v>
      </c>
      <c r="S1" s="5" t="s">
        <v>801</v>
      </c>
      <c r="T1" s="5" t="s">
        <v>802</v>
      </c>
      <c r="U1" s="5" t="s">
        <v>803</v>
      </c>
      <c r="V1" s="5" t="s">
        <v>804</v>
      </c>
      <c r="W1" s="5" t="s">
        <v>805</v>
      </c>
      <c r="X1" s="5" t="s">
        <v>806</v>
      </c>
      <c r="Y1" s="5" t="s">
        <v>736</v>
      </c>
    </row>
    <row r="2" customFormat="false" ht="23.85" hidden="false" customHeight="false" outlineLevel="0" collapsed="false">
      <c r="A2" s="6" t="s">
        <v>807</v>
      </c>
      <c r="B2" s="6" t="s">
        <v>173</v>
      </c>
      <c r="C2" s="6" t="s">
        <v>177</v>
      </c>
      <c r="D2" s="6" t="str">
        <f aca="false">IFERROR(INDEX(Mundarija!$D:$D,MATCH(B2,Mundarija!$A:$A,0)),"kod topilmadi")</f>
        <v>10.1. Jigar segmentlari, normal anatomiyasi va o‘lchamlari.</v>
      </c>
      <c r="E2" s="6" t="s">
        <v>808</v>
      </c>
      <c r="F2" s="11" t="s">
        <v>809</v>
      </c>
      <c r="G2" s="6" t="s">
        <v>810</v>
      </c>
      <c r="H2" s="6" t="s">
        <v>811</v>
      </c>
      <c r="I2" s="6" t="s">
        <v>812</v>
      </c>
      <c r="J2" s="6" t="s">
        <v>813</v>
      </c>
      <c r="K2" s="6" t="s">
        <v>814</v>
      </c>
      <c r="L2" s="6" t="s">
        <v>815</v>
      </c>
      <c r="M2" s="6" t="s">
        <v>816</v>
      </c>
      <c r="N2" s="12" t="s">
        <v>817</v>
      </c>
      <c r="O2" s="6" t="s">
        <v>818</v>
      </c>
      <c r="P2" s="6" t="s">
        <v>2</v>
      </c>
      <c r="Q2" s="6" t="s">
        <v>20</v>
      </c>
      <c r="R2" s="12"/>
      <c r="S2" s="12"/>
      <c r="T2" s="12"/>
      <c r="U2" s="12"/>
      <c r="V2" s="12"/>
      <c r="W2" s="12"/>
      <c r="X2" s="6" t="str">
        <f aca="false">IF(COUNT(R2:W2)=6,SUM(R2:W2),"ko‘rilmagan")</f>
        <v>ko‘rilmagan</v>
      </c>
      <c r="Y2" s="12" t="s">
        <v>819</v>
      </c>
    </row>
    <row r="3" customFormat="false" ht="23.85" hidden="false" customHeight="false" outlineLevel="0" collapsed="false">
      <c r="A3" s="6" t="s">
        <v>820</v>
      </c>
      <c r="B3" s="6" t="s">
        <v>173</v>
      </c>
      <c r="C3" s="6"/>
      <c r="D3" s="6" t="str">
        <f aca="false">IFERROR(INDEX(Mundarija!$D:$D,MATCH(B3,Mundarija!$A:$A,0)),"kod topilmadi")</f>
        <v>10.1. Jigar segmentlari, normal anatomiyasi va o‘lchamlari.</v>
      </c>
      <c r="E3" s="6" t="s">
        <v>821</v>
      </c>
      <c r="F3" s="11" t="s">
        <v>822</v>
      </c>
      <c r="G3" s="6" t="s">
        <v>823</v>
      </c>
      <c r="H3" s="6" t="s">
        <v>824</v>
      </c>
      <c r="I3" s="6" t="s">
        <v>825</v>
      </c>
      <c r="J3" s="6" t="s">
        <v>826</v>
      </c>
      <c r="K3" s="6" t="s">
        <v>814</v>
      </c>
      <c r="L3" s="6" t="s">
        <v>815</v>
      </c>
      <c r="M3" s="6" t="s">
        <v>827</v>
      </c>
      <c r="N3" s="12" t="s">
        <v>817</v>
      </c>
      <c r="O3" s="6" t="s">
        <v>818</v>
      </c>
      <c r="P3" s="6" t="s">
        <v>2</v>
      </c>
      <c r="Q3" s="6" t="s">
        <v>20</v>
      </c>
      <c r="R3" s="12"/>
      <c r="S3" s="12"/>
      <c r="T3" s="12"/>
      <c r="U3" s="12"/>
      <c r="V3" s="12"/>
      <c r="W3" s="12"/>
      <c r="X3" s="6" t="str">
        <f aca="false">IF(COUNT(R3:W3)=6,SUM(R3:W3),"ko‘rilmagan")</f>
        <v>ko‘rilmagan</v>
      </c>
      <c r="Y3" s="12" t="s">
        <v>819</v>
      </c>
    </row>
    <row r="4" customFormat="false" ht="23.85" hidden="false" customHeight="false" outlineLevel="0" collapsed="false">
      <c r="A4" s="6" t="s">
        <v>828</v>
      </c>
      <c r="B4" s="6" t="s">
        <v>177</v>
      </c>
      <c r="C4" s="6"/>
      <c r="D4" s="6" t="str">
        <f aca="false">IFERROR(INDEX(Mundarija!$D:$D,MATCH(B4,Mundarija!$A:$A,0)),"kod topilmadi")</f>
        <v>10.2. Jigarni standart tekshirish protokoli.</v>
      </c>
      <c r="E4" s="6" t="s">
        <v>829</v>
      </c>
      <c r="F4" s="11" t="s">
        <v>830</v>
      </c>
      <c r="G4" s="6" t="s">
        <v>823</v>
      </c>
      <c r="H4" s="6" t="s">
        <v>824</v>
      </c>
      <c r="I4" s="6" t="s">
        <v>831</v>
      </c>
      <c r="J4" s="6" t="s">
        <v>832</v>
      </c>
      <c r="K4" s="6" t="s">
        <v>814</v>
      </c>
      <c r="L4" s="6" t="s">
        <v>815</v>
      </c>
      <c r="M4" s="6" t="s">
        <v>827</v>
      </c>
      <c r="N4" s="12" t="s">
        <v>817</v>
      </c>
      <c r="O4" s="6" t="s">
        <v>818</v>
      </c>
      <c r="P4" s="6" t="s">
        <v>2</v>
      </c>
      <c r="Q4" s="6" t="s">
        <v>20</v>
      </c>
      <c r="R4" s="12"/>
      <c r="S4" s="12"/>
      <c r="T4" s="12"/>
      <c r="U4" s="12"/>
      <c r="V4" s="12"/>
      <c r="W4" s="12"/>
      <c r="X4" s="6" t="str">
        <f aca="false">IF(COUNT(R4:W4)=6,SUM(R4:W4),"ko‘rilmagan")</f>
        <v>ko‘rilmagan</v>
      </c>
      <c r="Y4" s="12" t="s">
        <v>833</v>
      </c>
    </row>
    <row r="5" customFormat="false" ht="23.85" hidden="false" customHeight="false" outlineLevel="0" collapsed="false">
      <c r="A5" s="6" t="s">
        <v>834</v>
      </c>
      <c r="B5" s="6" t="s">
        <v>206</v>
      </c>
      <c r="C5" s="6"/>
      <c r="D5" s="6" t="str">
        <f aca="false">IFERROR(INDEX(Mundarija!$D:$D,MATCH(B5,Mundarija!$A:$A,0)),"kod topilmadi")</f>
        <v>11.6. Umumiy o‘t yo‘li (CBD)ni turli kesimlarda topish va tekshirish.</v>
      </c>
      <c r="E5" s="6" t="s">
        <v>835</v>
      </c>
      <c r="F5" s="11" t="s">
        <v>836</v>
      </c>
      <c r="G5" s="6" t="s">
        <v>837</v>
      </c>
      <c r="H5" s="6" t="s">
        <v>838</v>
      </c>
      <c r="I5" s="6" t="s">
        <v>839</v>
      </c>
      <c r="J5" s="6" t="s">
        <v>813</v>
      </c>
      <c r="K5" s="6" t="s">
        <v>814</v>
      </c>
      <c r="L5" s="6" t="s">
        <v>840</v>
      </c>
      <c r="M5" s="6" t="s">
        <v>827</v>
      </c>
      <c r="N5" s="12" t="s">
        <v>817</v>
      </c>
      <c r="O5" s="6" t="s">
        <v>818</v>
      </c>
      <c r="P5" s="6" t="s">
        <v>2</v>
      </c>
      <c r="Q5" s="6" t="s">
        <v>20</v>
      </c>
      <c r="R5" s="12"/>
      <c r="S5" s="12"/>
      <c r="T5" s="12"/>
      <c r="U5" s="12"/>
      <c r="V5" s="12"/>
      <c r="W5" s="12"/>
      <c r="X5" s="6" t="str">
        <f aca="false">IF(COUNT(R5:W5)=6,SUM(R5:W5),"ko‘rilmagan")</f>
        <v>ko‘rilmagan</v>
      </c>
      <c r="Y5" s="12" t="s">
        <v>841</v>
      </c>
    </row>
    <row r="6" customFormat="false" ht="35.05" hidden="false" customHeight="false" outlineLevel="0" collapsed="false">
      <c r="A6" s="6" t="s">
        <v>842</v>
      </c>
      <c r="B6" s="6" t="s">
        <v>188</v>
      </c>
      <c r="C6" s="6" t="s">
        <v>557</v>
      </c>
      <c r="D6" s="6" t="str">
        <f aca="false">IFERROR(INDEX(Mundarija!$D:$D,MATCH(B6,Mundarija!$A:$A,0)),"kod topilmadi")</f>
        <v>10.7. Jigar elastografiyasi: ko‘rsatmalar, texnika va cheklovlar.</v>
      </c>
      <c r="E6" s="6" t="s">
        <v>843</v>
      </c>
      <c r="F6" s="11" t="s">
        <v>844</v>
      </c>
      <c r="G6" s="6" t="s">
        <v>845</v>
      </c>
      <c r="H6" s="6" t="s">
        <v>846</v>
      </c>
      <c r="I6" s="6" t="s">
        <v>813</v>
      </c>
      <c r="J6" s="6" t="s">
        <v>813</v>
      </c>
      <c r="K6" s="6" t="s">
        <v>814</v>
      </c>
      <c r="L6" s="6" t="s">
        <v>847</v>
      </c>
      <c r="M6" s="6" t="s">
        <v>848</v>
      </c>
      <c r="N6" s="12" t="s">
        <v>817</v>
      </c>
      <c r="O6" s="6" t="s">
        <v>818</v>
      </c>
      <c r="P6" s="6" t="s">
        <v>2</v>
      </c>
      <c r="Q6" s="6" t="s">
        <v>20</v>
      </c>
      <c r="R6" s="12"/>
      <c r="S6" s="12"/>
      <c r="T6" s="12"/>
      <c r="U6" s="12"/>
      <c r="V6" s="12"/>
      <c r="W6" s="12"/>
      <c r="X6" s="6" t="str">
        <f aca="false">IF(COUNT(R6:W6)=6,SUM(R6:W6),"ko‘rilmagan")</f>
        <v>ko‘rilmagan</v>
      </c>
      <c r="Y6" s="12" t="s">
        <v>849</v>
      </c>
    </row>
    <row r="7" customFormat="false" ht="23.85" hidden="false" customHeight="false" outlineLevel="0" collapsed="false">
      <c r="A7" s="6" t="s">
        <v>850</v>
      </c>
      <c r="B7" s="6" t="s">
        <v>148</v>
      </c>
      <c r="C7" s="6" t="s">
        <v>851</v>
      </c>
      <c r="D7" s="6" t="str">
        <f aca="false">IFERROR(INDEX(Mundarija!$D:$D,MATCH(B7,Mundarija!$A:$A,0)),"kod topilmadi")</f>
        <v>8.2. Bo‘ylama, ko‘ndalang va qiya tekisliklar.</v>
      </c>
      <c r="E7" s="6" t="s">
        <v>852</v>
      </c>
      <c r="F7" s="11" t="s">
        <v>853</v>
      </c>
      <c r="G7" s="6" t="s">
        <v>810</v>
      </c>
      <c r="H7" s="6" t="s">
        <v>811</v>
      </c>
      <c r="I7" s="6" t="s">
        <v>854</v>
      </c>
      <c r="J7" s="6" t="s">
        <v>813</v>
      </c>
      <c r="K7" s="6" t="s">
        <v>814</v>
      </c>
      <c r="L7" s="6" t="s">
        <v>815</v>
      </c>
      <c r="M7" s="6" t="s">
        <v>848</v>
      </c>
      <c r="N7" s="12" t="s">
        <v>817</v>
      </c>
      <c r="O7" s="6" t="s">
        <v>818</v>
      </c>
      <c r="P7" s="6" t="s">
        <v>2</v>
      </c>
      <c r="Q7" s="6" t="s">
        <v>20</v>
      </c>
      <c r="R7" s="12"/>
      <c r="S7" s="12"/>
      <c r="T7" s="12"/>
      <c r="U7" s="12"/>
      <c r="V7" s="12"/>
      <c r="W7" s="12"/>
      <c r="X7" s="6" t="str">
        <f aca="false">IF(COUNT(R7:W7)=6,SUM(R7:W7),"ko‘rilmagan")</f>
        <v>ko‘rilmagan</v>
      </c>
      <c r="Y7" s="12" t="s">
        <v>855</v>
      </c>
    </row>
    <row r="8" customFormat="false" ht="35.05" hidden="false" customHeight="false" outlineLevel="0" collapsed="false">
      <c r="A8" s="6" t="s">
        <v>856</v>
      </c>
      <c r="B8" s="6" t="s">
        <v>260</v>
      </c>
      <c r="C8" s="6"/>
      <c r="D8" s="6" t="str">
        <f aca="false">IFERROR(INDEX(Mundarija!$D:$D,MATCH(B8,Mundarija!$A:$A,0)),"kod topilmadi")</f>
        <v>15.4. Erkin suyuqlik, peritoneal va mezenterial o‘zgarishlar.</v>
      </c>
      <c r="E8" s="6" t="s">
        <v>857</v>
      </c>
      <c r="F8" s="11" t="s">
        <v>858</v>
      </c>
      <c r="G8" s="6" t="s">
        <v>810</v>
      </c>
      <c r="H8" s="6" t="s">
        <v>811</v>
      </c>
      <c r="I8" s="6" t="s">
        <v>859</v>
      </c>
      <c r="J8" s="6" t="s">
        <v>813</v>
      </c>
      <c r="K8" s="6" t="s">
        <v>814</v>
      </c>
      <c r="L8" s="6" t="s">
        <v>815</v>
      </c>
      <c r="M8" s="6" t="s">
        <v>848</v>
      </c>
      <c r="N8" s="12" t="s">
        <v>817</v>
      </c>
      <c r="O8" s="6" t="s">
        <v>818</v>
      </c>
      <c r="P8" s="6" t="s">
        <v>2</v>
      </c>
      <c r="Q8" s="6" t="s">
        <v>20</v>
      </c>
      <c r="R8" s="12"/>
      <c r="S8" s="12"/>
      <c r="T8" s="12"/>
      <c r="U8" s="12"/>
      <c r="V8" s="12"/>
      <c r="W8" s="12"/>
      <c r="X8" s="6" t="str">
        <f aca="false">IF(COUNT(R8:W8)=6,SUM(R8:W8),"ko‘rilmagan")</f>
        <v>ko‘rilmagan</v>
      </c>
      <c r="Y8" s="12" t="s">
        <v>860</v>
      </c>
    </row>
    <row r="9" customFormat="false" ht="23.85" hidden="false" customHeight="false" outlineLevel="0" collapsed="false">
      <c r="A9" s="6" t="s">
        <v>861</v>
      </c>
      <c r="B9" s="6" t="s">
        <v>152</v>
      </c>
      <c r="C9" s="6"/>
      <c r="D9" s="6" t="str">
        <f aca="false">IFERROR(INDEX(Mundarija!$D:$D,MATCH(B9,Mundarija!$A:$A,0)),"kod topilmadi")</f>
        <v>8.4. Standart kesimlar va to‘liq tekshiruv protokollari.</v>
      </c>
      <c r="E9" s="6" t="s">
        <v>862</v>
      </c>
      <c r="F9" s="11" t="s">
        <v>863</v>
      </c>
      <c r="G9" s="6" t="s">
        <v>823</v>
      </c>
      <c r="H9" s="6" t="s">
        <v>824</v>
      </c>
      <c r="I9" s="6" t="s">
        <v>864</v>
      </c>
      <c r="J9" s="6" t="s">
        <v>865</v>
      </c>
      <c r="K9" s="6" t="s">
        <v>814</v>
      </c>
      <c r="L9" s="6" t="s">
        <v>815</v>
      </c>
      <c r="M9" s="6" t="s">
        <v>827</v>
      </c>
      <c r="N9" s="12" t="s">
        <v>817</v>
      </c>
      <c r="O9" s="6" t="s">
        <v>818</v>
      </c>
      <c r="P9" s="6" t="s">
        <v>2</v>
      </c>
      <c r="Q9" s="6" t="s">
        <v>20</v>
      </c>
      <c r="R9" s="12"/>
      <c r="S9" s="12"/>
      <c r="T9" s="12"/>
      <c r="U9" s="12"/>
      <c r="V9" s="12"/>
      <c r="W9" s="12"/>
      <c r="X9" s="6" t="str">
        <f aca="false">IF(COUNT(R9:W9)=6,SUM(R9:W9),"ko‘rilmagan")</f>
        <v>ko‘rilmagan</v>
      </c>
      <c r="Y9" s="12" t="s">
        <v>866</v>
      </c>
    </row>
    <row r="10" customFormat="false" ht="23.85" hidden="false" customHeight="false" outlineLevel="0" collapsed="false">
      <c r="A10" s="6" t="s">
        <v>867</v>
      </c>
      <c r="B10" s="6" t="s">
        <v>181</v>
      </c>
      <c r="C10" s="6"/>
      <c r="D10" s="6" t="str">
        <f aca="false">IFERROR(INDEX(Mundarija!$D:$D,MATCH(B10,Mundarija!$A:$A,0)),"kod topilmadi")</f>
        <v>10.4. Portal gipertenziya, portal va jigar venalari.</v>
      </c>
      <c r="E10" s="6" t="s">
        <v>868</v>
      </c>
      <c r="F10" s="11" t="s">
        <v>869</v>
      </c>
      <c r="G10" s="6" t="s">
        <v>823</v>
      </c>
      <c r="H10" s="6" t="s">
        <v>824</v>
      </c>
      <c r="I10" s="6" t="s">
        <v>870</v>
      </c>
      <c r="J10" s="6" t="s">
        <v>871</v>
      </c>
      <c r="K10" s="6" t="s">
        <v>814</v>
      </c>
      <c r="L10" s="6" t="s">
        <v>840</v>
      </c>
      <c r="M10" s="6" t="s">
        <v>827</v>
      </c>
      <c r="N10" s="12" t="s">
        <v>817</v>
      </c>
      <c r="O10" s="6" t="s">
        <v>818</v>
      </c>
      <c r="P10" s="6" t="s">
        <v>2</v>
      </c>
      <c r="Q10" s="6" t="s">
        <v>20</v>
      </c>
      <c r="R10" s="12"/>
      <c r="S10" s="12"/>
      <c r="T10" s="12"/>
      <c r="U10" s="12"/>
      <c r="V10" s="12"/>
      <c r="W10" s="12"/>
      <c r="X10" s="6" t="str">
        <f aca="false">IF(COUNT(R10:W10)=6,SUM(R10:W10),"ko‘rilmagan")</f>
        <v>ko‘rilmagan</v>
      </c>
      <c r="Y10" s="12" t="s">
        <v>872</v>
      </c>
    </row>
    <row r="11" customFormat="false" ht="23.85" hidden="false" customHeight="false" outlineLevel="0" collapsed="false">
      <c r="A11" s="6" t="s">
        <v>873</v>
      </c>
      <c r="B11" s="6" t="s">
        <v>212</v>
      </c>
      <c r="C11" s="6"/>
      <c r="D11" s="6" t="str">
        <f aca="false">IFERROR(INDEX(Mundarija!$D:$D,MATCH(B11,Mundarija!$A:$A,0)),"kod topilmadi")</f>
        <v>12.1. Normal anatomiya va vizualizatsiya usullari.</v>
      </c>
      <c r="E11" s="6" t="s">
        <v>874</v>
      </c>
      <c r="F11" s="11" t="s">
        <v>875</v>
      </c>
      <c r="G11" s="6" t="s">
        <v>823</v>
      </c>
      <c r="H11" s="6" t="s">
        <v>824</v>
      </c>
      <c r="I11" s="6" t="s">
        <v>876</v>
      </c>
      <c r="J11" s="6" t="s">
        <v>877</v>
      </c>
      <c r="K11" s="6" t="s">
        <v>814</v>
      </c>
      <c r="L11" s="6" t="s">
        <v>815</v>
      </c>
      <c r="M11" s="6" t="s">
        <v>827</v>
      </c>
      <c r="N11" s="12" t="s">
        <v>817</v>
      </c>
      <c r="O11" s="6" t="s">
        <v>818</v>
      </c>
      <c r="P11" s="6" t="s">
        <v>2</v>
      </c>
      <c r="Q11" s="6" t="s">
        <v>20</v>
      </c>
      <c r="R11" s="12"/>
      <c r="S11" s="12"/>
      <c r="T11" s="12"/>
      <c r="U11" s="12"/>
      <c r="V11" s="12"/>
      <c r="W11" s="12"/>
      <c r="X11" s="6" t="str">
        <f aca="false">IF(COUNT(R11:W11)=6,SUM(R11:W11),"ko‘rilmagan")</f>
        <v>ko‘rilmagan</v>
      </c>
      <c r="Y11" s="12" t="s">
        <v>878</v>
      </c>
    </row>
    <row r="12" customFormat="false" ht="23.85" hidden="false" customHeight="false" outlineLevel="0" collapsed="false">
      <c r="A12" s="6" t="s">
        <v>879</v>
      </c>
      <c r="B12" s="6" t="s">
        <v>232</v>
      </c>
      <c r="C12" s="6"/>
      <c r="D12" s="6" t="str">
        <f aca="false">IFERROR(INDEX(Mundarija!$D:$D,MATCH(B12,Mundarija!$A:$A,0)),"kod topilmadi")</f>
        <v>14.1. Buyrak anatomiyasi, o‘lchamlari va normal parenxima.</v>
      </c>
      <c r="E12" s="6" t="s">
        <v>880</v>
      </c>
      <c r="F12" s="11" t="s">
        <v>881</v>
      </c>
      <c r="G12" s="6" t="s">
        <v>823</v>
      </c>
      <c r="H12" s="6" t="s">
        <v>824</v>
      </c>
      <c r="I12" s="6" t="s">
        <v>882</v>
      </c>
      <c r="J12" s="6" t="s">
        <v>883</v>
      </c>
      <c r="K12" s="6" t="s">
        <v>814</v>
      </c>
      <c r="L12" s="6" t="s">
        <v>815</v>
      </c>
      <c r="M12" s="6" t="s">
        <v>827</v>
      </c>
      <c r="N12" s="12" t="s">
        <v>817</v>
      </c>
      <c r="O12" s="6" t="s">
        <v>818</v>
      </c>
      <c r="P12" s="6" t="s">
        <v>2</v>
      </c>
      <c r="Q12" s="6" t="s">
        <v>20</v>
      </c>
      <c r="R12" s="12"/>
      <c r="S12" s="12"/>
      <c r="T12" s="12"/>
      <c r="U12" s="12"/>
      <c r="V12" s="12"/>
      <c r="W12" s="12"/>
      <c r="X12" s="6" t="str">
        <f aca="false">IF(COUNT(R12:W12)=6,SUM(R12:W12),"ko‘rilmagan")</f>
        <v>ko‘rilmagan</v>
      </c>
      <c r="Y12" s="12" t="s">
        <v>884</v>
      </c>
    </row>
    <row r="13" customFormat="false" ht="23.85" hidden="false" customHeight="false" outlineLevel="0" collapsed="false">
      <c r="A13" s="6" t="s">
        <v>885</v>
      </c>
      <c r="B13" s="6" t="s">
        <v>237</v>
      </c>
      <c r="C13" s="6" t="s">
        <v>886</v>
      </c>
      <c r="D13" s="6" t="str">
        <f aca="false">IFERROR(INDEX(Mundarija!$D:$D,MATCH(B13,Mundarija!$A:$A,0)),"kod topilmadi")</f>
        <v>14.3. Nefrolitiaz va gidronefroz.</v>
      </c>
      <c r="E13" s="6" t="s">
        <v>887</v>
      </c>
      <c r="F13" s="11" t="s">
        <v>888</v>
      </c>
      <c r="G13" s="6" t="s">
        <v>823</v>
      </c>
      <c r="H13" s="6" t="s">
        <v>824</v>
      </c>
      <c r="I13" s="6" t="s">
        <v>889</v>
      </c>
      <c r="J13" s="6" t="s">
        <v>813</v>
      </c>
      <c r="K13" s="6" t="s">
        <v>814</v>
      </c>
      <c r="L13" s="6" t="s">
        <v>840</v>
      </c>
      <c r="M13" s="6" t="s">
        <v>827</v>
      </c>
      <c r="N13" s="12" t="s">
        <v>817</v>
      </c>
      <c r="O13" s="6" t="s">
        <v>818</v>
      </c>
      <c r="P13" s="6" t="s">
        <v>2</v>
      </c>
      <c r="Q13" s="6" t="s">
        <v>20</v>
      </c>
      <c r="R13" s="12"/>
      <c r="S13" s="12"/>
      <c r="T13" s="12"/>
      <c r="U13" s="12"/>
      <c r="V13" s="12"/>
      <c r="W13" s="12"/>
      <c r="X13" s="6" t="str">
        <f aca="false">IF(COUNT(R13:W13)=6,SUM(R13:W13),"ko‘rilmagan")</f>
        <v>ko‘rilmagan</v>
      </c>
      <c r="Y13" s="12" t="s">
        <v>890</v>
      </c>
    </row>
    <row r="14" customFormat="false" ht="35.05" hidden="false" customHeight="false" outlineLevel="0" collapsed="false">
      <c r="A14" s="6" t="s">
        <v>891</v>
      </c>
      <c r="B14" s="6" t="s">
        <v>158</v>
      </c>
      <c r="C14" s="6" t="s">
        <v>892</v>
      </c>
      <c r="D14" s="6" t="str">
        <f aca="false">IFERROR(INDEX(Mundarija!$D:$D,MATCH(B14,Mundarija!$A:$A,0)),"kod topilmadi")</f>
        <v>9.1. Normal anatomiyani patologiyadan farqlash.</v>
      </c>
      <c r="E14" s="6" t="s">
        <v>893</v>
      </c>
      <c r="F14" s="11" t="s">
        <v>894</v>
      </c>
      <c r="G14" s="6" t="s">
        <v>895</v>
      </c>
      <c r="H14" s="6" t="s">
        <v>896</v>
      </c>
      <c r="I14" s="6" t="s">
        <v>897</v>
      </c>
      <c r="J14" s="6" t="s">
        <v>813</v>
      </c>
      <c r="K14" s="6" t="s">
        <v>814</v>
      </c>
      <c r="L14" s="6" t="s">
        <v>840</v>
      </c>
      <c r="M14" s="6" t="s">
        <v>898</v>
      </c>
      <c r="N14" s="12" t="s">
        <v>817</v>
      </c>
      <c r="O14" s="6" t="s">
        <v>818</v>
      </c>
      <c r="P14" s="6" t="s">
        <v>2</v>
      </c>
      <c r="Q14" s="6" t="s">
        <v>20</v>
      </c>
      <c r="R14" s="12"/>
      <c r="S14" s="12"/>
      <c r="T14" s="12"/>
      <c r="U14" s="12"/>
      <c r="V14" s="12"/>
      <c r="W14" s="12"/>
      <c r="X14" s="6" t="str">
        <f aca="false">IF(COUNT(R14:W14)=6,SUM(R14:W14),"ko‘rilmagan")</f>
        <v>ko‘rilmagan</v>
      </c>
      <c r="Y14" s="12" t="s">
        <v>899</v>
      </c>
    </row>
    <row r="15" customFormat="false" ht="35.05" hidden="false" customHeight="false" outlineLevel="0" collapsed="false">
      <c r="A15" s="6" t="s">
        <v>900</v>
      </c>
      <c r="B15" s="6" t="s">
        <v>43</v>
      </c>
      <c r="C15" s="6"/>
      <c r="D15" s="6" t="str">
        <f aca="false">IFERROR(INDEX(Mundarija!$D:$D,MATCH(B15,Mundarija!$A:$A,0)),"kod topilmadi")</f>
        <v>1.1. Tovush va ultratovushning tabiati, chastota, davr, amplituda va to‘lqin uzunligi.</v>
      </c>
      <c r="E15" s="6" t="s">
        <v>901</v>
      </c>
      <c r="F15" s="11" t="s">
        <v>902</v>
      </c>
      <c r="G15" s="6" t="s">
        <v>810</v>
      </c>
      <c r="H15" s="6" t="s">
        <v>903</v>
      </c>
      <c r="I15" s="6" t="s">
        <v>904</v>
      </c>
      <c r="J15" s="6" t="s">
        <v>905</v>
      </c>
      <c r="K15" s="6" t="s">
        <v>814</v>
      </c>
      <c r="L15" s="6" t="s">
        <v>815</v>
      </c>
      <c r="M15" s="6" t="s">
        <v>848</v>
      </c>
      <c r="N15" s="12" t="s">
        <v>817</v>
      </c>
      <c r="O15" s="6" t="s">
        <v>818</v>
      </c>
      <c r="P15" s="6" t="s">
        <v>2</v>
      </c>
      <c r="Q15" s="6" t="s">
        <v>20</v>
      </c>
      <c r="R15" s="12"/>
      <c r="S15" s="12"/>
      <c r="T15" s="12"/>
      <c r="U15" s="12"/>
      <c r="V15" s="12"/>
      <c r="W15" s="12"/>
      <c r="X15" s="6" t="str">
        <f aca="false">IF(COUNT(R15:W15)=6,SUM(R15:W15),"ko‘rilmagan")</f>
        <v>ko‘rilmagan</v>
      </c>
      <c r="Y15" s="12" t="s">
        <v>906</v>
      </c>
    </row>
    <row r="16" customFormat="false" ht="35.05" hidden="false" customHeight="false" outlineLevel="0" collapsed="false">
      <c r="A16" s="6" t="s">
        <v>907</v>
      </c>
      <c r="B16" s="6" t="s">
        <v>43</v>
      </c>
      <c r="C16" s="6"/>
      <c r="D16" s="6" t="str">
        <f aca="false">IFERROR(INDEX(Mundarija!$D:$D,MATCH(B16,Mundarija!$A:$A,0)),"kod topilmadi")</f>
        <v>1.1. Tovush va ultratovushning tabiati, chastota, davr, amplituda va to‘lqin uzunligi.</v>
      </c>
      <c r="E16" s="6" t="s">
        <v>908</v>
      </c>
      <c r="F16" s="11" t="s">
        <v>909</v>
      </c>
      <c r="G16" s="6" t="s">
        <v>810</v>
      </c>
      <c r="H16" s="6" t="s">
        <v>903</v>
      </c>
      <c r="I16" s="6" t="s">
        <v>910</v>
      </c>
      <c r="J16" s="6" t="s">
        <v>905</v>
      </c>
      <c r="K16" s="6" t="s">
        <v>814</v>
      </c>
      <c r="L16" s="6" t="s">
        <v>815</v>
      </c>
      <c r="M16" s="6" t="s">
        <v>848</v>
      </c>
      <c r="N16" s="12" t="s">
        <v>817</v>
      </c>
      <c r="O16" s="6" t="s">
        <v>818</v>
      </c>
      <c r="P16" s="6" t="s">
        <v>2</v>
      </c>
      <c r="Q16" s="6" t="s">
        <v>20</v>
      </c>
      <c r="R16" s="12"/>
      <c r="S16" s="12"/>
      <c r="T16" s="12"/>
      <c r="U16" s="12"/>
      <c r="V16" s="12"/>
      <c r="W16" s="12"/>
      <c r="X16" s="6" t="str">
        <f aca="false">IF(COUNT(R16:W16)=6,SUM(R16:W16),"ko‘rilmagan")</f>
        <v>ko‘rilmagan</v>
      </c>
      <c r="Y16" s="12" t="s">
        <v>911</v>
      </c>
    </row>
    <row r="17" customFormat="false" ht="23.85" hidden="false" customHeight="false" outlineLevel="0" collapsed="false">
      <c r="A17" s="6" t="s">
        <v>912</v>
      </c>
      <c r="B17" s="6" t="s">
        <v>43</v>
      </c>
      <c r="C17" s="6"/>
      <c r="D17" s="6" t="str">
        <f aca="false">IFERROR(INDEX(Mundarija!$D:$D,MATCH(B17,Mundarija!$A:$A,0)),"kod topilmadi")</f>
        <v>1.1. Tovush va ultratovushning tabiati, chastota, davr, amplituda va to‘lqin uzunligi.</v>
      </c>
      <c r="E17" s="6" t="s">
        <v>913</v>
      </c>
      <c r="F17" s="11" t="s">
        <v>914</v>
      </c>
      <c r="G17" s="6" t="s">
        <v>915</v>
      </c>
      <c r="H17" s="6" t="s">
        <v>916</v>
      </c>
      <c r="I17" s="6" t="s">
        <v>917</v>
      </c>
      <c r="J17" s="6" t="s">
        <v>918</v>
      </c>
      <c r="K17" s="6" t="s">
        <v>814</v>
      </c>
      <c r="L17" s="6" t="s">
        <v>815</v>
      </c>
      <c r="M17" s="6" t="s">
        <v>848</v>
      </c>
      <c r="N17" s="12" t="s">
        <v>817</v>
      </c>
      <c r="O17" s="6" t="s">
        <v>818</v>
      </c>
      <c r="P17" s="6" t="s">
        <v>2</v>
      </c>
      <c r="Q17" s="6" t="s">
        <v>20</v>
      </c>
      <c r="R17" s="12"/>
      <c r="S17" s="12"/>
      <c r="T17" s="12"/>
      <c r="U17" s="12"/>
      <c r="V17" s="12"/>
      <c r="W17" s="12"/>
      <c r="X17" s="6" t="str">
        <f aca="false">IF(COUNT(R17:W17)=6,SUM(R17:W17),"ko‘rilmagan")</f>
        <v>ko‘rilmagan</v>
      </c>
      <c r="Y17" s="12" t="s">
        <v>919</v>
      </c>
    </row>
    <row r="18" customFormat="false" ht="35.05" hidden="false" customHeight="false" outlineLevel="0" collapsed="false">
      <c r="A18" s="6" t="s">
        <v>920</v>
      </c>
      <c r="B18" s="6" t="s">
        <v>47</v>
      </c>
      <c r="C18" s="6" t="s">
        <v>49</v>
      </c>
      <c r="D18" s="6" t="str">
        <f aca="false">IFERROR(INDEX(Mundarija!$D:$D,MATCH(B18,Mundarija!$A:$A,0)),"kod topilmadi")</f>
        <v>1.2. Tovush tezligi, akustik impedans va to‘qimalar chegarasida aks etish.</v>
      </c>
      <c r="E18" s="6" t="s">
        <v>921</v>
      </c>
      <c r="F18" s="11" t="s">
        <v>922</v>
      </c>
      <c r="G18" s="6" t="s">
        <v>810</v>
      </c>
      <c r="H18" s="6" t="s">
        <v>903</v>
      </c>
      <c r="I18" s="6" t="s">
        <v>923</v>
      </c>
      <c r="J18" s="6" t="s">
        <v>924</v>
      </c>
      <c r="K18" s="6" t="s">
        <v>814</v>
      </c>
      <c r="L18" s="6" t="s">
        <v>925</v>
      </c>
      <c r="M18" s="6" t="s">
        <v>848</v>
      </c>
      <c r="N18" s="12" t="s">
        <v>817</v>
      </c>
      <c r="O18" s="6" t="s">
        <v>818</v>
      </c>
      <c r="P18" s="6" t="s">
        <v>2</v>
      </c>
      <c r="Q18" s="6" t="s">
        <v>20</v>
      </c>
      <c r="R18" s="12"/>
      <c r="S18" s="12"/>
      <c r="T18" s="12"/>
      <c r="U18" s="12"/>
      <c r="V18" s="12"/>
      <c r="W18" s="12"/>
      <c r="X18" s="6" t="str">
        <f aca="false">IF(COUNT(R18:W18)=6,SUM(R18:W18),"ko‘rilmagan")</f>
        <v>ko‘rilmagan</v>
      </c>
      <c r="Y18" s="12" t="s">
        <v>926</v>
      </c>
    </row>
    <row r="19" customFormat="false" ht="23.85" hidden="false" customHeight="false" outlineLevel="0" collapsed="false">
      <c r="A19" s="6" t="s">
        <v>927</v>
      </c>
      <c r="B19" s="6" t="s">
        <v>47</v>
      </c>
      <c r="C19" s="6"/>
      <c r="D19" s="6" t="str">
        <f aca="false">IFERROR(INDEX(Mundarija!$D:$D,MATCH(B19,Mundarija!$A:$A,0)),"kod topilmadi")</f>
        <v>1.2. Tovush tezligi, akustik impedans va to‘qimalar chegarasida aks etish.</v>
      </c>
      <c r="E19" s="6" t="s">
        <v>928</v>
      </c>
      <c r="F19" s="11" t="s">
        <v>929</v>
      </c>
      <c r="G19" s="6" t="s">
        <v>930</v>
      </c>
      <c r="H19" s="6" t="s">
        <v>931</v>
      </c>
      <c r="I19" s="6" t="s">
        <v>813</v>
      </c>
      <c r="J19" s="6" t="s">
        <v>932</v>
      </c>
      <c r="K19" s="6" t="s">
        <v>814</v>
      </c>
      <c r="L19" s="6" t="s">
        <v>815</v>
      </c>
      <c r="M19" s="6" t="s">
        <v>848</v>
      </c>
      <c r="N19" s="12" t="s">
        <v>817</v>
      </c>
      <c r="O19" s="6" t="s">
        <v>818</v>
      </c>
      <c r="P19" s="6" t="s">
        <v>2</v>
      </c>
      <c r="Q19" s="6" t="s">
        <v>20</v>
      </c>
      <c r="R19" s="12"/>
      <c r="S19" s="12"/>
      <c r="T19" s="12"/>
      <c r="U19" s="12"/>
      <c r="V19" s="12"/>
      <c r="W19" s="12"/>
      <c r="X19" s="6" t="str">
        <f aca="false">IF(COUNT(R19:W19)=6,SUM(R19:W19),"ko‘rilmagan")</f>
        <v>ko‘rilmagan</v>
      </c>
      <c r="Y19" s="12" t="s">
        <v>933</v>
      </c>
    </row>
    <row r="20" customFormat="false" ht="35.05" hidden="false" customHeight="false" outlineLevel="0" collapsed="false">
      <c r="A20" s="6" t="s">
        <v>934</v>
      </c>
      <c r="B20" s="6" t="s">
        <v>49</v>
      </c>
      <c r="C20" s="6" t="s">
        <v>47</v>
      </c>
      <c r="D20" s="6" t="str">
        <f aca="false">IFERROR(INDEX(Mundarija!$D:$D,MATCH(B20,Mundarija!$A:$A,0)),"kod topilmadi")</f>
        <v>1.3. Refleksiya, refraksiya, sochilish, diffraksiya va absorbsiya.</v>
      </c>
      <c r="E20" s="6" t="s">
        <v>935</v>
      </c>
      <c r="F20" s="11" t="s">
        <v>936</v>
      </c>
      <c r="G20" s="6" t="s">
        <v>915</v>
      </c>
      <c r="H20" s="6" t="s">
        <v>916</v>
      </c>
      <c r="I20" s="6" t="s">
        <v>813</v>
      </c>
      <c r="J20" s="6" t="s">
        <v>918</v>
      </c>
      <c r="K20" s="6" t="s">
        <v>814</v>
      </c>
      <c r="L20" s="6" t="s">
        <v>815</v>
      </c>
      <c r="M20" s="6" t="s">
        <v>848</v>
      </c>
      <c r="N20" s="12" t="s">
        <v>817</v>
      </c>
      <c r="O20" s="6" t="s">
        <v>818</v>
      </c>
      <c r="P20" s="6" t="s">
        <v>2</v>
      </c>
      <c r="Q20" s="6" t="s">
        <v>20</v>
      </c>
      <c r="R20" s="12"/>
      <c r="S20" s="12"/>
      <c r="T20" s="12"/>
      <c r="U20" s="12"/>
      <c r="V20" s="12"/>
      <c r="W20" s="12"/>
      <c r="X20" s="6" t="str">
        <f aca="false">IF(COUNT(R20:W20)=6,SUM(R20:W20),"ko‘rilmagan")</f>
        <v>ko‘rilmagan</v>
      </c>
      <c r="Y20" s="12" t="s">
        <v>937</v>
      </c>
    </row>
    <row r="21" customFormat="false" ht="35.05" hidden="false" customHeight="false" outlineLevel="0" collapsed="false">
      <c r="A21" s="6" t="s">
        <v>938</v>
      </c>
      <c r="B21" s="6" t="s">
        <v>51</v>
      </c>
      <c r="C21" s="6"/>
      <c r="D21" s="6" t="str">
        <f aca="false">IFERROR(INDEX(Mundarija!$D:$D,MATCH(B21,Mundarija!$A:$A,0)),"kod topilmadi")</f>
        <v>1.4. Attenuatsiya, chuqurlik va chastota o‘rtasidagi bog‘liqlik.</v>
      </c>
      <c r="E21" s="6" t="s">
        <v>939</v>
      </c>
      <c r="F21" s="11" t="s">
        <v>940</v>
      </c>
      <c r="G21" s="6" t="s">
        <v>810</v>
      </c>
      <c r="H21" s="6" t="s">
        <v>903</v>
      </c>
      <c r="I21" s="6" t="s">
        <v>941</v>
      </c>
      <c r="J21" s="6" t="s">
        <v>942</v>
      </c>
      <c r="K21" s="6" t="s">
        <v>814</v>
      </c>
      <c r="L21" s="6" t="s">
        <v>840</v>
      </c>
      <c r="M21" s="6" t="s">
        <v>848</v>
      </c>
      <c r="N21" s="12" t="s">
        <v>817</v>
      </c>
      <c r="O21" s="6" t="s">
        <v>818</v>
      </c>
      <c r="P21" s="6" t="s">
        <v>2</v>
      </c>
      <c r="Q21" s="6" t="s">
        <v>20</v>
      </c>
      <c r="R21" s="12"/>
      <c r="S21" s="12"/>
      <c r="T21" s="12"/>
      <c r="U21" s="12"/>
      <c r="V21" s="12"/>
      <c r="W21" s="12"/>
      <c r="X21" s="6" t="str">
        <f aca="false">IF(COUNT(R21:W21)=6,SUM(R21:W21),"ko‘rilmagan")</f>
        <v>ko‘rilmagan</v>
      </c>
      <c r="Y21" s="12" t="s">
        <v>943</v>
      </c>
    </row>
    <row r="22" customFormat="false" ht="23.85" hidden="false" customHeight="false" outlineLevel="0" collapsed="false">
      <c r="A22" s="6" t="s">
        <v>944</v>
      </c>
      <c r="B22" s="6" t="s">
        <v>66</v>
      </c>
      <c r="C22" s="6" t="s">
        <v>53</v>
      </c>
      <c r="D22" s="6" t="str">
        <f aca="false">IFERROR(INDEX(Mundarija!$D:$D,MATCH(B22,Mundarija!$A:$A,0)),"kod topilmadi")</f>
        <v>2.5. B-rejim, M-rejim va tasvirni qayta ishlash.</v>
      </c>
      <c r="E22" s="6" t="s">
        <v>945</v>
      </c>
      <c r="F22" s="11" t="s">
        <v>946</v>
      </c>
      <c r="G22" s="6" t="s">
        <v>810</v>
      </c>
      <c r="H22" s="6" t="s">
        <v>903</v>
      </c>
      <c r="I22" s="6" t="s">
        <v>947</v>
      </c>
      <c r="J22" s="6" t="s">
        <v>948</v>
      </c>
      <c r="K22" s="6" t="s">
        <v>814</v>
      </c>
      <c r="L22" s="6" t="s">
        <v>815</v>
      </c>
      <c r="M22" s="6" t="s">
        <v>848</v>
      </c>
      <c r="N22" s="12" t="s">
        <v>817</v>
      </c>
      <c r="O22" s="6" t="s">
        <v>818</v>
      </c>
      <c r="P22" s="6" t="s">
        <v>2</v>
      </c>
      <c r="Q22" s="6" t="s">
        <v>20</v>
      </c>
      <c r="R22" s="12"/>
      <c r="S22" s="12"/>
      <c r="T22" s="12"/>
      <c r="U22" s="12"/>
      <c r="V22" s="12"/>
      <c r="W22" s="12"/>
      <c r="X22" s="6" t="str">
        <f aca="false">IF(COUNT(R22:W22)=6,SUM(R22:W22),"ko‘rilmagan")</f>
        <v>ko‘rilmagan</v>
      </c>
      <c r="Y22" s="12" t="s">
        <v>949</v>
      </c>
    </row>
    <row r="23" customFormat="false" ht="35.05" hidden="false" customHeight="false" outlineLevel="0" collapsed="false">
      <c r="A23" s="6" t="s">
        <v>950</v>
      </c>
      <c r="B23" s="6" t="s">
        <v>56</v>
      </c>
      <c r="C23" s="6" t="s">
        <v>71</v>
      </c>
      <c r="D23" s="6" t="str">
        <f aca="false">IFERROR(INDEX(Mundarija!$D:$D,MATCH(B23,Mundarija!$A:$A,0)),"kod topilmadi")</f>
        <v>2.1. Pyezoelektrik effekt va transduserning ishlash prinsipi.</v>
      </c>
      <c r="E23" s="6" t="s">
        <v>951</v>
      </c>
      <c r="F23" s="11" t="s">
        <v>952</v>
      </c>
      <c r="G23" s="6" t="s">
        <v>810</v>
      </c>
      <c r="H23" s="6" t="s">
        <v>903</v>
      </c>
      <c r="I23" s="6" t="s">
        <v>953</v>
      </c>
      <c r="J23" s="6" t="s">
        <v>954</v>
      </c>
      <c r="K23" s="6" t="s">
        <v>814</v>
      </c>
      <c r="L23" s="6" t="s">
        <v>925</v>
      </c>
      <c r="M23" s="6" t="s">
        <v>848</v>
      </c>
      <c r="N23" s="12" t="s">
        <v>817</v>
      </c>
      <c r="O23" s="6" t="s">
        <v>818</v>
      </c>
      <c r="P23" s="6" t="s">
        <v>2</v>
      </c>
      <c r="Q23" s="6" t="s">
        <v>20</v>
      </c>
      <c r="R23" s="12"/>
      <c r="S23" s="12"/>
      <c r="T23" s="12"/>
      <c r="U23" s="12"/>
      <c r="V23" s="12"/>
      <c r="W23" s="12"/>
      <c r="X23" s="6" t="str">
        <f aca="false">IF(COUNT(R23:W23)=6,SUM(R23:W23),"ko‘rilmagan")</f>
        <v>ko‘rilmagan</v>
      </c>
      <c r="Y23" s="12" t="s">
        <v>955</v>
      </c>
    </row>
    <row r="24" customFormat="false" ht="35.05" hidden="false" customHeight="false" outlineLevel="0" collapsed="false">
      <c r="A24" s="6" t="s">
        <v>956</v>
      </c>
      <c r="B24" s="6" t="s">
        <v>59</v>
      </c>
      <c r="C24" s="6" t="s">
        <v>61</v>
      </c>
      <c r="D24" s="6" t="str">
        <f aca="false">IFERROR(INDEX(Mundarija!$D:$D,MATCH(B24,Mundarija!$A:$A,0)),"kod topilmadi")</f>
        <v>2.2. Konveks, chiziqli, sektor/fazalangan va endokavitar datchiklar.</v>
      </c>
      <c r="E24" s="6" t="s">
        <v>957</v>
      </c>
      <c r="F24" s="11" t="s">
        <v>958</v>
      </c>
      <c r="G24" s="6" t="s">
        <v>810</v>
      </c>
      <c r="H24" s="6" t="s">
        <v>903</v>
      </c>
      <c r="I24" s="6" t="s">
        <v>959</v>
      </c>
      <c r="J24" s="6" t="s">
        <v>960</v>
      </c>
      <c r="K24" s="6" t="s">
        <v>814</v>
      </c>
      <c r="L24" s="6" t="s">
        <v>840</v>
      </c>
      <c r="M24" s="6" t="s">
        <v>848</v>
      </c>
      <c r="N24" s="12" t="s">
        <v>817</v>
      </c>
      <c r="O24" s="6" t="s">
        <v>818</v>
      </c>
      <c r="P24" s="6" t="s">
        <v>2</v>
      </c>
      <c r="Q24" s="6" t="s">
        <v>20</v>
      </c>
      <c r="R24" s="12"/>
      <c r="S24" s="12"/>
      <c r="T24" s="12"/>
      <c r="U24" s="12"/>
      <c r="V24" s="12"/>
      <c r="W24" s="12"/>
      <c r="X24" s="6" t="str">
        <f aca="false">IF(COUNT(R24:W24)=6,SUM(R24:W24),"ko‘rilmagan")</f>
        <v>ko‘rilmagan</v>
      </c>
      <c r="Y24" s="12" t="s">
        <v>961</v>
      </c>
    </row>
    <row r="25" customFormat="false" ht="23.85" hidden="false" customHeight="false" outlineLevel="0" collapsed="false">
      <c r="A25" s="6" t="s">
        <v>962</v>
      </c>
      <c r="B25" s="6" t="s">
        <v>59</v>
      </c>
      <c r="C25" s="6"/>
      <c r="D25" s="6" t="str">
        <f aca="false">IFERROR(INDEX(Mundarija!$D:$D,MATCH(B25,Mundarija!$A:$A,0)),"kod topilmadi")</f>
        <v>2.2. Konveks, chiziqli, sektor/fazalangan va endokavitar datchiklar.</v>
      </c>
      <c r="E25" s="6" t="s">
        <v>963</v>
      </c>
      <c r="F25" s="11" t="s">
        <v>964</v>
      </c>
      <c r="G25" s="6" t="s">
        <v>965</v>
      </c>
      <c r="H25" s="6" t="s">
        <v>966</v>
      </c>
      <c r="I25" s="6" t="s">
        <v>813</v>
      </c>
      <c r="J25" s="6" t="s">
        <v>967</v>
      </c>
      <c r="K25" s="6" t="s">
        <v>814</v>
      </c>
      <c r="L25" s="6" t="s">
        <v>815</v>
      </c>
      <c r="M25" s="6" t="s">
        <v>848</v>
      </c>
      <c r="N25" s="12" t="s">
        <v>817</v>
      </c>
      <c r="O25" s="6" t="s">
        <v>818</v>
      </c>
      <c r="P25" s="6" t="s">
        <v>2</v>
      </c>
      <c r="Q25" s="6" t="s">
        <v>968</v>
      </c>
      <c r="R25" s="12"/>
      <c r="S25" s="12"/>
      <c r="T25" s="12"/>
      <c r="U25" s="12"/>
      <c r="V25" s="12"/>
      <c r="W25" s="12"/>
      <c r="X25" s="6" t="str">
        <f aca="false">IF(COUNT(R25:W25)=6,SUM(R25:W25),"ko‘rilmagan")</f>
        <v>ko‘rilmagan</v>
      </c>
      <c r="Y25" s="12" t="s">
        <v>969</v>
      </c>
    </row>
    <row r="26" customFormat="false" ht="35.05" hidden="false" customHeight="false" outlineLevel="0" collapsed="false">
      <c r="A26" s="6" t="s">
        <v>970</v>
      </c>
      <c r="B26" s="6" t="s">
        <v>63</v>
      </c>
      <c r="C26" s="6" t="s">
        <v>76</v>
      </c>
      <c r="D26" s="6" t="str">
        <f aca="false">IFERROR(INDEX(Mundarija!$D:$D,MATCH(B26,Mundarija!$A:$A,0)),"kod topilmadi")</f>
        <v>2.4. Eksenel, lateral va elevatsion rezolyutsiya.</v>
      </c>
      <c r="E26" s="6" t="s">
        <v>971</v>
      </c>
      <c r="F26" s="11" t="s">
        <v>972</v>
      </c>
      <c r="G26" s="6" t="s">
        <v>810</v>
      </c>
      <c r="H26" s="6" t="s">
        <v>903</v>
      </c>
      <c r="I26" s="6" t="s">
        <v>973</v>
      </c>
      <c r="J26" s="6" t="s">
        <v>974</v>
      </c>
      <c r="K26" s="6" t="s">
        <v>814</v>
      </c>
      <c r="L26" s="6" t="s">
        <v>840</v>
      </c>
      <c r="M26" s="6" t="s">
        <v>848</v>
      </c>
      <c r="N26" s="12" t="s">
        <v>817</v>
      </c>
      <c r="O26" s="6" t="s">
        <v>818</v>
      </c>
      <c r="P26" s="6" t="s">
        <v>2</v>
      </c>
      <c r="Q26" s="6" t="s">
        <v>20</v>
      </c>
      <c r="R26" s="12"/>
      <c r="S26" s="12"/>
      <c r="T26" s="12"/>
      <c r="U26" s="12"/>
      <c r="V26" s="12"/>
      <c r="W26" s="12"/>
      <c r="X26" s="6" t="str">
        <f aca="false">IF(COUNT(R26:W26)=6,SUM(R26:W26),"ko‘rilmagan")</f>
        <v>ko‘rilmagan</v>
      </c>
      <c r="Y26" s="12" t="s">
        <v>975</v>
      </c>
    </row>
    <row r="27" customFormat="false" ht="35.05" hidden="false" customHeight="false" outlineLevel="0" collapsed="false">
      <c r="A27" s="6" t="s">
        <v>976</v>
      </c>
      <c r="B27" s="6" t="s">
        <v>63</v>
      </c>
      <c r="C27" s="6" t="s">
        <v>93</v>
      </c>
      <c r="D27" s="6" t="str">
        <f aca="false">IFERROR(INDEX(Mundarija!$D:$D,MATCH(B27,Mundarija!$A:$A,0)),"kod topilmadi")</f>
        <v>2.4. Eksenel, lateral va elevatsion rezolyutsiya.</v>
      </c>
      <c r="E27" s="6" t="s">
        <v>977</v>
      </c>
      <c r="F27" s="11" t="s">
        <v>978</v>
      </c>
      <c r="G27" s="6" t="s">
        <v>810</v>
      </c>
      <c r="H27" s="6" t="s">
        <v>903</v>
      </c>
      <c r="I27" s="6" t="s">
        <v>979</v>
      </c>
      <c r="J27" s="6" t="s">
        <v>980</v>
      </c>
      <c r="K27" s="6" t="s">
        <v>814</v>
      </c>
      <c r="L27" s="6" t="s">
        <v>840</v>
      </c>
      <c r="M27" s="6" t="s">
        <v>848</v>
      </c>
      <c r="N27" s="12" t="s">
        <v>817</v>
      </c>
      <c r="O27" s="6" t="s">
        <v>818</v>
      </c>
      <c r="P27" s="6" t="s">
        <v>2</v>
      </c>
      <c r="Q27" s="6" t="s">
        <v>20</v>
      </c>
      <c r="R27" s="12"/>
      <c r="S27" s="12"/>
      <c r="T27" s="12"/>
      <c r="U27" s="12"/>
      <c r="V27" s="12"/>
      <c r="W27" s="12"/>
      <c r="X27" s="6" t="str">
        <f aca="false">IF(COUNT(R27:W27)=6,SUM(R27:W27),"ko‘rilmagan")</f>
        <v>ko‘rilmagan</v>
      </c>
      <c r="Y27" s="12" t="s">
        <v>981</v>
      </c>
    </row>
    <row r="28" customFormat="false" ht="35.05" hidden="false" customHeight="false" outlineLevel="0" collapsed="false">
      <c r="A28" s="6" t="s">
        <v>982</v>
      </c>
      <c r="B28" s="6" t="s">
        <v>63</v>
      </c>
      <c r="C28" s="6"/>
      <c r="D28" s="6" t="str">
        <f aca="false">IFERROR(INDEX(Mundarija!$D:$D,MATCH(B28,Mundarija!$A:$A,0)),"kod topilmadi")</f>
        <v>2.4. Eksenel, lateral va elevatsion rezolyutsiya.</v>
      </c>
      <c r="E28" s="6" t="s">
        <v>983</v>
      </c>
      <c r="F28" s="11" t="s">
        <v>984</v>
      </c>
      <c r="G28" s="6" t="s">
        <v>810</v>
      </c>
      <c r="H28" s="6" t="s">
        <v>903</v>
      </c>
      <c r="I28" s="6" t="s">
        <v>813</v>
      </c>
      <c r="J28" s="6" t="s">
        <v>985</v>
      </c>
      <c r="K28" s="6" t="s">
        <v>814</v>
      </c>
      <c r="L28" s="6" t="s">
        <v>840</v>
      </c>
      <c r="M28" s="6" t="s">
        <v>848</v>
      </c>
      <c r="N28" s="12" t="s">
        <v>817</v>
      </c>
      <c r="O28" s="6" t="s">
        <v>818</v>
      </c>
      <c r="P28" s="6" t="s">
        <v>2</v>
      </c>
      <c r="Q28" s="6" t="s">
        <v>20</v>
      </c>
      <c r="R28" s="12"/>
      <c r="S28" s="12"/>
      <c r="T28" s="12"/>
      <c r="U28" s="12"/>
      <c r="V28" s="12"/>
      <c r="W28" s="12"/>
      <c r="X28" s="6" t="str">
        <f aca="false">IF(COUNT(R28:W28)=6,SUM(R28:W28),"ko‘rilmagan")</f>
        <v>ko‘rilmagan</v>
      </c>
      <c r="Y28" s="12" t="s">
        <v>986</v>
      </c>
    </row>
    <row r="29" customFormat="false" ht="46.25" hidden="false" customHeight="false" outlineLevel="0" collapsed="false">
      <c r="A29" s="6" t="s">
        <v>987</v>
      </c>
      <c r="B29" s="6" t="s">
        <v>66</v>
      </c>
      <c r="C29" s="6" t="s">
        <v>988</v>
      </c>
      <c r="D29" s="6" t="str">
        <f aca="false">IFERROR(INDEX(Mundarija!$D:$D,MATCH(B29,Mundarija!$A:$A,0)),"kod topilmadi")</f>
        <v>2.5. B-rejim, M-rejim va tasvirni qayta ishlash.</v>
      </c>
      <c r="E29" s="6" t="s">
        <v>989</v>
      </c>
      <c r="F29" s="11" t="s">
        <v>990</v>
      </c>
      <c r="G29" s="6" t="s">
        <v>810</v>
      </c>
      <c r="H29" s="6" t="s">
        <v>903</v>
      </c>
      <c r="I29" s="6" t="s">
        <v>991</v>
      </c>
      <c r="J29" s="6" t="s">
        <v>992</v>
      </c>
      <c r="K29" s="6" t="s">
        <v>814</v>
      </c>
      <c r="L29" s="6" t="s">
        <v>840</v>
      </c>
      <c r="M29" s="6" t="s">
        <v>848</v>
      </c>
      <c r="N29" s="12" t="s">
        <v>817</v>
      </c>
      <c r="O29" s="6" t="s">
        <v>818</v>
      </c>
      <c r="P29" s="6" t="s">
        <v>2</v>
      </c>
      <c r="Q29" s="6" t="s">
        <v>20</v>
      </c>
      <c r="R29" s="12"/>
      <c r="S29" s="12"/>
      <c r="T29" s="12"/>
      <c r="U29" s="12"/>
      <c r="V29" s="12"/>
      <c r="W29" s="12"/>
      <c r="X29" s="6" t="str">
        <f aca="false">IF(COUNT(R29:W29)=6,SUM(R29:W29),"ko‘rilmagan")</f>
        <v>ko‘rilmagan</v>
      </c>
      <c r="Y29" s="12" t="s">
        <v>993</v>
      </c>
    </row>
    <row r="30" customFormat="false" ht="35.05" hidden="false" customHeight="false" outlineLevel="0" collapsed="false">
      <c r="A30" s="6" t="s">
        <v>994</v>
      </c>
      <c r="B30" s="6" t="s">
        <v>78</v>
      </c>
      <c r="C30" s="6" t="s">
        <v>66</v>
      </c>
      <c r="D30" s="6" t="str">
        <f aca="false">IFERROR(INDEX(Mundarija!$D:$D,MATCH(B30,Mundarija!$A:$A,0)),"kod topilmadi")</f>
        <v>3.3. Dynamic range, chastota, frame rate va tasvir tezligi.</v>
      </c>
      <c r="E30" s="6" t="s">
        <v>995</v>
      </c>
      <c r="F30" s="11" t="s">
        <v>996</v>
      </c>
      <c r="G30" s="6" t="s">
        <v>810</v>
      </c>
      <c r="H30" s="6" t="s">
        <v>903</v>
      </c>
      <c r="I30" s="6" t="s">
        <v>997</v>
      </c>
      <c r="J30" s="6" t="s">
        <v>998</v>
      </c>
      <c r="K30" s="6" t="s">
        <v>814</v>
      </c>
      <c r="L30" s="6" t="s">
        <v>840</v>
      </c>
      <c r="M30" s="6" t="s">
        <v>848</v>
      </c>
      <c r="N30" s="12" t="s">
        <v>817</v>
      </c>
      <c r="O30" s="6" t="s">
        <v>818</v>
      </c>
      <c r="P30" s="6" t="s">
        <v>2</v>
      </c>
      <c r="Q30" s="6" t="s">
        <v>20</v>
      </c>
      <c r="R30" s="12"/>
      <c r="S30" s="12"/>
      <c r="T30" s="12"/>
      <c r="U30" s="12"/>
      <c r="V30" s="12"/>
      <c r="W30" s="12"/>
      <c r="X30" s="6" t="str">
        <f aca="false">IF(COUNT(R30:W30)=6,SUM(R30:W30),"ko‘rilmagan")</f>
        <v>ko‘rilmagan</v>
      </c>
      <c r="Y30" s="12" t="s">
        <v>999</v>
      </c>
    </row>
    <row r="31" customFormat="false" ht="35.05" hidden="false" customHeight="false" outlineLevel="0" collapsed="false">
      <c r="A31" s="6" t="s">
        <v>1000</v>
      </c>
      <c r="B31" s="6" t="s">
        <v>68</v>
      </c>
      <c r="C31" s="6"/>
      <c r="D31" s="6" t="str">
        <f aca="false">IFERROR(INDEX(Mundarija!$D:$D,MATCH(B31,Mundarija!$A:$A,0)),"kod topilmadi")</f>
        <v>2.6. Panoramik tasvir, compound imaging, harmonic imaging va speklni kamaytirish.</v>
      </c>
      <c r="E31" s="6" t="s">
        <v>1001</v>
      </c>
      <c r="F31" s="11" t="s">
        <v>1002</v>
      </c>
      <c r="G31" s="6" t="s">
        <v>810</v>
      </c>
      <c r="H31" s="6" t="s">
        <v>903</v>
      </c>
      <c r="I31" s="6" t="s">
        <v>1003</v>
      </c>
      <c r="J31" s="6" t="s">
        <v>998</v>
      </c>
      <c r="K31" s="6" t="s">
        <v>814</v>
      </c>
      <c r="L31" s="6" t="s">
        <v>840</v>
      </c>
      <c r="M31" s="6" t="s">
        <v>848</v>
      </c>
      <c r="N31" s="12" t="s">
        <v>817</v>
      </c>
      <c r="O31" s="6" t="s">
        <v>818</v>
      </c>
      <c r="P31" s="6" t="s">
        <v>2</v>
      </c>
      <c r="Q31" s="6" t="s">
        <v>20</v>
      </c>
      <c r="R31" s="12"/>
      <c r="S31" s="12"/>
      <c r="T31" s="12"/>
      <c r="U31" s="12"/>
      <c r="V31" s="12"/>
      <c r="W31" s="12"/>
      <c r="X31" s="6" t="str">
        <f aca="false">IF(COUNT(R31:W31)=6,SUM(R31:W31),"ko‘rilmagan")</f>
        <v>ko‘rilmagan</v>
      </c>
      <c r="Y31" s="12" t="s">
        <v>1004</v>
      </c>
    </row>
    <row r="32" customFormat="false" ht="35.05" hidden="false" customHeight="false" outlineLevel="0" collapsed="false">
      <c r="A32" s="6" t="s">
        <v>1005</v>
      </c>
      <c r="B32" s="6" t="s">
        <v>71</v>
      </c>
      <c r="C32" s="6" t="s">
        <v>125</v>
      </c>
      <c r="D32" s="6" t="str">
        <f aca="false">IFERROR(INDEX(Mundarija!$D:$D,MATCH(B32,Mundarija!$A:$A,0)),"kod topilmadi")</f>
        <v>2.7. Datchiklarni tozalash, dezinfeksiya va infeksiya nazorati.</v>
      </c>
      <c r="E32" s="6" t="s">
        <v>1006</v>
      </c>
      <c r="F32" s="11" t="s">
        <v>1007</v>
      </c>
      <c r="G32" s="6" t="s">
        <v>1008</v>
      </c>
      <c r="H32" s="6" t="s">
        <v>1009</v>
      </c>
      <c r="I32" s="6" t="s">
        <v>1010</v>
      </c>
      <c r="J32" s="6" t="s">
        <v>1011</v>
      </c>
      <c r="K32" s="6" t="s">
        <v>814</v>
      </c>
      <c r="L32" s="6" t="s">
        <v>815</v>
      </c>
      <c r="M32" s="6" t="s">
        <v>827</v>
      </c>
      <c r="N32" s="12" t="s">
        <v>817</v>
      </c>
      <c r="O32" s="6" t="s">
        <v>818</v>
      </c>
      <c r="P32" s="6" t="s">
        <v>2</v>
      </c>
      <c r="Q32" s="6" t="s">
        <v>20</v>
      </c>
      <c r="R32" s="12"/>
      <c r="S32" s="12"/>
      <c r="T32" s="12"/>
      <c r="U32" s="12"/>
      <c r="V32" s="12"/>
      <c r="W32" s="12"/>
      <c r="X32" s="6" t="str">
        <f aca="false">IF(COUNT(R32:W32)=6,SUM(R32:W32),"ko‘rilmagan")</f>
        <v>ko‘rilmagan</v>
      </c>
      <c r="Y32" s="12" t="s">
        <v>1012</v>
      </c>
    </row>
    <row r="33" customFormat="false" ht="23.85" hidden="false" customHeight="false" outlineLevel="0" collapsed="false">
      <c r="A33" s="6" t="s">
        <v>1013</v>
      </c>
      <c r="B33" s="6" t="s">
        <v>73</v>
      </c>
      <c r="C33" s="6"/>
      <c r="D33" s="6" t="str">
        <f aca="false">IFERROR(INDEX(Mundarija!$D:$D,MATCH(B33,Mundarija!$A:$A,0)),"kod topilmadi")</f>
        <v>3.1. Gain va TGC.</v>
      </c>
      <c r="E33" s="6" t="s">
        <v>1014</v>
      </c>
      <c r="F33" s="11" t="s">
        <v>1015</v>
      </c>
      <c r="G33" s="6" t="s">
        <v>915</v>
      </c>
      <c r="H33" s="6" t="s">
        <v>916</v>
      </c>
      <c r="I33" s="6" t="s">
        <v>813</v>
      </c>
      <c r="J33" s="6" t="s">
        <v>1016</v>
      </c>
      <c r="K33" s="6" t="s">
        <v>814</v>
      </c>
      <c r="L33" s="6" t="s">
        <v>815</v>
      </c>
      <c r="M33" s="6" t="s">
        <v>827</v>
      </c>
      <c r="N33" s="12" t="s">
        <v>817</v>
      </c>
      <c r="O33" s="6" t="s">
        <v>818</v>
      </c>
      <c r="P33" s="6" t="s">
        <v>2</v>
      </c>
      <c r="Q33" s="6" t="s">
        <v>20</v>
      </c>
      <c r="R33" s="12"/>
      <c r="S33" s="12"/>
      <c r="T33" s="12"/>
      <c r="U33" s="12"/>
      <c r="V33" s="12"/>
      <c r="W33" s="12"/>
      <c r="X33" s="6" t="str">
        <f aca="false">IF(COUNT(R33:W33)=6,SUM(R33:W33),"ko‘rilmagan")</f>
        <v>ko‘rilmagan</v>
      </c>
      <c r="Y33" s="12" t="s">
        <v>1017</v>
      </c>
    </row>
    <row r="34" customFormat="false" ht="23.85" hidden="false" customHeight="false" outlineLevel="0" collapsed="false">
      <c r="A34" s="6" t="s">
        <v>1018</v>
      </c>
      <c r="B34" s="6" t="s">
        <v>73</v>
      </c>
      <c r="C34" s="6" t="s">
        <v>76</v>
      </c>
      <c r="D34" s="6" t="str">
        <f aca="false">IFERROR(INDEX(Mundarija!$D:$D,MATCH(B34,Mundarija!$A:$A,0)),"kod topilmadi")</f>
        <v>3.1. Gain va TGC.</v>
      </c>
      <c r="E34" s="6" t="s">
        <v>1019</v>
      </c>
      <c r="F34" s="11" t="s">
        <v>1020</v>
      </c>
      <c r="G34" s="6" t="s">
        <v>1021</v>
      </c>
      <c r="H34" s="6" t="s">
        <v>1022</v>
      </c>
      <c r="I34" s="6" t="s">
        <v>1023</v>
      </c>
      <c r="J34" s="6" t="s">
        <v>1024</v>
      </c>
      <c r="K34" s="6" t="s">
        <v>814</v>
      </c>
      <c r="L34" s="6" t="s">
        <v>815</v>
      </c>
      <c r="M34" s="6" t="s">
        <v>827</v>
      </c>
      <c r="N34" s="12" t="s">
        <v>817</v>
      </c>
      <c r="O34" s="6" t="s">
        <v>818</v>
      </c>
      <c r="P34" s="6" t="s">
        <v>2</v>
      </c>
      <c r="Q34" s="6" t="s">
        <v>20</v>
      </c>
      <c r="R34" s="12"/>
      <c r="S34" s="12"/>
      <c r="T34" s="12"/>
      <c r="U34" s="12"/>
      <c r="V34" s="12"/>
      <c r="W34" s="12"/>
      <c r="X34" s="6" t="str">
        <f aca="false">IF(COUNT(R34:W34)=6,SUM(R34:W34),"ko‘rilmagan")</f>
        <v>ko‘rilmagan</v>
      </c>
      <c r="Y34" s="12" t="s">
        <v>1017</v>
      </c>
    </row>
    <row r="35" customFormat="false" ht="23.85" hidden="false" customHeight="false" outlineLevel="0" collapsed="false">
      <c r="A35" s="6" t="s">
        <v>1025</v>
      </c>
      <c r="B35" s="6" t="s">
        <v>76</v>
      </c>
      <c r="C35" s="6" t="s">
        <v>78</v>
      </c>
      <c r="D35" s="6" t="str">
        <f aca="false">IFERROR(INDEX(Mundarija!$D:$D,MATCH(B35,Mundarija!$A:$A,0)),"kod topilmadi")</f>
        <v>3.2. Depth, fokus va ko‘rish maydoni.</v>
      </c>
      <c r="E35" s="6" t="s">
        <v>1026</v>
      </c>
      <c r="F35" s="11" t="s">
        <v>1027</v>
      </c>
      <c r="G35" s="6" t="s">
        <v>915</v>
      </c>
      <c r="H35" s="6" t="s">
        <v>916</v>
      </c>
      <c r="I35" s="6" t="s">
        <v>1028</v>
      </c>
      <c r="J35" s="6" t="s">
        <v>1029</v>
      </c>
      <c r="K35" s="6" t="s">
        <v>814</v>
      </c>
      <c r="L35" s="6" t="s">
        <v>815</v>
      </c>
      <c r="M35" s="6" t="s">
        <v>827</v>
      </c>
      <c r="N35" s="12" t="s">
        <v>817</v>
      </c>
      <c r="O35" s="6" t="s">
        <v>818</v>
      </c>
      <c r="P35" s="6" t="s">
        <v>2</v>
      </c>
      <c r="Q35" s="6" t="s">
        <v>20</v>
      </c>
      <c r="R35" s="12"/>
      <c r="S35" s="12"/>
      <c r="T35" s="12"/>
      <c r="U35" s="12"/>
      <c r="V35" s="12"/>
      <c r="W35" s="12"/>
      <c r="X35" s="6" t="str">
        <f aca="false">IF(COUNT(R35:W35)=6,SUM(R35:W35),"ko‘rilmagan")</f>
        <v>ko‘rilmagan</v>
      </c>
      <c r="Y35" s="12" t="s">
        <v>1030</v>
      </c>
    </row>
    <row r="36" customFormat="false" ht="23.85" hidden="false" customHeight="false" outlineLevel="0" collapsed="false">
      <c r="A36" s="6" t="s">
        <v>1031</v>
      </c>
      <c r="B36" s="6" t="s">
        <v>76</v>
      </c>
      <c r="C36" s="6" t="s">
        <v>63</v>
      </c>
      <c r="D36" s="6" t="str">
        <f aca="false">IFERROR(INDEX(Mundarija!$D:$D,MATCH(B36,Mundarija!$A:$A,0)),"kod topilmadi")</f>
        <v>3.2. Depth, fokus va ko‘rish maydoni.</v>
      </c>
      <c r="E36" s="6" t="s">
        <v>1032</v>
      </c>
      <c r="F36" s="11" t="s">
        <v>1033</v>
      </c>
      <c r="G36" s="6" t="s">
        <v>810</v>
      </c>
      <c r="H36" s="6" t="s">
        <v>903</v>
      </c>
      <c r="I36" s="6" t="s">
        <v>1034</v>
      </c>
      <c r="J36" s="6" t="s">
        <v>1035</v>
      </c>
      <c r="K36" s="6" t="s">
        <v>814</v>
      </c>
      <c r="L36" s="6" t="s">
        <v>840</v>
      </c>
      <c r="M36" s="6" t="s">
        <v>848</v>
      </c>
      <c r="N36" s="12" t="s">
        <v>817</v>
      </c>
      <c r="O36" s="6" t="s">
        <v>818</v>
      </c>
      <c r="P36" s="6" t="s">
        <v>2</v>
      </c>
      <c r="Q36" s="6" t="s">
        <v>20</v>
      </c>
      <c r="R36" s="12"/>
      <c r="S36" s="12"/>
      <c r="T36" s="12"/>
      <c r="U36" s="12"/>
      <c r="V36" s="12"/>
      <c r="W36" s="12"/>
      <c r="X36" s="6" t="str">
        <f aca="false">IF(COUNT(R36:W36)=6,SUM(R36:W36),"ko‘rilmagan")</f>
        <v>ko‘rilmagan</v>
      </c>
      <c r="Y36" s="12" t="s">
        <v>1036</v>
      </c>
    </row>
    <row r="37" customFormat="false" ht="23.85" hidden="false" customHeight="false" outlineLevel="0" collapsed="false">
      <c r="A37" s="6" t="s">
        <v>1037</v>
      </c>
      <c r="B37" s="6" t="s">
        <v>76</v>
      </c>
      <c r="C37" s="6"/>
      <c r="D37" s="6" t="str">
        <f aca="false">IFERROR(INDEX(Mundarija!$D:$D,MATCH(B37,Mundarija!$A:$A,0)),"kod topilmadi")</f>
        <v>3.2. Depth, fokus va ko‘rish maydoni.</v>
      </c>
      <c r="E37" s="6" t="s">
        <v>1038</v>
      </c>
      <c r="F37" s="11" t="s">
        <v>1039</v>
      </c>
      <c r="G37" s="6" t="s">
        <v>915</v>
      </c>
      <c r="H37" s="6" t="s">
        <v>916</v>
      </c>
      <c r="I37" s="6" t="s">
        <v>813</v>
      </c>
      <c r="J37" s="6" t="s">
        <v>1016</v>
      </c>
      <c r="K37" s="6" t="s">
        <v>814</v>
      </c>
      <c r="L37" s="6" t="s">
        <v>815</v>
      </c>
      <c r="M37" s="6" t="s">
        <v>848</v>
      </c>
      <c r="N37" s="12" t="s">
        <v>817</v>
      </c>
      <c r="O37" s="6" t="s">
        <v>818</v>
      </c>
      <c r="P37" s="6" t="s">
        <v>2</v>
      </c>
      <c r="Q37" s="6" t="s">
        <v>20</v>
      </c>
      <c r="R37" s="12"/>
      <c r="S37" s="12"/>
      <c r="T37" s="12"/>
      <c r="U37" s="12"/>
      <c r="V37" s="12"/>
      <c r="W37" s="12"/>
      <c r="X37" s="6" t="str">
        <f aca="false">IF(COUNT(R37:W37)=6,SUM(R37:W37),"ko‘rilmagan")</f>
        <v>ko‘rilmagan</v>
      </c>
      <c r="Y37" s="12" t="s">
        <v>1040</v>
      </c>
    </row>
    <row r="38" customFormat="false" ht="35.05" hidden="false" customHeight="false" outlineLevel="0" collapsed="false">
      <c r="A38" s="6" t="s">
        <v>1041</v>
      </c>
      <c r="B38" s="6" t="s">
        <v>78</v>
      </c>
      <c r="C38" s="6"/>
      <c r="D38" s="6" t="str">
        <f aca="false">IFERROR(INDEX(Mundarija!$D:$D,MATCH(B38,Mundarija!$A:$A,0)),"kod topilmadi")</f>
        <v>3.3. Dynamic range, chastota, frame rate va tasvir tezligi.</v>
      </c>
      <c r="E38" s="6" t="s">
        <v>1042</v>
      </c>
      <c r="F38" s="11" t="s">
        <v>1043</v>
      </c>
      <c r="G38" s="6" t="s">
        <v>810</v>
      </c>
      <c r="H38" s="6" t="s">
        <v>903</v>
      </c>
      <c r="I38" s="6" t="s">
        <v>1044</v>
      </c>
      <c r="J38" s="6" t="s">
        <v>1045</v>
      </c>
      <c r="K38" s="6" t="s">
        <v>814</v>
      </c>
      <c r="L38" s="6" t="s">
        <v>840</v>
      </c>
      <c r="M38" s="6" t="s">
        <v>848</v>
      </c>
      <c r="N38" s="12" t="s">
        <v>817</v>
      </c>
      <c r="O38" s="6" t="s">
        <v>818</v>
      </c>
      <c r="P38" s="6" t="s">
        <v>2</v>
      </c>
      <c r="Q38" s="6" t="s">
        <v>20</v>
      </c>
      <c r="R38" s="12"/>
      <c r="S38" s="12"/>
      <c r="T38" s="12"/>
      <c r="U38" s="12"/>
      <c r="V38" s="12"/>
      <c r="W38" s="12"/>
      <c r="X38" s="6" t="str">
        <f aca="false">IF(COUNT(R38:W38)=6,SUM(R38:W38),"ko‘rilmagan")</f>
        <v>ko‘rilmagan</v>
      </c>
      <c r="Y38" s="12" t="s">
        <v>1046</v>
      </c>
    </row>
    <row r="39" customFormat="false" ht="23.85" hidden="false" customHeight="false" outlineLevel="0" collapsed="false">
      <c r="A39" s="6" t="s">
        <v>1047</v>
      </c>
      <c r="B39" s="6" t="s">
        <v>84</v>
      </c>
      <c r="C39" s="6" t="s">
        <v>1048</v>
      </c>
      <c r="D39" s="6" t="str">
        <f aca="false">IFERROR(INDEX(Mundarija!$D:$D,MATCH(B39,Mundarija!$A:$A,0)),"kod topilmadi")</f>
        <v>3.6. Texnik xatolar va tasvir sifatini nazorat qilish.</v>
      </c>
      <c r="E39" s="6" t="s">
        <v>1049</v>
      </c>
      <c r="F39" s="11" t="s">
        <v>1050</v>
      </c>
      <c r="G39" s="6" t="s">
        <v>810</v>
      </c>
      <c r="H39" s="6" t="s">
        <v>903</v>
      </c>
      <c r="I39" s="6" t="s">
        <v>1051</v>
      </c>
      <c r="J39" s="6" t="s">
        <v>1052</v>
      </c>
      <c r="K39" s="6" t="s">
        <v>814</v>
      </c>
      <c r="L39" s="6" t="s">
        <v>840</v>
      </c>
      <c r="M39" s="6" t="s">
        <v>848</v>
      </c>
      <c r="N39" s="12" t="s">
        <v>817</v>
      </c>
      <c r="O39" s="6" t="s">
        <v>818</v>
      </c>
      <c r="P39" s="6" t="s">
        <v>2</v>
      </c>
      <c r="Q39" s="6" t="s">
        <v>20</v>
      </c>
      <c r="R39" s="12"/>
      <c r="S39" s="12"/>
      <c r="T39" s="12"/>
      <c r="U39" s="12"/>
      <c r="V39" s="12"/>
      <c r="W39" s="12"/>
      <c r="X39" s="6" t="str">
        <f aca="false">IF(COUNT(R39:W39)=6,SUM(R39:W39),"ko‘rilmagan")</f>
        <v>ko‘rilmagan</v>
      </c>
      <c r="Y39" s="12" t="s">
        <v>1053</v>
      </c>
    </row>
    <row r="40" customFormat="false" ht="23.85" hidden="false" customHeight="false" outlineLevel="0" collapsed="false">
      <c r="A40" s="6" t="s">
        <v>1054</v>
      </c>
      <c r="B40" s="6" t="s">
        <v>86</v>
      </c>
      <c r="C40" s="6"/>
      <c r="D40" s="6" t="str">
        <f aca="false">IFERROR(INDEX(Mundarija!$D:$D,MATCH(B40,Mundarija!$A:$A,0)),"kod topilmadi")</f>
        <v>4.1. Akustik soya va posterior akustik kuchayish.</v>
      </c>
      <c r="E40" s="6" t="s">
        <v>1055</v>
      </c>
      <c r="F40" s="11" t="s">
        <v>1056</v>
      </c>
      <c r="G40" s="6" t="s">
        <v>1057</v>
      </c>
      <c r="H40" s="6" t="s">
        <v>1058</v>
      </c>
      <c r="I40" s="6" t="s">
        <v>813</v>
      </c>
      <c r="J40" s="6" t="s">
        <v>1059</v>
      </c>
      <c r="K40" s="6" t="s">
        <v>814</v>
      </c>
      <c r="L40" s="6" t="s">
        <v>815</v>
      </c>
      <c r="M40" s="6" t="s">
        <v>827</v>
      </c>
      <c r="N40" s="12" t="s">
        <v>817</v>
      </c>
      <c r="O40" s="6" t="s">
        <v>818</v>
      </c>
      <c r="P40" s="6" t="s">
        <v>2</v>
      </c>
      <c r="Q40" s="6" t="s">
        <v>968</v>
      </c>
      <c r="R40" s="12"/>
      <c r="S40" s="12"/>
      <c r="T40" s="12"/>
      <c r="U40" s="12"/>
      <c r="V40" s="12"/>
      <c r="W40" s="12"/>
      <c r="X40" s="6" t="str">
        <f aca="false">IF(COUNT(R40:W40)=6,SUM(R40:W40),"ko‘rilmagan")</f>
        <v>ko‘rilmagan</v>
      </c>
      <c r="Y40" s="12" t="s">
        <v>969</v>
      </c>
    </row>
    <row r="41" customFormat="false" ht="23.85" hidden="false" customHeight="false" outlineLevel="0" collapsed="false">
      <c r="A41" s="6" t="s">
        <v>1060</v>
      </c>
      <c r="B41" s="6" t="s">
        <v>89</v>
      </c>
      <c r="C41" s="6"/>
      <c r="D41" s="6" t="str">
        <f aca="false">IFERROR(INDEX(Mundarija!$D:$D,MATCH(B41,Mundarija!$A:$A,0)),"kod topilmadi")</f>
        <v>4.2. Reverberatsiya, kometa dumi va ring-down.</v>
      </c>
      <c r="E41" s="6" t="s">
        <v>1061</v>
      </c>
      <c r="F41" s="11" t="s">
        <v>1062</v>
      </c>
      <c r="G41" s="6" t="s">
        <v>1057</v>
      </c>
      <c r="H41" s="6" t="s">
        <v>1058</v>
      </c>
      <c r="I41" s="6" t="s">
        <v>813</v>
      </c>
      <c r="J41" s="6" t="s">
        <v>1063</v>
      </c>
      <c r="K41" s="6" t="s">
        <v>814</v>
      </c>
      <c r="L41" s="6" t="s">
        <v>815</v>
      </c>
      <c r="M41" s="6" t="s">
        <v>827</v>
      </c>
      <c r="N41" s="12" t="s">
        <v>817</v>
      </c>
      <c r="O41" s="6" t="s">
        <v>818</v>
      </c>
      <c r="P41" s="6" t="s">
        <v>2</v>
      </c>
      <c r="Q41" s="6" t="s">
        <v>968</v>
      </c>
      <c r="R41" s="12"/>
      <c r="S41" s="12"/>
      <c r="T41" s="12"/>
      <c r="U41" s="12"/>
      <c r="V41" s="12"/>
      <c r="W41" s="12"/>
      <c r="X41" s="6" t="str">
        <f aca="false">IF(COUNT(R41:W41)=6,SUM(R41:W41),"ko‘rilmagan")</f>
        <v>ko‘rilmagan</v>
      </c>
      <c r="Y41" s="12" t="s">
        <v>969</v>
      </c>
    </row>
    <row r="42" customFormat="false" ht="23.85" hidden="false" customHeight="false" outlineLevel="0" collapsed="false">
      <c r="A42" s="6" t="s">
        <v>1064</v>
      </c>
      <c r="B42" s="6" t="s">
        <v>98</v>
      </c>
      <c r="C42" s="6" t="s">
        <v>91</v>
      </c>
      <c r="D42" s="6" t="str">
        <f aca="false">IFERROR(INDEX(Mundarija!$D:$D,MATCH(B42,Mundarija!$A:$A,0)),"kod topilmadi")</f>
        <v>4.6. Artefaktlarni patologiyadan farqlash va diagnostik ahamiyati.</v>
      </c>
      <c r="E42" s="6" t="s">
        <v>1065</v>
      </c>
      <c r="F42" s="11" t="s">
        <v>1066</v>
      </c>
      <c r="G42" s="6" t="s">
        <v>1067</v>
      </c>
      <c r="H42" s="6" t="s">
        <v>1068</v>
      </c>
      <c r="I42" s="6" t="s">
        <v>813</v>
      </c>
      <c r="J42" s="6" t="s">
        <v>1069</v>
      </c>
      <c r="K42" s="6" t="s">
        <v>814</v>
      </c>
      <c r="L42" s="6" t="s">
        <v>840</v>
      </c>
      <c r="M42" s="6" t="s">
        <v>848</v>
      </c>
      <c r="N42" s="12" t="s">
        <v>817</v>
      </c>
      <c r="O42" s="6" t="s">
        <v>818</v>
      </c>
      <c r="P42" s="6" t="s">
        <v>2</v>
      </c>
      <c r="Q42" s="6" t="s">
        <v>20</v>
      </c>
      <c r="R42" s="12"/>
      <c r="S42" s="12"/>
      <c r="T42" s="12"/>
      <c r="U42" s="12"/>
      <c r="V42" s="12"/>
      <c r="W42" s="12"/>
      <c r="X42" s="6" t="str">
        <f aca="false">IF(COUNT(R42:W42)=6,SUM(R42:W42),"ko‘rilmagan")</f>
        <v>ko‘rilmagan</v>
      </c>
      <c r="Y42" s="12" t="s">
        <v>1070</v>
      </c>
    </row>
    <row r="43" customFormat="false" ht="23.85" hidden="false" customHeight="false" outlineLevel="0" collapsed="false">
      <c r="A43" s="6" t="s">
        <v>1071</v>
      </c>
      <c r="B43" s="6" t="s">
        <v>95</v>
      </c>
      <c r="C43" s="6"/>
      <c r="D43" s="6" t="str">
        <f aca="false">IFERROR(INDEX(Mundarija!$D:$D,MATCH(B43,Mundarija!$A:$A,0)),"kod topilmadi")</f>
        <v>4.5. Doppler aliasing va boshqa Doppler artefaktlari.</v>
      </c>
      <c r="E43" s="6" t="s">
        <v>1072</v>
      </c>
      <c r="F43" s="11" t="s">
        <v>1073</v>
      </c>
      <c r="G43" s="6" t="s">
        <v>1074</v>
      </c>
      <c r="H43" s="6" t="s">
        <v>846</v>
      </c>
      <c r="I43" s="6" t="s">
        <v>813</v>
      </c>
      <c r="J43" s="6" t="s">
        <v>1075</v>
      </c>
      <c r="K43" s="6" t="s">
        <v>814</v>
      </c>
      <c r="L43" s="6" t="s">
        <v>840</v>
      </c>
      <c r="M43" s="6" t="s">
        <v>827</v>
      </c>
      <c r="N43" s="12" t="s">
        <v>817</v>
      </c>
      <c r="O43" s="6" t="s">
        <v>818</v>
      </c>
      <c r="P43" s="6" t="s">
        <v>2</v>
      </c>
      <c r="Q43" s="6" t="s">
        <v>20</v>
      </c>
      <c r="R43" s="12"/>
      <c r="S43" s="12"/>
      <c r="T43" s="12"/>
      <c r="U43" s="12"/>
      <c r="V43" s="12"/>
      <c r="W43" s="12"/>
      <c r="X43" s="6" t="str">
        <f aca="false">IF(COUNT(R43:W43)=6,SUM(R43:W43),"ko‘rilmagan")</f>
        <v>ko‘rilmagan</v>
      </c>
      <c r="Y43" s="12" t="s">
        <v>1076</v>
      </c>
    </row>
    <row r="44" customFormat="false" ht="35.05" hidden="false" customHeight="false" outlineLevel="0" collapsed="false">
      <c r="A44" s="6" t="s">
        <v>1077</v>
      </c>
      <c r="B44" s="6" t="s">
        <v>107</v>
      </c>
      <c r="C44" s="6" t="s">
        <v>1078</v>
      </c>
      <c r="D44" s="6" t="str">
        <f aca="false">IFERROR(INDEX(Mundarija!$D:$D,MATCH(B44,Mundarija!$A:$A,0)),"kod topilmadi")</f>
        <v>5.4. PRF, scale, wall filter, gain va sample volume.</v>
      </c>
      <c r="E44" s="6" t="s">
        <v>1079</v>
      </c>
      <c r="F44" s="11" t="s">
        <v>1080</v>
      </c>
      <c r="G44" s="6" t="s">
        <v>810</v>
      </c>
      <c r="H44" s="6" t="s">
        <v>903</v>
      </c>
      <c r="I44" s="6" t="s">
        <v>1081</v>
      </c>
      <c r="J44" s="6" t="s">
        <v>1082</v>
      </c>
      <c r="K44" s="6" t="s">
        <v>814</v>
      </c>
      <c r="L44" s="6" t="s">
        <v>840</v>
      </c>
      <c r="M44" s="6" t="s">
        <v>827</v>
      </c>
      <c r="N44" s="12" t="s">
        <v>817</v>
      </c>
      <c r="O44" s="6" t="s">
        <v>818</v>
      </c>
      <c r="P44" s="6" t="s">
        <v>2</v>
      </c>
      <c r="Q44" s="6" t="s">
        <v>20</v>
      </c>
      <c r="R44" s="12"/>
      <c r="S44" s="12"/>
      <c r="T44" s="12"/>
      <c r="U44" s="12"/>
      <c r="V44" s="12"/>
      <c r="W44" s="12"/>
      <c r="X44" s="6" t="str">
        <f aca="false">IF(COUNT(R44:W44)=6,SUM(R44:W44),"ko‘rilmagan")</f>
        <v>ko‘rilmagan</v>
      </c>
      <c r="Y44" s="12" t="s">
        <v>1083</v>
      </c>
    </row>
    <row r="45" customFormat="false" ht="35.05" hidden="false" customHeight="false" outlineLevel="0" collapsed="false">
      <c r="A45" s="6" t="s">
        <v>1084</v>
      </c>
      <c r="B45" s="6" t="s">
        <v>100</v>
      </c>
      <c r="C45" s="6" t="s">
        <v>1085</v>
      </c>
      <c r="D45" s="6" t="str">
        <f aca="false">IFERROR(INDEX(Mundarija!$D:$D,MATCH(B45,Mundarija!$A:$A,0)),"kod topilmadi")</f>
        <v>5.1. Doppler effekti va Doppler tenglamasi.</v>
      </c>
      <c r="E45" s="6" t="s">
        <v>1086</v>
      </c>
      <c r="F45" s="11" t="s">
        <v>1087</v>
      </c>
      <c r="G45" s="6" t="s">
        <v>810</v>
      </c>
      <c r="H45" s="6" t="s">
        <v>903</v>
      </c>
      <c r="I45" s="6" t="s">
        <v>1088</v>
      </c>
      <c r="J45" s="6" t="s">
        <v>1089</v>
      </c>
      <c r="K45" s="6" t="s">
        <v>814</v>
      </c>
      <c r="L45" s="6" t="s">
        <v>840</v>
      </c>
      <c r="M45" s="6" t="s">
        <v>848</v>
      </c>
      <c r="N45" s="12" t="s">
        <v>817</v>
      </c>
      <c r="O45" s="6" t="s">
        <v>818</v>
      </c>
      <c r="P45" s="6" t="s">
        <v>2</v>
      </c>
      <c r="Q45" s="6" t="s">
        <v>20</v>
      </c>
      <c r="R45" s="12"/>
      <c r="S45" s="12"/>
      <c r="T45" s="12"/>
      <c r="U45" s="12"/>
      <c r="V45" s="12"/>
      <c r="W45" s="12"/>
      <c r="X45" s="6" t="str">
        <f aca="false">IF(COUNT(R45:W45)=6,SUM(R45:W45),"ko‘rilmagan")</f>
        <v>ko‘rilmagan</v>
      </c>
      <c r="Y45" s="12" t="s">
        <v>1090</v>
      </c>
    </row>
    <row r="46" customFormat="false" ht="35.05" hidden="false" customHeight="false" outlineLevel="0" collapsed="false">
      <c r="A46" s="6" t="s">
        <v>1091</v>
      </c>
      <c r="B46" s="6" t="s">
        <v>103</v>
      </c>
      <c r="C46" s="6"/>
      <c r="D46" s="6" t="str">
        <f aca="false">IFERROR(INDEX(Mundarija!$D:$D,MATCH(B46,Mundarija!$A:$A,0)),"kod topilmadi")</f>
        <v>5.2. Color Doppler va Power Doppler.</v>
      </c>
      <c r="E46" s="6" t="s">
        <v>1092</v>
      </c>
      <c r="F46" s="11" t="s">
        <v>1093</v>
      </c>
      <c r="G46" s="6" t="s">
        <v>1094</v>
      </c>
      <c r="H46" s="6" t="s">
        <v>1095</v>
      </c>
      <c r="I46" s="6" t="s">
        <v>813</v>
      </c>
      <c r="J46" s="6" t="s">
        <v>1096</v>
      </c>
      <c r="K46" s="6" t="s">
        <v>814</v>
      </c>
      <c r="L46" s="6" t="s">
        <v>815</v>
      </c>
      <c r="M46" s="6" t="s">
        <v>827</v>
      </c>
      <c r="N46" s="12" t="s">
        <v>817</v>
      </c>
      <c r="O46" s="6" t="s">
        <v>818</v>
      </c>
      <c r="P46" s="6" t="s">
        <v>2</v>
      </c>
      <c r="Q46" s="6" t="s">
        <v>20</v>
      </c>
      <c r="R46" s="12"/>
      <c r="S46" s="12"/>
      <c r="T46" s="12"/>
      <c r="U46" s="12"/>
      <c r="V46" s="12"/>
      <c r="W46" s="12"/>
      <c r="X46" s="6" t="str">
        <f aca="false">IF(COUNT(R46:W46)=6,SUM(R46:W46),"ko‘rilmagan")</f>
        <v>ko‘rilmagan</v>
      </c>
      <c r="Y46" s="12" t="s">
        <v>1097</v>
      </c>
    </row>
    <row r="47" customFormat="false" ht="23.85" hidden="false" customHeight="false" outlineLevel="0" collapsed="false">
      <c r="A47" s="6" t="s">
        <v>1098</v>
      </c>
      <c r="B47" s="6" t="s">
        <v>111</v>
      </c>
      <c r="C47" s="6"/>
      <c r="D47" s="6" t="str">
        <f aca="false">IFERROR(INDEX(Mundarija!$D:$D,MATCH(B47,Mundarija!$A:$A,0)),"kod topilmadi")</f>
        <v>5.6. Tezlik, RI, PI va boshqa gemodinamik ko‘rsatkichlar.</v>
      </c>
      <c r="E47" s="6" t="s">
        <v>1099</v>
      </c>
      <c r="F47" s="11" t="s">
        <v>1100</v>
      </c>
      <c r="G47" s="6" t="s">
        <v>1101</v>
      </c>
      <c r="H47" s="6" t="s">
        <v>824</v>
      </c>
      <c r="I47" s="6" t="s">
        <v>1102</v>
      </c>
      <c r="J47" s="6" t="s">
        <v>1103</v>
      </c>
      <c r="K47" s="6" t="s">
        <v>814</v>
      </c>
      <c r="L47" s="6" t="s">
        <v>815</v>
      </c>
      <c r="M47" s="6" t="s">
        <v>848</v>
      </c>
      <c r="N47" s="12" t="s">
        <v>817</v>
      </c>
      <c r="O47" s="6" t="s">
        <v>818</v>
      </c>
      <c r="P47" s="6" t="s">
        <v>2</v>
      </c>
      <c r="Q47" s="6" t="s">
        <v>20</v>
      </c>
      <c r="R47" s="12"/>
      <c r="S47" s="12"/>
      <c r="T47" s="12"/>
      <c r="U47" s="12"/>
      <c r="V47" s="12"/>
      <c r="W47" s="12"/>
      <c r="X47" s="6" t="str">
        <f aca="false">IF(COUNT(R47:W47)=6,SUM(R47:W47),"ko‘rilmagan")</f>
        <v>ko‘rilmagan</v>
      </c>
      <c r="Y47" s="12" t="s">
        <v>1104</v>
      </c>
    </row>
    <row r="48" customFormat="false" ht="23.85" hidden="false" customHeight="false" outlineLevel="0" collapsed="false">
      <c r="A48" s="6" t="s">
        <v>1105</v>
      </c>
      <c r="B48" s="6" t="s">
        <v>111</v>
      </c>
      <c r="C48" s="6"/>
      <c r="D48" s="6" t="str">
        <f aca="false">IFERROR(INDEX(Mundarija!$D:$D,MATCH(B48,Mundarija!$A:$A,0)),"kod topilmadi")</f>
        <v>5.6. Tezlik, RI, PI va boshqa gemodinamik ko‘rsatkichlar.</v>
      </c>
      <c r="E48" s="6" t="s">
        <v>1106</v>
      </c>
      <c r="F48" s="11" t="s">
        <v>1107</v>
      </c>
      <c r="G48" s="6" t="s">
        <v>810</v>
      </c>
      <c r="H48" s="6" t="s">
        <v>903</v>
      </c>
      <c r="I48" s="6" t="s">
        <v>1108</v>
      </c>
      <c r="J48" s="6" t="s">
        <v>1109</v>
      </c>
      <c r="K48" s="6" t="s">
        <v>814</v>
      </c>
      <c r="L48" s="6" t="s">
        <v>840</v>
      </c>
      <c r="M48" s="6" t="s">
        <v>848</v>
      </c>
      <c r="N48" s="12" t="s">
        <v>817</v>
      </c>
      <c r="O48" s="6" t="s">
        <v>818</v>
      </c>
      <c r="P48" s="6" t="s">
        <v>2</v>
      </c>
      <c r="Q48" s="6" t="s">
        <v>20</v>
      </c>
      <c r="R48" s="12"/>
      <c r="S48" s="12"/>
      <c r="T48" s="12"/>
      <c r="U48" s="12"/>
      <c r="V48" s="12"/>
      <c r="W48" s="12"/>
      <c r="X48" s="6" t="str">
        <f aca="false">IF(COUNT(R48:W48)=6,SUM(R48:W48),"ko‘rilmagan")</f>
        <v>ko‘rilmagan</v>
      </c>
      <c r="Y48" s="12" t="s">
        <v>1110</v>
      </c>
    </row>
    <row r="49" customFormat="false" ht="35.05" hidden="false" customHeight="false" outlineLevel="0" collapsed="false">
      <c r="A49" s="6" t="s">
        <v>1111</v>
      </c>
      <c r="B49" s="6" t="s">
        <v>116</v>
      </c>
      <c r="C49" s="6" t="s">
        <v>1112</v>
      </c>
      <c r="D49" s="6" t="str">
        <f aca="false">IFERROR(INDEX(Mundarija!$D:$D,MATCH(B49,Mundarija!$A:$A,0)),"kod topilmadi")</f>
        <v>6.1. Ultratovushning termal va mexanik bioeffektlari.</v>
      </c>
      <c r="E49" s="6" t="s">
        <v>1113</v>
      </c>
      <c r="F49" s="11" t="s">
        <v>1114</v>
      </c>
      <c r="G49" s="6" t="s">
        <v>1115</v>
      </c>
      <c r="H49" s="6" t="s">
        <v>1116</v>
      </c>
      <c r="I49" s="6" t="s">
        <v>813</v>
      </c>
      <c r="J49" s="6" t="s">
        <v>1117</v>
      </c>
      <c r="K49" s="6" t="s">
        <v>814</v>
      </c>
      <c r="L49" s="6" t="s">
        <v>840</v>
      </c>
      <c r="M49" s="6" t="s">
        <v>848</v>
      </c>
      <c r="N49" s="12" t="s">
        <v>817</v>
      </c>
      <c r="O49" s="6" t="s">
        <v>818</v>
      </c>
      <c r="P49" s="6" t="s">
        <v>2</v>
      </c>
      <c r="Q49" s="6" t="s">
        <v>20</v>
      </c>
      <c r="R49" s="12"/>
      <c r="S49" s="12"/>
      <c r="T49" s="12"/>
      <c r="U49" s="12"/>
      <c r="V49" s="12"/>
      <c r="W49" s="12"/>
      <c r="X49" s="6" t="str">
        <f aca="false">IF(COUNT(R49:W49)=6,SUM(R49:W49),"ko‘rilmagan")</f>
        <v>ko‘rilmagan</v>
      </c>
      <c r="Y49" s="12" t="s">
        <v>1118</v>
      </c>
    </row>
    <row r="50" customFormat="false" ht="35.05" hidden="false" customHeight="false" outlineLevel="0" collapsed="false">
      <c r="A50" s="6" t="s">
        <v>1119</v>
      </c>
      <c r="B50" s="6" t="s">
        <v>119</v>
      </c>
      <c r="C50" s="6"/>
      <c r="D50" s="6" t="str">
        <f aca="false">IFERROR(INDEX(Mundarija!$D:$D,MATCH(B50,Mundarija!$A:$A,0)),"kod topilmadi")</f>
        <v>6.2. Thermal Index (TI) va Mechanical Index (MI).</v>
      </c>
      <c r="E50" s="6" t="s">
        <v>1120</v>
      </c>
      <c r="F50" s="11" t="s">
        <v>1121</v>
      </c>
      <c r="G50" s="6" t="s">
        <v>1074</v>
      </c>
      <c r="H50" s="6" t="s">
        <v>846</v>
      </c>
      <c r="I50" s="6" t="s">
        <v>813</v>
      </c>
      <c r="J50" s="6" t="s">
        <v>1122</v>
      </c>
      <c r="K50" s="6" t="s">
        <v>814</v>
      </c>
      <c r="L50" s="6" t="s">
        <v>815</v>
      </c>
      <c r="M50" s="6" t="s">
        <v>827</v>
      </c>
      <c r="N50" s="12" t="s">
        <v>817</v>
      </c>
      <c r="O50" s="6" t="s">
        <v>818</v>
      </c>
      <c r="P50" s="6" t="s">
        <v>2</v>
      </c>
      <c r="Q50" s="6" t="s">
        <v>20</v>
      </c>
      <c r="R50" s="12"/>
      <c r="S50" s="12"/>
      <c r="T50" s="12"/>
      <c r="U50" s="12"/>
      <c r="V50" s="12"/>
      <c r="W50" s="12"/>
      <c r="X50" s="6" t="str">
        <f aca="false">IF(COUNT(R50:W50)=6,SUM(R50:W50),"ko‘rilmagan")</f>
        <v>ko‘rilmagan</v>
      </c>
      <c r="Y50" s="12" t="s">
        <v>1123</v>
      </c>
    </row>
    <row r="51" customFormat="false" ht="35.05" hidden="false" customHeight="false" outlineLevel="0" collapsed="false">
      <c r="A51" s="6" t="s">
        <v>1124</v>
      </c>
      <c r="B51" s="6" t="s">
        <v>128</v>
      </c>
      <c r="C51" s="6" t="s">
        <v>119</v>
      </c>
      <c r="D51" s="6" t="str">
        <f aca="false">IFERROR(INDEX(Mundarija!$D:$D,MATCH(B51,Mundarija!$A:$A,0)),"kod topilmadi")</f>
        <v>6.6. Kontrastli UZI xavfsizligi va maxsus tayyorgarlik talablari.</v>
      </c>
      <c r="E51" s="6" t="s">
        <v>1125</v>
      </c>
      <c r="F51" s="11" t="s">
        <v>1126</v>
      </c>
      <c r="G51" s="6" t="s">
        <v>810</v>
      </c>
      <c r="H51" s="6" t="s">
        <v>903</v>
      </c>
      <c r="I51" s="6" t="s">
        <v>1127</v>
      </c>
      <c r="J51" s="6" t="s">
        <v>998</v>
      </c>
      <c r="K51" s="6" t="s">
        <v>814</v>
      </c>
      <c r="L51" s="6" t="s">
        <v>840</v>
      </c>
      <c r="M51" s="6" t="s">
        <v>848</v>
      </c>
      <c r="N51" s="12" t="s">
        <v>817</v>
      </c>
      <c r="O51" s="6" t="s">
        <v>818</v>
      </c>
      <c r="P51" s="6" t="s">
        <v>2</v>
      </c>
      <c r="Q51" s="6" t="s">
        <v>20</v>
      </c>
      <c r="R51" s="12"/>
      <c r="S51" s="12"/>
      <c r="T51" s="12"/>
      <c r="U51" s="12"/>
      <c r="V51" s="12"/>
      <c r="W51" s="12"/>
      <c r="X51" s="6" t="str">
        <f aca="false">IF(COUNT(R51:W51)=6,SUM(R51:W51),"ko‘rilmagan")</f>
        <v>ko‘rilmagan</v>
      </c>
      <c r="Y51" s="12" t="s">
        <v>1128</v>
      </c>
    </row>
    <row r="52" customFormat="false" ht="23.85" hidden="false" customHeight="false" outlineLevel="0" collapsed="false">
      <c r="A52" s="6" t="s">
        <v>1129</v>
      </c>
      <c r="B52" s="6" t="s">
        <v>86</v>
      </c>
      <c r="C52" s="6"/>
      <c r="D52" s="6" t="str">
        <f aca="false">IFERROR(INDEX(Mundarija!$D:$D,MATCH(B52,Mundarija!$A:$A,0)),"kod topilmadi")</f>
        <v>4.1. Akustik soya va posterior akustik kuchayish.</v>
      </c>
      <c r="E52" s="6" t="s">
        <v>1130</v>
      </c>
      <c r="F52" s="11" t="s">
        <v>1131</v>
      </c>
      <c r="G52" s="6" t="s">
        <v>1074</v>
      </c>
      <c r="H52" s="6" t="s">
        <v>846</v>
      </c>
      <c r="I52" s="6" t="s">
        <v>813</v>
      </c>
      <c r="J52" s="6" t="s">
        <v>813</v>
      </c>
      <c r="K52" s="6" t="s">
        <v>814</v>
      </c>
      <c r="L52" s="6" t="s">
        <v>815</v>
      </c>
      <c r="M52" s="6" t="s">
        <v>827</v>
      </c>
      <c r="N52" s="12" t="s">
        <v>817</v>
      </c>
      <c r="O52" s="6" t="s">
        <v>818</v>
      </c>
      <c r="P52" s="6" t="s">
        <v>2</v>
      </c>
      <c r="Q52" s="6" t="s">
        <v>20</v>
      </c>
      <c r="R52" s="12"/>
      <c r="S52" s="12"/>
      <c r="T52" s="12"/>
      <c r="U52" s="12"/>
      <c r="V52" s="12"/>
      <c r="W52" s="12"/>
      <c r="X52" s="6" t="str">
        <f aca="false">IF(COUNT(R52:W52)=6,SUM(R52:W52),"ko‘rilmagan")</f>
        <v>ko‘rilmagan</v>
      </c>
      <c r="Y52" s="12" t="s">
        <v>1132</v>
      </c>
    </row>
    <row r="53" customFormat="false" ht="23.85" hidden="false" customHeight="false" outlineLevel="0" collapsed="false">
      <c r="A53" s="6" t="s">
        <v>1133</v>
      </c>
      <c r="B53" s="6" t="s">
        <v>86</v>
      </c>
      <c r="C53" s="6"/>
      <c r="D53" s="6" t="str">
        <f aca="false">IFERROR(INDEX(Mundarija!$D:$D,MATCH(B53,Mundarija!$A:$A,0)),"kod topilmadi")</f>
        <v>4.1. Akustik soya va posterior akustik kuchayish.</v>
      </c>
      <c r="E53" s="6" t="s">
        <v>1134</v>
      </c>
      <c r="F53" s="11" t="s">
        <v>1135</v>
      </c>
      <c r="G53" s="6" t="s">
        <v>1074</v>
      </c>
      <c r="H53" s="6" t="s">
        <v>846</v>
      </c>
      <c r="I53" s="6" t="s">
        <v>813</v>
      </c>
      <c r="J53" s="6" t="s">
        <v>813</v>
      </c>
      <c r="K53" s="6" t="s">
        <v>814</v>
      </c>
      <c r="L53" s="6" t="s">
        <v>815</v>
      </c>
      <c r="M53" s="6" t="s">
        <v>827</v>
      </c>
      <c r="N53" s="12" t="s">
        <v>817</v>
      </c>
      <c r="O53" s="6" t="s">
        <v>818</v>
      </c>
      <c r="P53" s="6" t="s">
        <v>2</v>
      </c>
      <c r="Q53" s="6" t="s">
        <v>20</v>
      </c>
      <c r="R53" s="12"/>
      <c r="S53" s="12"/>
      <c r="T53" s="12"/>
      <c r="U53" s="12"/>
      <c r="V53" s="12"/>
      <c r="W53" s="12"/>
      <c r="X53" s="6" t="str">
        <f aca="false">IF(COUNT(R53:W53)=6,SUM(R53:W53),"ko‘rilmagan")</f>
        <v>ko‘rilmagan</v>
      </c>
      <c r="Y53" s="12" t="s">
        <v>1132</v>
      </c>
    </row>
    <row r="54" customFormat="false" ht="23.85" hidden="false" customHeight="false" outlineLevel="0" collapsed="false">
      <c r="A54" s="6" t="s">
        <v>1136</v>
      </c>
      <c r="B54" s="6" t="s">
        <v>89</v>
      </c>
      <c r="C54" s="6"/>
      <c r="D54" s="6" t="str">
        <f aca="false">IFERROR(INDEX(Mundarija!$D:$D,MATCH(B54,Mundarija!$A:$A,0)),"kod topilmadi")</f>
        <v>4.2. Reverberatsiya, kometa dumi va ring-down.</v>
      </c>
      <c r="E54" s="6" t="s">
        <v>1137</v>
      </c>
      <c r="F54" s="11" t="s">
        <v>1138</v>
      </c>
      <c r="G54" s="6" t="s">
        <v>1139</v>
      </c>
      <c r="H54" s="6" t="s">
        <v>1140</v>
      </c>
      <c r="I54" s="6" t="s">
        <v>813</v>
      </c>
      <c r="J54" s="6" t="s">
        <v>813</v>
      </c>
      <c r="K54" s="6" t="s">
        <v>814</v>
      </c>
      <c r="L54" s="6" t="s">
        <v>815</v>
      </c>
      <c r="M54" s="6" t="s">
        <v>827</v>
      </c>
      <c r="N54" s="12" t="s">
        <v>817</v>
      </c>
      <c r="O54" s="6" t="s">
        <v>818</v>
      </c>
      <c r="P54" s="6" t="s">
        <v>2</v>
      </c>
      <c r="Q54" s="6" t="s">
        <v>20</v>
      </c>
      <c r="R54" s="12"/>
      <c r="S54" s="12"/>
      <c r="T54" s="12"/>
      <c r="U54" s="12"/>
      <c r="V54" s="12"/>
      <c r="W54" s="12"/>
      <c r="X54" s="6" t="str">
        <f aca="false">IF(COUNT(R54:W54)=6,SUM(R54:W54),"ko‘rilmagan")</f>
        <v>ko‘rilmagan</v>
      </c>
      <c r="Y54" s="12" t="s">
        <v>1141</v>
      </c>
    </row>
    <row r="55" customFormat="false" ht="23.85" hidden="false" customHeight="false" outlineLevel="0" collapsed="false">
      <c r="A55" s="6" t="s">
        <v>1142</v>
      </c>
      <c r="B55" s="6" t="s">
        <v>98</v>
      </c>
      <c r="C55" s="6" t="s">
        <v>1143</v>
      </c>
      <c r="D55" s="6" t="str">
        <f aca="false">IFERROR(INDEX(Mundarija!$D:$D,MATCH(B55,Mundarija!$A:$A,0)),"kod topilmadi")</f>
        <v>4.6. Artefaktlarni patologiyadan farqlash va diagnostik ahamiyati.</v>
      </c>
      <c r="E55" s="6" t="s">
        <v>1144</v>
      </c>
      <c r="F55" s="11" t="s">
        <v>1145</v>
      </c>
      <c r="G55" s="6" t="s">
        <v>1146</v>
      </c>
      <c r="H55" s="6" t="s">
        <v>846</v>
      </c>
      <c r="I55" s="6" t="s">
        <v>813</v>
      </c>
      <c r="J55" s="6" t="s">
        <v>813</v>
      </c>
      <c r="K55" s="6" t="s">
        <v>814</v>
      </c>
      <c r="L55" s="6" t="s">
        <v>815</v>
      </c>
      <c r="M55" s="6" t="s">
        <v>848</v>
      </c>
      <c r="N55" s="12" t="s">
        <v>817</v>
      </c>
      <c r="O55" s="6" t="s">
        <v>818</v>
      </c>
      <c r="P55" s="6" t="s">
        <v>2</v>
      </c>
      <c r="Q55" s="6" t="s">
        <v>20</v>
      </c>
      <c r="R55" s="12"/>
      <c r="S55" s="12"/>
      <c r="T55" s="12"/>
      <c r="U55" s="12"/>
      <c r="V55" s="12"/>
      <c r="W55" s="12"/>
      <c r="X55" s="6" t="str">
        <f aca="false">IF(COUNT(R55:W55)=6,SUM(R55:W55),"ko‘rilmagan")</f>
        <v>ko‘rilmagan</v>
      </c>
      <c r="Y55" s="12" t="s">
        <v>1070</v>
      </c>
    </row>
    <row r="56" customFormat="false" ht="35.05" hidden="false" customHeight="false" outlineLevel="0" collapsed="false">
      <c r="A56" s="6" t="s">
        <v>1147</v>
      </c>
      <c r="B56" s="6" t="s">
        <v>98</v>
      </c>
      <c r="C56" s="6"/>
      <c r="D56" s="6" t="str">
        <f aca="false">IFERROR(INDEX(Mundarija!$D:$D,MATCH(B56,Mundarija!$A:$A,0)),"kod topilmadi")</f>
        <v>4.6. Artefaktlarni patologiyadan farqlash va diagnostik ahamiyati.</v>
      </c>
      <c r="E56" s="6" t="s">
        <v>1148</v>
      </c>
      <c r="F56" s="11" t="s">
        <v>1149</v>
      </c>
      <c r="G56" s="6" t="s">
        <v>1150</v>
      </c>
      <c r="H56" s="6" t="s">
        <v>916</v>
      </c>
      <c r="I56" s="6" t="s">
        <v>813</v>
      </c>
      <c r="J56" s="6" t="s">
        <v>813</v>
      </c>
      <c r="K56" s="6" t="s">
        <v>814</v>
      </c>
      <c r="L56" s="6" t="s">
        <v>840</v>
      </c>
      <c r="M56" s="6" t="s">
        <v>848</v>
      </c>
      <c r="N56" s="12" t="s">
        <v>817</v>
      </c>
      <c r="O56" s="6" t="s">
        <v>818</v>
      </c>
      <c r="P56" s="6" t="s">
        <v>2</v>
      </c>
      <c r="Q56" s="6" t="s">
        <v>20</v>
      </c>
      <c r="R56" s="12"/>
      <c r="S56" s="12"/>
      <c r="T56" s="12"/>
      <c r="U56" s="12"/>
      <c r="V56" s="12"/>
      <c r="W56" s="12"/>
      <c r="X56" s="6" t="str">
        <f aca="false">IF(COUNT(R56:W56)=6,SUM(R56:W56),"ko‘rilmagan")</f>
        <v>ko‘rilmagan</v>
      </c>
      <c r="Y56" s="12" t="s">
        <v>1070</v>
      </c>
    </row>
    <row r="57" customFormat="false" ht="23.85" hidden="false" customHeight="false" outlineLevel="0" collapsed="false">
      <c r="A57" s="6" t="s">
        <v>1151</v>
      </c>
      <c r="B57" s="6" t="s">
        <v>59</v>
      </c>
      <c r="C57" s="6"/>
      <c r="D57" s="6" t="str">
        <f aca="false">IFERROR(INDEX(Mundarija!$D:$D,MATCH(B57,Mundarija!$A:$A,0)),"kod topilmadi")</f>
        <v>2.2. Konveks, chiziqli, sektor/fazalangan va endokavitar datchiklar.</v>
      </c>
      <c r="E57" s="6" t="s">
        <v>1152</v>
      </c>
      <c r="F57" s="11" t="s">
        <v>1153</v>
      </c>
      <c r="G57" s="6" t="s">
        <v>1154</v>
      </c>
      <c r="H57" s="6" t="s">
        <v>846</v>
      </c>
      <c r="I57" s="6" t="s">
        <v>813</v>
      </c>
      <c r="J57" s="6" t="s">
        <v>813</v>
      </c>
      <c r="K57" s="6" t="s">
        <v>814</v>
      </c>
      <c r="L57" s="6" t="s">
        <v>815</v>
      </c>
      <c r="M57" s="6" t="s">
        <v>848</v>
      </c>
      <c r="N57" s="12" t="s">
        <v>817</v>
      </c>
      <c r="O57" s="6" t="s">
        <v>818</v>
      </c>
      <c r="P57" s="6" t="s">
        <v>2</v>
      </c>
      <c r="Q57" s="6" t="s">
        <v>20</v>
      </c>
      <c r="R57" s="12"/>
      <c r="S57" s="12"/>
      <c r="T57" s="12"/>
      <c r="U57" s="12"/>
      <c r="V57" s="12"/>
      <c r="W57" s="12"/>
      <c r="X57" s="6" t="str">
        <f aca="false">IF(COUNT(R57:W57)=6,SUM(R57:W57),"ko‘rilmagan")</f>
        <v>ko‘rilmagan</v>
      </c>
      <c r="Y57" s="12" t="s">
        <v>1155</v>
      </c>
    </row>
    <row r="58" customFormat="false" ht="23.85" hidden="false" customHeight="false" outlineLevel="0" collapsed="false">
      <c r="A58" s="6" t="s">
        <v>1156</v>
      </c>
      <c r="B58" s="6" t="s">
        <v>177</v>
      </c>
      <c r="C58" s="6"/>
      <c r="D58" s="6" t="str">
        <f aca="false">IFERROR(INDEX(Mundarija!$D:$D,MATCH(B58,Mundarija!$A:$A,0)),"kod topilmadi")</f>
        <v>10.2. Jigarni standart tekshirish protokoli.</v>
      </c>
      <c r="E58" s="6" t="s">
        <v>1157</v>
      </c>
      <c r="F58" s="11" t="s">
        <v>1158</v>
      </c>
      <c r="G58" s="6" t="s">
        <v>1159</v>
      </c>
      <c r="H58" s="6" t="s">
        <v>846</v>
      </c>
      <c r="I58" s="6" t="s">
        <v>813</v>
      </c>
      <c r="J58" s="6" t="s">
        <v>813</v>
      </c>
      <c r="K58" s="6" t="s">
        <v>814</v>
      </c>
      <c r="L58" s="6" t="s">
        <v>1160</v>
      </c>
      <c r="M58" s="6" t="s">
        <v>1160</v>
      </c>
      <c r="N58" s="12" t="s">
        <v>817</v>
      </c>
      <c r="O58" s="6" t="s">
        <v>818</v>
      </c>
      <c r="P58" s="6" t="s">
        <v>2</v>
      </c>
      <c r="Q58" s="6" t="s">
        <v>20</v>
      </c>
      <c r="R58" s="12"/>
      <c r="S58" s="12"/>
      <c r="T58" s="12"/>
      <c r="U58" s="12"/>
      <c r="V58" s="12"/>
      <c r="W58" s="12"/>
      <c r="X58" s="6" t="str">
        <f aca="false">IF(COUNT(R58:W58)=6,SUM(R58:W58),"ko‘rilmagan")</f>
        <v>ko‘rilmagan</v>
      </c>
      <c r="Y58" s="12" t="s">
        <v>1161</v>
      </c>
    </row>
    <row r="59" customFormat="false" ht="35.05" hidden="false" customHeight="false" outlineLevel="0" collapsed="false">
      <c r="A59" s="6" t="s">
        <v>1162</v>
      </c>
      <c r="B59" s="6" t="s">
        <v>179</v>
      </c>
      <c r="C59" s="6"/>
      <c r="D59" s="6" t="str">
        <f aca="false">IFERROR(INDEX(Mundarija!$D:$D,MATCH(B59,Mundarija!$A:$A,0)),"kod topilmadi")</f>
        <v>10.3. Diffuz kasalliklar: steatoz, gepatit va sirroz.</v>
      </c>
      <c r="E59" s="6" t="s">
        <v>1163</v>
      </c>
      <c r="F59" s="11" t="s">
        <v>1164</v>
      </c>
      <c r="G59" s="6" t="s">
        <v>1165</v>
      </c>
      <c r="H59" s="6" t="s">
        <v>846</v>
      </c>
      <c r="I59" s="6" t="s">
        <v>813</v>
      </c>
      <c r="J59" s="6" t="s">
        <v>813</v>
      </c>
      <c r="K59" s="6" t="s">
        <v>814</v>
      </c>
      <c r="L59" s="6" t="s">
        <v>1160</v>
      </c>
      <c r="M59" s="6" t="s">
        <v>1160</v>
      </c>
      <c r="N59" s="12" t="s">
        <v>817</v>
      </c>
      <c r="O59" s="6" t="s">
        <v>818</v>
      </c>
      <c r="P59" s="6" t="s">
        <v>2</v>
      </c>
      <c r="Q59" s="6" t="s">
        <v>20</v>
      </c>
      <c r="R59" s="12"/>
      <c r="S59" s="12"/>
      <c r="T59" s="12"/>
      <c r="U59" s="12"/>
      <c r="V59" s="12"/>
      <c r="W59" s="12"/>
      <c r="X59" s="6" t="str">
        <f aca="false">IF(COUNT(R59:W59)=6,SUM(R59:W59),"ko‘rilmagan")</f>
        <v>ko‘rilmagan</v>
      </c>
      <c r="Y59" s="12" t="s">
        <v>1166</v>
      </c>
    </row>
    <row r="60" customFormat="false" ht="23.85" hidden="false" customHeight="false" outlineLevel="0" collapsed="false">
      <c r="A60" s="6" t="s">
        <v>1167</v>
      </c>
      <c r="B60" s="6" t="s">
        <v>183</v>
      </c>
      <c r="C60" s="6" t="s">
        <v>1168</v>
      </c>
      <c r="D60" s="6" t="str">
        <f aca="false">IFERROR(INDEX(Mundarija!$D:$D,MATCH(B60,Mundarija!$A:$A,0)),"kod topilmadi")</f>
        <v>10.5. Fokal hosilalar: kista, gemangioma va boshqa benign o‘zgarishlar.</v>
      </c>
      <c r="E60" s="6" t="s">
        <v>1169</v>
      </c>
      <c r="F60" s="11" t="s">
        <v>1170</v>
      </c>
      <c r="G60" s="6" t="s">
        <v>1171</v>
      </c>
      <c r="H60" s="6" t="s">
        <v>846</v>
      </c>
      <c r="I60" s="6" t="s">
        <v>813</v>
      </c>
      <c r="J60" s="6" t="s">
        <v>813</v>
      </c>
      <c r="K60" s="6" t="s">
        <v>814</v>
      </c>
      <c r="L60" s="6" t="s">
        <v>1160</v>
      </c>
      <c r="M60" s="6" t="s">
        <v>1160</v>
      </c>
      <c r="N60" s="12" t="s">
        <v>817</v>
      </c>
      <c r="O60" s="6" t="s">
        <v>818</v>
      </c>
      <c r="P60" s="6" t="s">
        <v>2</v>
      </c>
      <c r="Q60" s="6" t="s">
        <v>20</v>
      </c>
      <c r="R60" s="12"/>
      <c r="S60" s="12"/>
      <c r="T60" s="12"/>
      <c r="U60" s="12"/>
      <c r="V60" s="12"/>
      <c r="W60" s="12"/>
      <c r="X60" s="6" t="str">
        <f aca="false">IF(COUNT(R60:W60)=6,SUM(R60:W60),"ko‘rilmagan")</f>
        <v>ko‘rilmagan</v>
      </c>
      <c r="Y60" s="12" t="s">
        <v>1172</v>
      </c>
    </row>
    <row r="61" customFormat="false" ht="23.85" hidden="false" customHeight="false" outlineLevel="0" collapsed="false">
      <c r="A61" s="6" t="s">
        <v>1173</v>
      </c>
      <c r="B61" s="6" t="s">
        <v>194</v>
      </c>
      <c r="C61" s="6"/>
      <c r="D61" s="6" t="str">
        <f aca="false">IFERROR(INDEX(Mundarija!$D:$D,MATCH(B61,Mundarija!$A:$A,0)),"kod topilmadi")</f>
        <v>11.1. Normal anatomiya va tekshiruv texnikasi.</v>
      </c>
      <c r="E61" s="6" t="s">
        <v>1174</v>
      </c>
      <c r="F61" s="11" t="s">
        <v>1175</v>
      </c>
      <c r="G61" s="6" t="s">
        <v>1165</v>
      </c>
      <c r="H61" s="6" t="s">
        <v>846</v>
      </c>
      <c r="I61" s="6" t="s">
        <v>813</v>
      </c>
      <c r="J61" s="6" t="s">
        <v>813</v>
      </c>
      <c r="K61" s="6" t="s">
        <v>814</v>
      </c>
      <c r="L61" s="6" t="s">
        <v>1160</v>
      </c>
      <c r="M61" s="6" t="s">
        <v>1160</v>
      </c>
      <c r="N61" s="12" t="s">
        <v>817</v>
      </c>
      <c r="O61" s="6" t="s">
        <v>818</v>
      </c>
      <c r="P61" s="6" t="s">
        <v>2</v>
      </c>
      <c r="Q61" s="6" t="s">
        <v>20</v>
      </c>
      <c r="R61" s="12"/>
      <c r="S61" s="12"/>
      <c r="T61" s="12"/>
      <c r="U61" s="12"/>
      <c r="V61" s="12"/>
      <c r="W61" s="12"/>
      <c r="X61" s="6" t="str">
        <f aca="false">IF(COUNT(R61:W61)=6,SUM(R61:W61),"ko‘rilmagan")</f>
        <v>ko‘rilmagan</v>
      </c>
      <c r="Y61" s="12" t="s">
        <v>1176</v>
      </c>
    </row>
    <row r="62" customFormat="false" ht="23.85" hidden="false" customHeight="false" outlineLevel="0" collapsed="false">
      <c r="A62" s="6" t="s">
        <v>1177</v>
      </c>
      <c r="B62" s="6" t="s">
        <v>197</v>
      </c>
      <c r="C62" s="6" t="s">
        <v>1178</v>
      </c>
      <c r="D62" s="6" t="str">
        <f aca="false">IFERROR(INDEX(Mundarija!$D:$D,MATCH(B62,Mundarija!$A:$A,0)),"kod topilmadi")</f>
        <v>11.2. Xolelitiaz va xoledoxolitiaz.</v>
      </c>
      <c r="E62" s="6" t="s">
        <v>1179</v>
      </c>
      <c r="F62" s="11" t="s">
        <v>1180</v>
      </c>
      <c r="G62" s="6" t="s">
        <v>1181</v>
      </c>
      <c r="H62" s="6" t="s">
        <v>846</v>
      </c>
      <c r="I62" s="6" t="s">
        <v>813</v>
      </c>
      <c r="J62" s="6" t="s">
        <v>813</v>
      </c>
      <c r="K62" s="6" t="s">
        <v>814</v>
      </c>
      <c r="L62" s="6" t="s">
        <v>1160</v>
      </c>
      <c r="M62" s="6" t="s">
        <v>1160</v>
      </c>
      <c r="N62" s="12" t="s">
        <v>817</v>
      </c>
      <c r="O62" s="6" t="s">
        <v>818</v>
      </c>
      <c r="P62" s="6" t="s">
        <v>2</v>
      </c>
      <c r="Q62" s="6" t="s">
        <v>20</v>
      </c>
      <c r="R62" s="12"/>
      <c r="S62" s="12"/>
      <c r="T62" s="12"/>
      <c r="U62" s="12"/>
      <c r="V62" s="12"/>
      <c r="W62" s="12"/>
      <c r="X62" s="6" t="str">
        <f aca="false">IF(COUNT(R62:W62)=6,SUM(R62:W62),"ko‘rilmagan")</f>
        <v>ko‘rilmagan</v>
      </c>
      <c r="Y62" s="12" t="s">
        <v>1182</v>
      </c>
    </row>
    <row r="63" customFormat="false" ht="35.05" hidden="false" customHeight="false" outlineLevel="0" collapsed="false">
      <c r="A63" s="6" t="s">
        <v>1183</v>
      </c>
      <c r="B63" s="6" t="s">
        <v>212</v>
      </c>
      <c r="C63" s="6"/>
      <c r="D63" s="6" t="str">
        <f aca="false">IFERROR(INDEX(Mundarija!$D:$D,MATCH(B63,Mundarija!$A:$A,0)),"kod topilmadi")</f>
        <v>12.1. Normal anatomiya va vizualizatsiya usullari.</v>
      </c>
      <c r="E63" s="6" t="s">
        <v>1184</v>
      </c>
      <c r="F63" s="11" t="s">
        <v>1185</v>
      </c>
      <c r="G63" s="6" t="s">
        <v>1159</v>
      </c>
      <c r="H63" s="6" t="s">
        <v>846</v>
      </c>
      <c r="I63" s="6" t="s">
        <v>813</v>
      </c>
      <c r="J63" s="6" t="s">
        <v>813</v>
      </c>
      <c r="K63" s="6" t="s">
        <v>814</v>
      </c>
      <c r="L63" s="6" t="s">
        <v>1160</v>
      </c>
      <c r="M63" s="6" t="s">
        <v>1160</v>
      </c>
      <c r="N63" s="12" t="s">
        <v>817</v>
      </c>
      <c r="O63" s="6" t="s">
        <v>818</v>
      </c>
      <c r="P63" s="6" t="s">
        <v>2</v>
      </c>
      <c r="Q63" s="6" t="s">
        <v>20</v>
      </c>
      <c r="R63" s="12"/>
      <c r="S63" s="12"/>
      <c r="T63" s="12"/>
      <c r="U63" s="12"/>
      <c r="V63" s="12"/>
      <c r="W63" s="12"/>
      <c r="X63" s="6" t="str">
        <f aca="false">IF(COUNT(R63:W63)=6,SUM(R63:W63),"ko‘rilmagan")</f>
        <v>ko‘rilmagan</v>
      </c>
      <c r="Y63" s="12" t="s">
        <v>1186</v>
      </c>
    </row>
    <row r="64" customFormat="false" ht="23.85" hidden="false" customHeight="false" outlineLevel="0" collapsed="false">
      <c r="A64" s="6" t="s">
        <v>1187</v>
      </c>
      <c r="B64" s="6" t="s">
        <v>215</v>
      </c>
      <c r="C64" s="6"/>
      <c r="D64" s="6" t="str">
        <f aca="false">IFERROR(INDEX(Mundarija!$D:$D,MATCH(B64,Mundarija!$A:$A,0)),"kod topilmadi")</f>
        <v>12.2. O‘tkir va surunkali pankreatit.</v>
      </c>
      <c r="E64" s="6" t="s">
        <v>1188</v>
      </c>
      <c r="F64" s="11" t="s">
        <v>1189</v>
      </c>
      <c r="G64" s="6" t="s">
        <v>1159</v>
      </c>
      <c r="H64" s="6" t="s">
        <v>846</v>
      </c>
      <c r="I64" s="6" t="s">
        <v>813</v>
      </c>
      <c r="J64" s="6" t="s">
        <v>813</v>
      </c>
      <c r="K64" s="6" t="s">
        <v>814</v>
      </c>
      <c r="L64" s="6" t="s">
        <v>1160</v>
      </c>
      <c r="M64" s="6" t="s">
        <v>1160</v>
      </c>
      <c r="N64" s="12" t="s">
        <v>817</v>
      </c>
      <c r="O64" s="6" t="s">
        <v>818</v>
      </c>
      <c r="P64" s="6" t="s">
        <v>2</v>
      </c>
      <c r="Q64" s="6" t="s">
        <v>20</v>
      </c>
      <c r="R64" s="12"/>
      <c r="S64" s="12"/>
      <c r="T64" s="12"/>
      <c r="U64" s="12"/>
      <c r="V64" s="12"/>
      <c r="W64" s="12"/>
      <c r="X64" s="6" t="str">
        <f aca="false">IF(COUNT(R64:W64)=6,SUM(R64:W64),"ko‘rilmagan")</f>
        <v>ko‘rilmagan</v>
      </c>
      <c r="Y64" s="12" t="s">
        <v>1190</v>
      </c>
    </row>
    <row r="65" customFormat="false" ht="23.85" hidden="false" customHeight="false" outlineLevel="0" collapsed="false">
      <c r="A65" s="6" t="s">
        <v>1191</v>
      </c>
      <c r="B65" s="6" t="s">
        <v>223</v>
      </c>
      <c r="C65" s="6" t="s">
        <v>1192</v>
      </c>
      <c r="D65" s="6" t="str">
        <f aca="false">IFERROR(INDEX(Mundarija!$D:$D,MATCH(B65,Mundarija!$A:$A,0)),"kod topilmadi")</f>
        <v>13.1. Normal anatomiya va o‘lchamlari.</v>
      </c>
      <c r="E65" s="6" t="s">
        <v>1193</v>
      </c>
      <c r="F65" s="11" t="s">
        <v>1194</v>
      </c>
      <c r="G65" s="6" t="s">
        <v>1195</v>
      </c>
      <c r="H65" s="6" t="s">
        <v>846</v>
      </c>
      <c r="I65" s="6" t="s">
        <v>813</v>
      </c>
      <c r="J65" s="6" t="s">
        <v>813</v>
      </c>
      <c r="K65" s="6" t="s">
        <v>814</v>
      </c>
      <c r="L65" s="6" t="s">
        <v>1160</v>
      </c>
      <c r="M65" s="6" t="s">
        <v>1160</v>
      </c>
      <c r="N65" s="12" t="s">
        <v>817</v>
      </c>
      <c r="O65" s="6" t="s">
        <v>818</v>
      </c>
      <c r="P65" s="6" t="s">
        <v>2</v>
      </c>
      <c r="Q65" s="6" t="s">
        <v>20</v>
      </c>
      <c r="R65" s="12"/>
      <c r="S65" s="12"/>
      <c r="T65" s="12"/>
      <c r="U65" s="12"/>
      <c r="V65" s="12"/>
      <c r="W65" s="12"/>
      <c r="X65" s="6" t="str">
        <f aca="false">IF(COUNT(R65:W65)=6,SUM(R65:W65),"ko‘rilmagan")</f>
        <v>ko‘rilmagan</v>
      </c>
      <c r="Y65" s="12" t="s">
        <v>1196</v>
      </c>
    </row>
    <row r="66" customFormat="false" ht="23.85" hidden="false" customHeight="false" outlineLevel="0" collapsed="false">
      <c r="A66" s="6" t="s">
        <v>1197</v>
      </c>
      <c r="B66" s="6" t="s">
        <v>251</v>
      </c>
      <c r="C66" s="6"/>
      <c r="D66" s="6" t="str">
        <f aca="false">IFERROR(INDEX(Mundarija!$D:$D,MATCH(B66,Mundarija!$A:$A,0)),"kod topilmadi")</f>
        <v>15.1. Qorin aortasi: diametr, anevrizma va stenoz.</v>
      </c>
      <c r="E66" s="6" t="s">
        <v>1198</v>
      </c>
      <c r="F66" s="11" t="s">
        <v>1199</v>
      </c>
      <c r="G66" s="6" t="s">
        <v>1200</v>
      </c>
      <c r="H66" s="6" t="s">
        <v>846</v>
      </c>
      <c r="I66" s="6" t="s">
        <v>813</v>
      </c>
      <c r="J66" s="6" t="s">
        <v>813</v>
      </c>
      <c r="K66" s="6" t="s">
        <v>814</v>
      </c>
      <c r="L66" s="6" t="s">
        <v>1160</v>
      </c>
      <c r="M66" s="6" t="s">
        <v>1160</v>
      </c>
      <c r="N66" s="12" t="s">
        <v>817</v>
      </c>
      <c r="O66" s="6" t="s">
        <v>818</v>
      </c>
      <c r="P66" s="6" t="s">
        <v>2</v>
      </c>
      <c r="Q66" s="6" t="s">
        <v>20</v>
      </c>
      <c r="R66" s="12"/>
      <c r="S66" s="12"/>
      <c r="T66" s="12"/>
      <c r="U66" s="12"/>
      <c r="V66" s="12"/>
      <c r="W66" s="12"/>
      <c r="X66" s="6" t="str">
        <f aca="false">IF(COUNT(R66:W66)=6,SUM(R66:W66),"ko‘rilmagan")</f>
        <v>ko‘rilmagan</v>
      </c>
      <c r="Y66" s="12" t="s">
        <v>1201</v>
      </c>
    </row>
    <row r="67" customFormat="false" ht="23.85" hidden="false" customHeight="false" outlineLevel="0" collapsed="false">
      <c r="A67" s="6" t="s">
        <v>1202</v>
      </c>
      <c r="B67" s="6" t="s">
        <v>266</v>
      </c>
      <c r="C67" s="6"/>
      <c r="D67" s="6" t="str">
        <f aca="false">IFERROR(INDEX(Mundarija!$D:$D,MATCH(B67,Mundarija!$A:$A,0)),"kod topilmadi")</f>
        <v>15.7. Appenditsit, ichak tutilishi va ichak yallig‘lanishlari.</v>
      </c>
      <c r="E67" s="6" t="s">
        <v>1203</v>
      </c>
      <c r="F67" s="11" t="s">
        <v>1204</v>
      </c>
      <c r="G67" s="6" t="s">
        <v>1205</v>
      </c>
      <c r="H67" s="6" t="s">
        <v>846</v>
      </c>
      <c r="I67" s="6" t="s">
        <v>813</v>
      </c>
      <c r="J67" s="6" t="s">
        <v>813</v>
      </c>
      <c r="K67" s="6" t="s">
        <v>814</v>
      </c>
      <c r="L67" s="6" t="s">
        <v>1160</v>
      </c>
      <c r="M67" s="6" t="s">
        <v>1160</v>
      </c>
      <c r="N67" s="12" t="s">
        <v>817</v>
      </c>
      <c r="O67" s="6" t="s">
        <v>818</v>
      </c>
      <c r="P67" s="6" t="s">
        <v>2</v>
      </c>
      <c r="Q67" s="6" t="s">
        <v>20</v>
      </c>
      <c r="R67" s="12"/>
      <c r="S67" s="12"/>
      <c r="T67" s="12"/>
      <c r="U67" s="12"/>
      <c r="V67" s="12"/>
      <c r="W67" s="12"/>
      <c r="X67" s="6" t="str">
        <f aca="false">IF(COUNT(R67:W67)=6,SUM(R67:W67),"ko‘rilmagan")</f>
        <v>ko‘rilmagan</v>
      </c>
      <c r="Y67" s="12" t="s">
        <v>1206</v>
      </c>
    </row>
    <row r="68" customFormat="false" ht="23.85" hidden="false" customHeight="false" outlineLevel="0" collapsed="false">
      <c r="A68" s="6" t="s">
        <v>1207</v>
      </c>
      <c r="B68" s="6" t="s">
        <v>266</v>
      </c>
      <c r="C68" s="6"/>
      <c r="D68" s="6" t="str">
        <f aca="false">IFERROR(INDEX(Mundarija!$D:$D,MATCH(B68,Mundarija!$A:$A,0)),"kod topilmadi")</f>
        <v>15.7. Appenditsit, ichak tutilishi va ichak yallig‘lanishlari.</v>
      </c>
      <c r="E68" s="6" t="s">
        <v>1208</v>
      </c>
      <c r="F68" s="11" t="s">
        <v>1209</v>
      </c>
      <c r="G68" s="6" t="s">
        <v>1165</v>
      </c>
      <c r="H68" s="6" t="s">
        <v>846</v>
      </c>
      <c r="I68" s="6" t="s">
        <v>813</v>
      </c>
      <c r="J68" s="6" t="s">
        <v>813</v>
      </c>
      <c r="K68" s="6" t="s">
        <v>814</v>
      </c>
      <c r="L68" s="6" t="s">
        <v>1160</v>
      </c>
      <c r="M68" s="6" t="s">
        <v>1160</v>
      </c>
      <c r="N68" s="12" t="s">
        <v>817</v>
      </c>
      <c r="O68" s="6" t="s">
        <v>818</v>
      </c>
      <c r="P68" s="6" t="s">
        <v>2</v>
      </c>
      <c r="Q68" s="6" t="s">
        <v>20</v>
      </c>
      <c r="R68" s="12"/>
      <c r="S68" s="12"/>
      <c r="T68" s="12"/>
      <c r="U68" s="12"/>
      <c r="V68" s="12"/>
      <c r="W68" s="12"/>
      <c r="X68" s="6" t="str">
        <f aca="false">IF(COUNT(R68:W68)=6,SUM(R68:W68),"ko‘rilmagan")</f>
        <v>ko‘rilmagan</v>
      </c>
      <c r="Y68" s="12" t="s">
        <v>1210</v>
      </c>
    </row>
    <row r="69" customFormat="false" ht="23.85" hidden="false" customHeight="false" outlineLevel="0" collapsed="false">
      <c r="A69" s="6" t="s">
        <v>1211</v>
      </c>
      <c r="B69" s="6" t="s">
        <v>270</v>
      </c>
      <c r="C69" s="6"/>
      <c r="D69" s="6" t="str">
        <f aca="false">IFERROR(INDEX(Mundarija!$D:$D,MATCH(B69,Mundarija!$A:$A,0)),"kod topilmadi")</f>
        <v>16.1. Bachadon, endometriy va tuxumdonlarning normal anatomiyasi.</v>
      </c>
      <c r="E69" s="6" t="s">
        <v>1212</v>
      </c>
      <c r="F69" s="11" t="s">
        <v>1213</v>
      </c>
      <c r="G69" s="6" t="s">
        <v>1214</v>
      </c>
      <c r="H69" s="6" t="s">
        <v>846</v>
      </c>
      <c r="I69" s="6" t="s">
        <v>813</v>
      </c>
      <c r="J69" s="6" t="s">
        <v>813</v>
      </c>
      <c r="K69" s="6" t="s">
        <v>814</v>
      </c>
      <c r="L69" s="6" t="s">
        <v>1160</v>
      </c>
      <c r="M69" s="6" t="s">
        <v>1160</v>
      </c>
      <c r="N69" s="12" t="s">
        <v>817</v>
      </c>
      <c r="O69" s="6" t="s">
        <v>818</v>
      </c>
      <c r="P69" s="6" t="s">
        <v>2</v>
      </c>
      <c r="Q69" s="6" t="s">
        <v>20</v>
      </c>
      <c r="R69" s="12"/>
      <c r="S69" s="12"/>
      <c r="T69" s="12"/>
      <c r="U69" s="12"/>
      <c r="V69" s="12"/>
      <c r="W69" s="12"/>
      <c r="X69" s="6" t="str">
        <f aca="false">IF(COUNT(R69:W69)=6,SUM(R69:W69),"ko‘rilmagan")</f>
        <v>ko‘rilmagan</v>
      </c>
      <c r="Y69" s="12" t="s">
        <v>1215</v>
      </c>
    </row>
    <row r="70" customFormat="false" ht="23.85" hidden="false" customHeight="false" outlineLevel="0" collapsed="false">
      <c r="A70" s="6" t="s">
        <v>1216</v>
      </c>
      <c r="B70" s="6" t="s">
        <v>274</v>
      </c>
      <c r="C70" s="6" t="s">
        <v>139</v>
      </c>
      <c r="D70" s="6" t="str">
        <f aca="false">IFERROR(INDEX(Mundarija!$D:$D,MATCH(B70,Mundarija!$A:$A,0)),"kod topilmadi")</f>
        <v>16.2. Transabdominal va transvaginal tekshiruv protokoli.</v>
      </c>
      <c r="E70" s="6" t="s">
        <v>1217</v>
      </c>
      <c r="F70" s="11" t="s">
        <v>1218</v>
      </c>
      <c r="G70" s="6" t="s">
        <v>1181</v>
      </c>
      <c r="H70" s="6" t="s">
        <v>846</v>
      </c>
      <c r="I70" s="6" t="s">
        <v>813</v>
      </c>
      <c r="J70" s="6" t="s">
        <v>813</v>
      </c>
      <c r="K70" s="6" t="s">
        <v>814</v>
      </c>
      <c r="L70" s="6" t="s">
        <v>1160</v>
      </c>
      <c r="M70" s="6" t="s">
        <v>1160</v>
      </c>
      <c r="N70" s="12" t="s">
        <v>817</v>
      </c>
      <c r="O70" s="6" t="s">
        <v>818</v>
      </c>
      <c r="P70" s="6" t="s">
        <v>2</v>
      </c>
      <c r="Q70" s="6" t="s">
        <v>20</v>
      </c>
      <c r="R70" s="12"/>
      <c r="S70" s="12"/>
      <c r="T70" s="12"/>
      <c r="U70" s="12"/>
      <c r="V70" s="12"/>
      <c r="W70" s="12"/>
      <c r="X70" s="6" t="str">
        <f aca="false">IF(COUNT(R70:W70)=6,SUM(R70:W70),"ko‘rilmagan")</f>
        <v>ko‘rilmagan</v>
      </c>
      <c r="Y70" s="12" t="s">
        <v>1219</v>
      </c>
    </row>
    <row r="71" customFormat="false" ht="23.85" hidden="false" customHeight="false" outlineLevel="0" collapsed="false">
      <c r="A71" s="6" t="s">
        <v>1220</v>
      </c>
      <c r="B71" s="6" t="s">
        <v>278</v>
      </c>
      <c r="C71" s="6"/>
      <c r="D71" s="6" t="str">
        <f aca="false">IFERROR(INDEX(Mundarija!$D:$D,MATCH(B71,Mundarija!$A:$A,0)),"kod topilmadi")</f>
        <v>16.4. Mioma, adenomioz va endometrial patologiyalar.</v>
      </c>
      <c r="E71" s="6" t="s">
        <v>1221</v>
      </c>
      <c r="F71" s="11" t="s">
        <v>1222</v>
      </c>
      <c r="G71" s="6" t="s">
        <v>1223</v>
      </c>
      <c r="H71" s="6" t="s">
        <v>846</v>
      </c>
      <c r="I71" s="6" t="s">
        <v>813</v>
      </c>
      <c r="J71" s="6" t="s">
        <v>813</v>
      </c>
      <c r="K71" s="6" t="s">
        <v>814</v>
      </c>
      <c r="L71" s="6" t="s">
        <v>1160</v>
      </c>
      <c r="M71" s="6" t="s">
        <v>1160</v>
      </c>
      <c r="N71" s="12" t="s">
        <v>817</v>
      </c>
      <c r="O71" s="6" t="s">
        <v>818</v>
      </c>
      <c r="P71" s="6" t="s">
        <v>2</v>
      </c>
      <c r="Q71" s="6" t="s">
        <v>20</v>
      </c>
      <c r="R71" s="12"/>
      <c r="S71" s="12"/>
      <c r="T71" s="12"/>
      <c r="U71" s="12"/>
      <c r="V71" s="12"/>
      <c r="W71" s="12"/>
      <c r="X71" s="6" t="str">
        <f aca="false">IF(COUNT(R71:W71)=6,SUM(R71:W71),"ko‘rilmagan")</f>
        <v>ko‘rilmagan</v>
      </c>
      <c r="Y71" s="12" t="s">
        <v>1224</v>
      </c>
    </row>
    <row r="72" customFormat="false" ht="23.85" hidden="false" customHeight="false" outlineLevel="0" collapsed="false">
      <c r="A72" s="6" t="s">
        <v>1225</v>
      </c>
      <c r="B72" s="6" t="s">
        <v>278</v>
      </c>
      <c r="C72" s="6"/>
      <c r="D72" s="6" t="str">
        <f aca="false">IFERROR(INDEX(Mundarija!$D:$D,MATCH(B72,Mundarija!$A:$A,0)),"kod topilmadi")</f>
        <v>16.4. Mioma, adenomioz va endometrial patologiyalar.</v>
      </c>
      <c r="E72" s="6" t="s">
        <v>1226</v>
      </c>
      <c r="F72" s="11" t="s">
        <v>1227</v>
      </c>
      <c r="G72" s="6" t="s">
        <v>1205</v>
      </c>
      <c r="H72" s="6" t="s">
        <v>846</v>
      </c>
      <c r="I72" s="6" t="s">
        <v>813</v>
      </c>
      <c r="J72" s="6" t="s">
        <v>813</v>
      </c>
      <c r="K72" s="6" t="s">
        <v>814</v>
      </c>
      <c r="L72" s="6" t="s">
        <v>1160</v>
      </c>
      <c r="M72" s="6" t="s">
        <v>1160</v>
      </c>
      <c r="N72" s="12" t="s">
        <v>817</v>
      </c>
      <c r="O72" s="6" t="s">
        <v>818</v>
      </c>
      <c r="P72" s="6" t="s">
        <v>2</v>
      </c>
      <c r="Q72" s="6" t="s">
        <v>20</v>
      </c>
      <c r="R72" s="12"/>
      <c r="S72" s="12"/>
      <c r="T72" s="12"/>
      <c r="U72" s="12"/>
      <c r="V72" s="12"/>
      <c r="W72" s="12"/>
      <c r="X72" s="6" t="str">
        <f aca="false">IF(COUNT(R72:W72)=6,SUM(R72:W72),"ko‘rilmagan")</f>
        <v>ko‘rilmagan</v>
      </c>
      <c r="Y72" s="12" t="s">
        <v>1228</v>
      </c>
    </row>
    <row r="73" customFormat="false" ht="23.85" hidden="false" customHeight="false" outlineLevel="0" collapsed="false">
      <c r="A73" s="6" t="s">
        <v>1229</v>
      </c>
      <c r="B73" s="6" t="s">
        <v>280</v>
      </c>
      <c r="C73" s="6"/>
      <c r="D73" s="6" t="str">
        <f aca="false">IFERROR(INDEX(Mundarija!$D:$D,MATCH(B73,Mundarija!$A:$A,0)),"kod topilmadi")</f>
        <v>16.5. Tuxumdon kistalari va adneksal hosilalar.</v>
      </c>
      <c r="E73" s="6" t="s">
        <v>1230</v>
      </c>
      <c r="F73" s="11" t="s">
        <v>1231</v>
      </c>
      <c r="G73" s="6" t="s">
        <v>1165</v>
      </c>
      <c r="H73" s="6" t="s">
        <v>846</v>
      </c>
      <c r="I73" s="6" t="s">
        <v>813</v>
      </c>
      <c r="J73" s="6" t="s">
        <v>813</v>
      </c>
      <c r="K73" s="6" t="s">
        <v>814</v>
      </c>
      <c r="L73" s="6" t="s">
        <v>1160</v>
      </c>
      <c r="M73" s="6" t="s">
        <v>1160</v>
      </c>
      <c r="N73" s="12" t="s">
        <v>817</v>
      </c>
      <c r="O73" s="6" t="s">
        <v>818</v>
      </c>
      <c r="P73" s="6" t="s">
        <v>2</v>
      </c>
      <c r="Q73" s="6" t="s">
        <v>20</v>
      </c>
      <c r="R73" s="12"/>
      <c r="S73" s="12"/>
      <c r="T73" s="12"/>
      <c r="U73" s="12"/>
      <c r="V73" s="12"/>
      <c r="W73" s="12"/>
      <c r="X73" s="6" t="str">
        <f aca="false">IF(COUNT(R73:W73)=6,SUM(R73:W73),"ko‘rilmagan")</f>
        <v>ko‘rilmagan</v>
      </c>
      <c r="Y73" s="12" t="s">
        <v>1232</v>
      </c>
    </row>
    <row r="74" customFormat="false" ht="23.85" hidden="false" customHeight="false" outlineLevel="0" collapsed="false">
      <c r="A74" s="6" t="s">
        <v>1233</v>
      </c>
      <c r="B74" s="6" t="s">
        <v>282</v>
      </c>
      <c r="C74" s="6"/>
      <c r="D74" s="6" t="str">
        <f aca="false">IFERROR(INDEX(Mundarija!$D:$D,MATCH(B74,Mundarija!$A:$A,0)),"kod topilmadi")</f>
        <v>16.6. O-RADS US va IOTA asoslari.</v>
      </c>
      <c r="E74" s="6" t="s">
        <v>1234</v>
      </c>
      <c r="F74" s="11" t="s">
        <v>1235</v>
      </c>
      <c r="G74" s="6" t="s">
        <v>1236</v>
      </c>
      <c r="H74" s="6" t="s">
        <v>846</v>
      </c>
      <c r="I74" s="6" t="s">
        <v>813</v>
      </c>
      <c r="J74" s="6" t="s">
        <v>813</v>
      </c>
      <c r="K74" s="6" t="s">
        <v>814</v>
      </c>
      <c r="L74" s="6" t="s">
        <v>1160</v>
      </c>
      <c r="M74" s="6" t="s">
        <v>1160</v>
      </c>
      <c r="N74" s="12" t="s">
        <v>817</v>
      </c>
      <c r="O74" s="6" t="s">
        <v>818</v>
      </c>
      <c r="P74" s="6" t="s">
        <v>2</v>
      </c>
      <c r="Q74" s="6" t="s">
        <v>20</v>
      </c>
      <c r="R74" s="12"/>
      <c r="S74" s="12"/>
      <c r="T74" s="12"/>
      <c r="U74" s="12"/>
      <c r="V74" s="12"/>
      <c r="W74" s="12"/>
      <c r="X74" s="6" t="str">
        <f aca="false">IF(COUNT(R74:W74)=6,SUM(R74:W74),"ko‘rilmagan")</f>
        <v>ko‘rilmagan</v>
      </c>
      <c r="Y74" s="12" t="s">
        <v>1237</v>
      </c>
    </row>
    <row r="75" customFormat="false" ht="23.85" hidden="false" customHeight="false" outlineLevel="0" collapsed="false">
      <c r="A75" s="6" t="s">
        <v>1238</v>
      </c>
      <c r="B75" s="6" t="s">
        <v>321</v>
      </c>
      <c r="C75" s="6" t="s">
        <v>323</v>
      </c>
      <c r="D75" s="6" t="str">
        <f aca="false">IFERROR(INDEX(Mundarija!$D:$D,MATCH(B75,Mundarija!$A:$A,0)),"kod topilmadi")</f>
        <v>18.5. Homila tushishi va rivojlanmay qolgan homiladorlik mezonlari.</v>
      </c>
      <c r="E75" s="6" t="s">
        <v>1239</v>
      </c>
      <c r="F75" s="11" t="s">
        <v>1240</v>
      </c>
      <c r="G75" s="6" t="s">
        <v>1171</v>
      </c>
      <c r="H75" s="6" t="s">
        <v>846</v>
      </c>
      <c r="I75" s="6" t="s">
        <v>813</v>
      </c>
      <c r="J75" s="6" t="s">
        <v>813</v>
      </c>
      <c r="K75" s="6" t="s">
        <v>814</v>
      </c>
      <c r="L75" s="6" t="s">
        <v>1160</v>
      </c>
      <c r="M75" s="6" t="s">
        <v>1160</v>
      </c>
      <c r="N75" s="12" t="s">
        <v>817</v>
      </c>
      <c r="O75" s="6" t="s">
        <v>818</v>
      </c>
      <c r="P75" s="6" t="s">
        <v>2</v>
      </c>
      <c r="Q75" s="6" t="s">
        <v>20</v>
      </c>
      <c r="R75" s="12"/>
      <c r="S75" s="12"/>
      <c r="T75" s="12"/>
      <c r="U75" s="12"/>
      <c r="V75" s="12"/>
      <c r="W75" s="12"/>
      <c r="X75" s="6" t="str">
        <f aca="false">IF(COUNT(R75:W75)=6,SUM(R75:W75),"ko‘rilmagan")</f>
        <v>ko‘rilmagan</v>
      </c>
      <c r="Y75" s="12" t="s">
        <v>1241</v>
      </c>
    </row>
    <row r="76" customFormat="false" ht="23.85" hidden="false" customHeight="false" outlineLevel="0" collapsed="false">
      <c r="A76" s="6" t="s">
        <v>1242</v>
      </c>
      <c r="B76" s="6" t="s">
        <v>323</v>
      </c>
      <c r="C76" s="6" t="s">
        <v>286</v>
      </c>
      <c r="D76" s="6" t="str">
        <f aca="false">IFERROR(INDEX(Mundarija!$D:$D,MATCH(B76,Mundarija!$A:$A,0)),"kod topilmadi")</f>
        <v>18.6. Ektopik homiladorlik va homiladorlik joylashuvi noma’lum bo‘lgan holatlar.</v>
      </c>
      <c r="E76" s="6" t="s">
        <v>1243</v>
      </c>
      <c r="F76" s="11" t="s">
        <v>1244</v>
      </c>
      <c r="G76" s="6" t="s">
        <v>1245</v>
      </c>
      <c r="H76" s="6" t="s">
        <v>846</v>
      </c>
      <c r="I76" s="6" t="s">
        <v>813</v>
      </c>
      <c r="J76" s="6" t="s">
        <v>813</v>
      </c>
      <c r="K76" s="6" t="s">
        <v>814</v>
      </c>
      <c r="L76" s="6" t="s">
        <v>1160</v>
      </c>
      <c r="M76" s="6" t="s">
        <v>1160</v>
      </c>
      <c r="N76" s="12" t="s">
        <v>817</v>
      </c>
      <c r="O76" s="6" t="s">
        <v>818</v>
      </c>
      <c r="P76" s="6" t="s">
        <v>2</v>
      </c>
      <c r="Q76" s="6" t="s">
        <v>20</v>
      </c>
      <c r="R76" s="12"/>
      <c r="S76" s="12"/>
      <c r="T76" s="12"/>
      <c r="U76" s="12"/>
      <c r="V76" s="12"/>
      <c r="W76" s="12"/>
      <c r="X76" s="6" t="str">
        <f aca="false">IF(COUNT(R76:W76)=6,SUM(R76:W76),"ko‘rilmagan")</f>
        <v>ko‘rilmagan</v>
      </c>
      <c r="Y76" s="12" t="s">
        <v>1246</v>
      </c>
    </row>
    <row r="77" customFormat="false" ht="23.85" hidden="false" customHeight="false" outlineLevel="0" collapsed="false">
      <c r="A77" s="6" t="s">
        <v>1247</v>
      </c>
      <c r="B77" s="6" t="s">
        <v>232</v>
      </c>
      <c r="C77" s="6"/>
      <c r="D77" s="6" t="str">
        <f aca="false">IFERROR(INDEX(Mundarija!$D:$D,MATCH(B77,Mundarija!$A:$A,0)),"kod topilmadi")</f>
        <v>14.1. Buyrak anatomiyasi, o‘lchamlari va normal parenxima.</v>
      </c>
      <c r="E77" s="6" t="s">
        <v>1248</v>
      </c>
      <c r="F77" s="11" t="s">
        <v>1249</v>
      </c>
      <c r="G77" s="6" t="s">
        <v>1181</v>
      </c>
      <c r="H77" s="6" t="s">
        <v>846</v>
      </c>
      <c r="I77" s="6" t="s">
        <v>813</v>
      </c>
      <c r="J77" s="6" t="s">
        <v>813</v>
      </c>
      <c r="K77" s="6" t="s">
        <v>814</v>
      </c>
      <c r="L77" s="6" t="s">
        <v>1160</v>
      </c>
      <c r="M77" s="6" t="s">
        <v>1160</v>
      </c>
      <c r="N77" s="12" t="s">
        <v>817</v>
      </c>
      <c r="O77" s="6" t="s">
        <v>818</v>
      </c>
      <c r="P77" s="6" t="s">
        <v>2</v>
      </c>
      <c r="Q77" s="6" t="s">
        <v>20</v>
      </c>
      <c r="R77" s="12"/>
      <c r="S77" s="12"/>
      <c r="T77" s="12"/>
      <c r="U77" s="12"/>
      <c r="V77" s="12"/>
      <c r="W77" s="12"/>
      <c r="X77" s="6" t="str">
        <f aca="false">IF(COUNT(R77:W77)=6,SUM(R77:W77),"ko‘rilmagan")</f>
        <v>ko‘rilmagan</v>
      </c>
      <c r="Y77" s="12" t="s">
        <v>1250</v>
      </c>
    </row>
    <row r="78" customFormat="false" ht="23.85" hidden="false" customHeight="false" outlineLevel="0" collapsed="false">
      <c r="A78" s="6" t="s">
        <v>1251</v>
      </c>
      <c r="B78" s="6" t="s">
        <v>232</v>
      </c>
      <c r="C78" s="6"/>
      <c r="D78" s="6" t="str">
        <f aca="false">IFERROR(INDEX(Mundarija!$D:$D,MATCH(B78,Mundarija!$A:$A,0)),"kod topilmadi")</f>
        <v>14.1. Buyrak anatomiyasi, o‘lchamlari va normal parenxima.</v>
      </c>
      <c r="E78" s="6" t="s">
        <v>1252</v>
      </c>
      <c r="F78" s="11" t="s">
        <v>1253</v>
      </c>
      <c r="G78" s="6" t="s">
        <v>1254</v>
      </c>
      <c r="H78" s="6" t="s">
        <v>846</v>
      </c>
      <c r="I78" s="6" t="s">
        <v>813</v>
      </c>
      <c r="J78" s="6" t="s">
        <v>813</v>
      </c>
      <c r="K78" s="6" t="s">
        <v>814</v>
      </c>
      <c r="L78" s="6" t="s">
        <v>1160</v>
      </c>
      <c r="M78" s="6" t="s">
        <v>1160</v>
      </c>
      <c r="N78" s="12" t="s">
        <v>817</v>
      </c>
      <c r="O78" s="6" t="s">
        <v>818</v>
      </c>
      <c r="P78" s="6" t="s">
        <v>2</v>
      </c>
      <c r="Q78" s="6" t="s">
        <v>20</v>
      </c>
      <c r="R78" s="12"/>
      <c r="S78" s="12"/>
      <c r="T78" s="12"/>
      <c r="U78" s="12"/>
      <c r="V78" s="12"/>
      <c r="W78" s="12"/>
      <c r="X78" s="6" t="str">
        <f aca="false">IF(COUNT(R78:W78)=6,SUM(R78:W78),"ko‘rilmagan")</f>
        <v>ko‘rilmagan</v>
      </c>
      <c r="Y78" s="12" t="s">
        <v>1255</v>
      </c>
    </row>
    <row r="79" customFormat="false" ht="23.85" hidden="false" customHeight="false" outlineLevel="0" collapsed="false">
      <c r="A79" s="6" t="s">
        <v>1256</v>
      </c>
      <c r="B79" s="6" t="s">
        <v>237</v>
      </c>
      <c r="C79" s="6"/>
      <c r="D79" s="6" t="str">
        <f aca="false">IFERROR(INDEX(Mundarija!$D:$D,MATCH(B79,Mundarija!$A:$A,0)),"kod topilmadi")</f>
        <v>14.3. Nefrolitiaz va gidronefroz.</v>
      </c>
      <c r="E79" s="6" t="s">
        <v>1257</v>
      </c>
      <c r="F79" s="11" t="s">
        <v>1258</v>
      </c>
      <c r="G79" s="6" t="s">
        <v>1159</v>
      </c>
      <c r="H79" s="6" t="s">
        <v>846</v>
      </c>
      <c r="I79" s="6" t="s">
        <v>813</v>
      </c>
      <c r="J79" s="6" t="s">
        <v>813</v>
      </c>
      <c r="K79" s="6" t="s">
        <v>814</v>
      </c>
      <c r="L79" s="6" t="s">
        <v>1160</v>
      </c>
      <c r="M79" s="6" t="s">
        <v>1160</v>
      </c>
      <c r="N79" s="12" t="s">
        <v>817</v>
      </c>
      <c r="O79" s="6" t="s">
        <v>818</v>
      </c>
      <c r="P79" s="6" t="s">
        <v>2</v>
      </c>
      <c r="Q79" s="6" t="s">
        <v>20</v>
      </c>
      <c r="R79" s="12"/>
      <c r="S79" s="12"/>
      <c r="T79" s="12"/>
      <c r="U79" s="12"/>
      <c r="V79" s="12"/>
      <c r="W79" s="12"/>
      <c r="X79" s="6" t="str">
        <f aca="false">IF(COUNT(R79:W79)=6,SUM(R79:W79),"ko‘rilmagan")</f>
        <v>ko‘rilmagan</v>
      </c>
      <c r="Y79" s="12" t="s">
        <v>1259</v>
      </c>
    </row>
    <row r="80" customFormat="false" ht="23.85" hidden="false" customHeight="false" outlineLevel="0" collapsed="false">
      <c r="A80" s="6" t="s">
        <v>1260</v>
      </c>
      <c r="B80" s="6" t="s">
        <v>247</v>
      </c>
      <c r="C80" s="6"/>
      <c r="D80" s="6" t="str">
        <f aca="false">IFERROR(INDEX(Mundarija!$D:$D,MATCH(B80,Mundarija!$A:$A,0)),"kod topilmadi")</f>
        <v>14.8. Siydik pufagi, qoldiq siydik va siydik yo‘llari patologiyalari.</v>
      </c>
      <c r="E80" s="6" t="s">
        <v>1261</v>
      </c>
      <c r="F80" s="11" t="s">
        <v>1262</v>
      </c>
      <c r="G80" s="6" t="s">
        <v>1254</v>
      </c>
      <c r="H80" s="6" t="s">
        <v>846</v>
      </c>
      <c r="I80" s="6" t="s">
        <v>813</v>
      </c>
      <c r="J80" s="6" t="s">
        <v>813</v>
      </c>
      <c r="K80" s="6" t="s">
        <v>814</v>
      </c>
      <c r="L80" s="6" t="s">
        <v>1160</v>
      </c>
      <c r="M80" s="6" t="s">
        <v>1160</v>
      </c>
      <c r="N80" s="12" t="s">
        <v>817</v>
      </c>
      <c r="O80" s="6" t="s">
        <v>818</v>
      </c>
      <c r="P80" s="6" t="s">
        <v>2</v>
      </c>
      <c r="Q80" s="6" t="s">
        <v>20</v>
      </c>
      <c r="R80" s="12"/>
      <c r="S80" s="12"/>
      <c r="T80" s="12"/>
      <c r="U80" s="12"/>
      <c r="V80" s="12"/>
      <c r="W80" s="12"/>
      <c r="X80" s="6" t="str">
        <f aca="false">IF(COUNT(R80:W80)=6,SUM(R80:W80),"ko‘rilmagan")</f>
        <v>ko‘rilmagan</v>
      </c>
      <c r="Y80" s="12" t="s">
        <v>1263</v>
      </c>
    </row>
    <row r="81" customFormat="false" ht="23.85" hidden="false" customHeight="false" outlineLevel="0" collapsed="false">
      <c r="A81" s="6" t="s">
        <v>1264</v>
      </c>
      <c r="B81" s="6" t="s">
        <v>247</v>
      </c>
      <c r="C81" s="6"/>
      <c r="D81" s="6" t="str">
        <f aca="false">IFERROR(INDEX(Mundarija!$D:$D,MATCH(B81,Mundarija!$A:$A,0)),"kod topilmadi")</f>
        <v>14.8. Siydik pufagi, qoldiq siydik va siydik yo‘llari patologiyalari.</v>
      </c>
      <c r="E81" s="6" t="s">
        <v>1265</v>
      </c>
      <c r="F81" s="11" t="s">
        <v>1266</v>
      </c>
      <c r="G81" s="6" t="s">
        <v>1267</v>
      </c>
      <c r="H81" s="6" t="s">
        <v>846</v>
      </c>
      <c r="I81" s="6" t="s">
        <v>813</v>
      </c>
      <c r="J81" s="6" t="s">
        <v>813</v>
      </c>
      <c r="K81" s="6" t="s">
        <v>814</v>
      </c>
      <c r="L81" s="6" t="s">
        <v>1160</v>
      </c>
      <c r="M81" s="6" t="s">
        <v>1160</v>
      </c>
      <c r="N81" s="12" t="s">
        <v>817</v>
      </c>
      <c r="O81" s="6" t="s">
        <v>818</v>
      </c>
      <c r="P81" s="6" t="s">
        <v>2</v>
      </c>
      <c r="Q81" s="6" t="s">
        <v>20</v>
      </c>
      <c r="R81" s="12"/>
      <c r="S81" s="12"/>
      <c r="T81" s="12"/>
      <c r="U81" s="12"/>
      <c r="V81" s="12"/>
      <c r="W81" s="12"/>
      <c r="X81" s="6" t="str">
        <f aca="false">IF(COUNT(R81:W81)=6,SUM(R81:W81),"ko‘rilmagan")</f>
        <v>ko‘rilmagan</v>
      </c>
      <c r="Y81" s="12" t="s">
        <v>1268</v>
      </c>
    </row>
    <row r="82" customFormat="false" ht="23.85" hidden="false" customHeight="false" outlineLevel="0" collapsed="false">
      <c r="A82" s="6" t="s">
        <v>1269</v>
      </c>
      <c r="B82" s="6" t="s">
        <v>305</v>
      </c>
      <c r="C82" s="6"/>
      <c r="D82" s="6" t="str">
        <f aca="false">IFERROR(INDEX(Mundarija!$D:$D,MATCH(B82,Mundarija!$A:$A,0)),"kod topilmadi")</f>
        <v>17.7. Prostata bezi va transabdominal/transrektal tekshiruv asoslari.</v>
      </c>
      <c r="E82" s="6" t="s">
        <v>1270</v>
      </c>
      <c r="F82" s="11" t="s">
        <v>1271</v>
      </c>
      <c r="G82" s="6" t="s">
        <v>1272</v>
      </c>
      <c r="H82" s="6" t="s">
        <v>846</v>
      </c>
      <c r="I82" s="6" t="s">
        <v>813</v>
      </c>
      <c r="J82" s="6" t="s">
        <v>813</v>
      </c>
      <c r="K82" s="6" t="s">
        <v>814</v>
      </c>
      <c r="L82" s="6" t="s">
        <v>1160</v>
      </c>
      <c r="M82" s="6" t="s">
        <v>1160</v>
      </c>
      <c r="N82" s="12" t="s">
        <v>817</v>
      </c>
      <c r="O82" s="6" t="s">
        <v>818</v>
      </c>
      <c r="P82" s="6" t="s">
        <v>2</v>
      </c>
      <c r="Q82" s="6" t="s">
        <v>20</v>
      </c>
      <c r="R82" s="12"/>
      <c r="S82" s="12"/>
      <c r="T82" s="12"/>
      <c r="U82" s="12"/>
      <c r="V82" s="12"/>
      <c r="W82" s="12"/>
      <c r="X82" s="6" t="str">
        <f aca="false">IF(COUNT(R82:W82)=6,SUM(R82:W82),"ko‘rilmagan")</f>
        <v>ko‘rilmagan</v>
      </c>
      <c r="Y82" s="12" t="s">
        <v>1273</v>
      </c>
    </row>
    <row r="83" customFormat="false" ht="23.85" hidden="false" customHeight="false" outlineLevel="0" collapsed="false">
      <c r="A83" s="6" t="s">
        <v>1274</v>
      </c>
      <c r="B83" s="6" t="s">
        <v>292</v>
      </c>
      <c r="C83" s="6"/>
      <c r="D83" s="6" t="str">
        <f aca="false">IFERROR(INDEX(Mundarija!$D:$D,MATCH(B83,Mundarija!$A:$A,0)),"kod topilmadi")</f>
        <v>17.1. Moyak va epididimis anatomiyasi.</v>
      </c>
      <c r="E83" s="6" t="s">
        <v>1275</v>
      </c>
      <c r="F83" s="11" t="s">
        <v>1276</v>
      </c>
      <c r="G83" s="6" t="s">
        <v>1181</v>
      </c>
      <c r="H83" s="6" t="s">
        <v>846</v>
      </c>
      <c r="I83" s="6" t="s">
        <v>813</v>
      </c>
      <c r="J83" s="6" t="s">
        <v>813</v>
      </c>
      <c r="K83" s="6" t="s">
        <v>814</v>
      </c>
      <c r="L83" s="6" t="s">
        <v>1160</v>
      </c>
      <c r="M83" s="6" t="s">
        <v>1160</v>
      </c>
      <c r="N83" s="12" t="s">
        <v>817</v>
      </c>
      <c r="O83" s="6" t="s">
        <v>818</v>
      </c>
      <c r="P83" s="6" t="s">
        <v>2</v>
      </c>
      <c r="Q83" s="6" t="s">
        <v>20</v>
      </c>
      <c r="R83" s="12"/>
      <c r="S83" s="12"/>
      <c r="T83" s="12"/>
      <c r="U83" s="12"/>
      <c r="V83" s="12"/>
      <c r="W83" s="12"/>
      <c r="X83" s="6" t="str">
        <f aca="false">IF(COUNT(R83:W83)=6,SUM(R83:W83),"ko‘rilmagan")</f>
        <v>ko‘rilmagan</v>
      </c>
      <c r="Y83" s="12" t="s">
        <v>1277</v>
      </c>
    </row>
    <row r="84" customFormat="false" ht="23.85" hidden="false" customHeight="false" outlineLevel="0" collapsed="false">
      <c r="A84" s="6" t="s">
        <v>1278</v>
      </c>
      <c r="B84" s="6" t="s">
        <v>295</v>
      </c>
      <c r="C84" s="6"/>
      <c r="D84" s="6" t="str">
        <f aca="false">IFERROR(INDEX(Mundarija!$D:$D,MATCH(B84,Mundarija!$A:$A,0)),"kod topilmadi")</f>
        <v>17.2. Moyak torsiyasi: shoshilinch belgilar va Doppler.</v>
      </c>
      <c r="E84" s="6" t="s">
        <v>1279</v>
      </c>
      <c r="F84" s="11" t="s">
        <v>1280</v>
      </c>
      <c r="G84" s="6" t="s">
        <v>1200</v>
      </c>
      <c r="H84" s="6" t="s">
        <v>846</v>
      </c>
      <c r="I84" s="6" t="s">
        <v>813</v>
      </c>
      <c r="J84" s="6" t="s">
        <v>813</v>
      </c>
      <c r="K84" s="6" t="s">
        <v>814</v>
      </c>
      <c r="L84" s="6" t="s">
        <v>1160</v>
      </c>
      <c r="M84" s="6" t="s">
        <v>1160</v>
      </c>
      <c r="N84" s="12" t="s">
        <v>817</v>
      </c>
      <c r="O84" s="6" t="s">
        <v>818</v>
      </c>
      <c r="P84" s="6" t="s">
        <v>2</v>
      </c>
      <c r="Q84" s="6" t="s">
        <v>20</v>
      </c>
      <c r="R84" s="12"/>
      <c r="S84" s="12"/>
      <c r="T84" s="12"/>
      <c r="U84" s="12"/>
      <c r="V84" s="12"/>
      <c r="W84" s="12"/>
      <c r="X84" s="6" t="str">
        <f aca="false">IF(COUNT(R84:W84)=6,SUM(R84:W84),"ko‘rilmagan")</f>
        <v>ko‘rilmagan</v>
      </c>
      <c r="Y84" s="12" t="s">
        <v>1281</v>
      </c>
    </row>
    <row r="85" customFormat="false" ht="23.85" hidden="false" customHeight="false" outlineLevel="0" collapsed="false">
      <c r="A85" s="6" t="s">
        <v>1282</v>
      </c>
      <c r="B85" s="6" t="s">
        <v>482</v>
      </c>
      <c r="C85" s="6"/>
      <c r="D85" s="6" t="str">
        <f aca="false">IFERROR(INDEX(Mundarija!$D:$D,MATCH(B85,Mundarija!$A:$A,0)),"kod topilmadi")</f>
        <v>27.2. Yangi tug‘ilgan chaqaloq bosh miyasi — neyrosonografiya.</v>
      </c>
      <c r="E85" s="6" t="s">
        <v>1283</v>
      </c>
      <c r="F85" s="11" t="s">
        <v>1284</v>
      </c>
      <c r="G85" s="6" t="s">
        <v>1285</v>
      </c>
      <c r="H85" s="6" t="s">
        <v>846</v>
      </c>
      <c r="I85" s="6" t="s">
        <v>813</v>
      </c>
      <c r="J85" s="6" t="s">
        <v>813</v>
      </c>
      <c r="K85" s="6" t="s">
        <v>814</v>
      </c>
      <c r="L85" s="6" t="s">
        <v>1160</v>
      </c>
      <c r="M85" s="6" t="s">
        <v>1160</v>
      </c>
      <c r="N85" s="12" t="s">
        <v>817</v>
      </c>
      <c r="O85" s="6" t="s">
        <v>818</v>
      </c>
      <c r="P85" s="6" t="s">
        <v>2</v>
      </c>
      <c r="Q85" s="6" t="s">
        <v>20</v>
      </c>
      <c r="R85" s="12"/>
      <c r="S85" s="12"/>
      <c r="T85" s="12"/>
      <c r="U85" s="12"/>
      <c r="V85" s="12"/>
      <c r="W85" s="12"/>
      <c r="X85" s="6" t="str">
        <f aca="false">IF(COUNT(R85:W85)=6,SUM(R85:W85),"ko‘rilmagan")</f>
        <v>ko‘rilmagan</v>
      </c>
      <c r="Y85" s="12" t="s">
        <v>1286</v>
      </c>
    </row>
    <row r="86" customFormat="false" ht="23.85" hidden="false" customHeight="false" outlineLevel="0" collapsed="false">
      <c r="A86" s="6" t="s">
        <v>1287</v>
      </c>
      <c r="B86" s="6" t="s">
        <v>482</v>
      </c>
      <c r="C86" s="6"/>
      <c r="D86" s="6" t="str">
        <f aca="false">IFERROR(INDEX(Mundarija!$D:$D,MATCH(B86,Mundarija!$A:$A,0)),"kod topilmadi")</f>
        <v>27.2. Yangi tug‘ilgan chaqaloq bosh miyasi — neyrosonografiya.</v>
      </c>
      <c r="E86" s="6" t="s">
        <v>1288</v>
      </c>
      <c r="F86" s="11" t="s">
        <v>1289</v>
      </c>
      <c r="G86" s="6" t="s">
        <v>1290</v>
      </c>
      <c r="H86" s="6" t="s">
        <v>846</v>
      </c>
      <c r="I86" s="6" t="s">
        <v>813</v>
      </c>
      <c r="J86" s="6" t="s">
        <v>813</v>
      </c>
      <c r="K86" s="6" t="s">
        <v>814</v>
      </c>
      <c r="L86" s="6" t="s">
        <v>1160</v>
      </c>
      <c r="M86" s="6" t="s">
        <v>1160</v>
      </c>
      <c r="N86" s="12" t="s">
        <v>817</v>
      </c>
      <c r="O86" s="6" t="s">
        <v>818</v>
      </c>
      <c r="P86" s="6" t="s">
        <v>2</v>
      </c>
      <c r="Q86" s="6" t="s">
        <v>20</v>
      </c>
      <c r="R86" s="12"/>
      <c r="S86" s="12"/>
      <c r="T86" s="12"/>
      <c r="U86" s="12"/>
      <c r="V86" s="12"/>
      <c r="W86" s="12"/>
      <c r="X86" s="6" t="str">
        <f aca="false">IF(COUNT(R86:W86)=6,SUM(R86:W86),"ko‘rilmagan")</f>
        <v>ko‘rilmagan</v>
      </c>
      <c r="Y86" s="12" t="s">
        <v>1291</v>
      </c>
    </row>
    <row r="87" customFormat="false" ht="35.05" hidden="false" customHeight="false" outlineLevel="0" collapsed="false">
      <c r="A87" s="6" t="s">
        <v>1292</v>
      </c>
      <c r="B87" s="6" t="s">
        <v>482</v>
      </c>
      <c r="C87" s="6"/>
      <c r="D87" s="6" t="str">
        <f aca="false">IFERROR(INDEX(Mundarija!$D:$D,MATCH(B87,Mundarija!$A:$A,0)),"kod topilmadi")</f>
        <v>27.2. Yangi tug‘ilgan chaqaloq bosh miyasi — neyrosonografiya.</v>
      </c>
      <c r="E87" s="6" t="s">
        <v>1293</v>
      </c>
      <c r="F87" s="11" t="s">
        <v>1294</v>
      </c>
      <c r="G87" s="6" t="s">
        <v>1295</v>
      </c>
      <c r="H87" s="6" t="s">
        <v>846</v>
      </c>
      <c r="I87" s="6" t="s">
        <v>813</v>
      </c>
      <c r="J87" s="6" t="s">
        <v>813</v>
      </c>
      <c r="K87" s="6" t="s">
        <v>814</v>
      </c>
      <c r="L87" s="6" t="s">
        <v>1160</v>
      </c>
      <c r="M87" s="6" t="s">
        <v>1160</v>
      </c>
      <c r="N87" s="12" t="s">
        <v>817</v>
      </c>
      <c r="O87" s="6" t="s">
        <v>818</v>
      </c>
      <c r="P87" s="6" t="s">
        <v>2</v>
      </c>
      <c r="Q87" s="6" t="s">
        <v>20</v>
      </c>
      <c r="R87" s="12"/>
      <c r="S87" s="12"/>
      <c r="T87" s="12"/>
      <c r="U87" s="12"/>
      <c r="V87" s="12"/>
      <c r="W87" s="12"/>
      <c r="X87" s="6" t="str">
        <f aca="false">IF(COUNT(R87:W87)=6,SUM(R87:W87),"ko‘rilmagan")</f>
        <v>ko‘rilmagan</v>
      </c>
      <c r="Y87" s="12" t="s">
        <v>1296</v>
      </c>
    </row>
    <row r="88" customFormat="false" ht="23.85" hidden="false" customHeight="false" outlineLevel="0" collapsed="false">
      <c r="A88" s="6" t="s">
        <v>1297</v>
      </c>
      <c r="B88" s="6" t="s">
        <v>482</v>
      </c>
      <c r="C88" s="6"/>
      <c r="D88" s="6" t="str">
        <f aca="false">IFERROR(INDEX(Mundarija!$D:$D,MATCH(B88,Mundarija!$A:$A,0)),"kod topilmadi")</f>
        <v>27.2. Yangi tug‘ilgan chaqaloq bosh miyasi — neyrosonografiya.</v>
      </c>
      <c r="E88" s="6" t="s">
        <v>1298</v>
      </c>
      <c r="F88" s="11" t="s">
        <v>1299</v>
      </c>
      <c r="G88" s="6" t="s">
        <v>1300</v>
      </c>
      <c r="H88" s="6" t="s">
        <v>846</v>
      </c>
      <c r="I88" s="6" t="s">
        <v>813</v>
      </c>
      <c r="J88" s="6" t="s">
        <v>813</v>
      </c>
      <c r="K88" s="6" t="s">
        <v>814</v>
      </c>
      <c r="L88" s="6" t="s">
        <v>1160</v>
      </c>
      <c r="M88" s="6" t="s">
        <v>1160</v>
      </c>
      <c r="N88" s="12" t="s">
        <v>817</v>
      </c>
      <c r="O88" s="6" t="s">
        <v>818</v>
      </c>
      <c r="P88" s="6" t="s">
        <v>2</v>
      </c>
      <c r="Q88" s="6" t="s">
        <v>20</v>
      </c>
      <c r="R88" s="12"/>
      <c r="S88" s="12"/>
      <c r="T88" s="12"/>
      <c r="U88" s="12"/>
      <c r="V88" s="12"/>
      <c r="W88" s="12"/>
      <c r="X88" s="6" t="str">
        <f aca="false">IF(COUNT(R88:W88)=6,SUM(R88:W88),"ko‘rilmagan")</f>
        <v>ko‘rilmagan</v>
      </c>
      <c r="Y88" s="12" t="s">
        <v>1301</v>
      </c>
    </row>
    <row r="89" customFormat="false" ht="23.85" hidden="false" customHeight="false" outlineLevel="0" collapsed="false">
      <c r="A89" s="6" t="s">
        <v>1302</v>
      </c>
      <c r="B89" s="6" t="s">
        <v>482</v>
      </c>
      <c r="C89" s="6"/>
      <c r="D89" s="6" t="str">
        <f aca="false">IFERROR(INDEX(Mundarija!$D:$D,MATCH(B89,Mundarija!$A:$A,0)),"kod topilmadi")</f>
        <v>27.2. Yangi tug‘ilgan chaqaloq bosh miyasi — neyrosonografiya.</v>
      </c>
      <c r="E89" s="6" t="s">
        <v>1303</v>
      </c>
      <c r="F89" s="11" t="s">
        <v>1304</v>
      </c>
      <c r="G89" s="6" t="s">
        <v>1305</v>
      </c>
      <c r="H89" s="6" t="s">
        <v>846</v>
      </c>
      <c r="I89" s="6" t="s">
        <v>813</v>
      </c>
      <c r="J89" s="6" t="s">
        <v>813</v>
      </c>
      <c r="K89" s="6" t="s">
        <v>814</v>
      </c>
      <c r="L89" s="6" t="s">
        <v>1160</v>
      </c>
      <c r="M89" s="6" t="s">
        <v>1160</v>
      </c>
      <c r="N89" s="12" t="s">
        <v>817</v>
      </c>
      <c r="O89" s="6" t="s">
        <v>818</v>
      </c>
      <c r="P89" s="6" t="s">
        <v>2</v>
      </c>
      <c r="Q89" s="6" t="s">
        <v>20</v>
      </c>
      <c r="R89" s="12"/>
      <c r="S89" s="12"/>
      <c r="T89" s="12"/>
      <c r="U89" s="12"/>
      <c r="V89" s="12"/>
      <c r="W89" s="12"/>
      <c r="X89" s="6" t="str">
        <f aca="false">IF(COUNT(R89:W89)=6,SUM(R89:W89),"ko‘rilmagan")</f>
        <v>ko‘rilmagan</v>
      </c>
      <c r="Y89" s="12" t="s">
        <v>1306</v>
      </c>
    </row>
    <row r="90" customFormat="false" ht="35.05" hidden="false" customHeight="false" outlineLevel="0" collapsed="false">
      <c r="A90" s="6" t="s">
        <v>1307</v>
      </c>
      <c r="B90" s="6" t="s">
        <v>482</v>
      </c>
      <c r="C90" s="6"/>
      <c r="D90" s="6" t="str">
        <f aca="false">IFERROR(INDEX(Mundarija!$D:$D,MATCH(B90,Mundarija!$A:$A,0)),"kod topilmadi")</f>
        <v>27.2. Yangi tug‘ilgan chaqaloq bosh miyasi — neyrosonografiya.</v>
      </c>
      <c r="E90" s="6" t="s">
        <v>1308</v>
      </c>
      <c r="F90" s="11" t="s">
        <v>1309</v>
      </c>
      <c r="G90" s="6" t="s">
        <v>1310</v>
      </c>
      <c r="H90" s="6" t="s">
        <v>846</v>
      </c>
      <c r="I90" s="6" t="s">
        <v>813</v>
      </c>
      <c r="J90" s="6" t="s">
        <v>813</v>
      </c>
      <c r="K90" s="6" t="s">
        <v>814</v>
      </c>
      <c r="L90" s="6" t="s">
        <v>1160</v>
      </c>
      <c r="M90" s="6" t="s">
        <v>1160</v>
      </c>
      <c r="N90" s="12" t="s">
        <v>817</v>
      </c>
      <c r="O90" s="6" t="s">
        <v>818</v>
      </c>
      <c r="P90" s="6" t="s">
        <v>2</v>
      </c>
      <c r="Q90" s="6" t="s">
        <v>20</v>
      </c>
      <c r="R90" s="12"/>
      <c r="S90" s="12"/>
      <c r="T90" s="12"/>
      <c r="U90" s="12"/>
      <c r="V90" s="12"/>
      <c r="W90" s="12"/>
      <c r="X90" s="6" t="str">
        <f aca="false">IF(COUNT(R90:W90)=6,SUM(R90:W90),"ko‘rilmagan")</f>
        <v>ko‘rilmagan</v>
      </c>
      <c r="Y90" s="12" t="s">
        <v>1311</v>
      </c>
    </row>
    <row r="91" customFormat="false" ht="35.05" hidden="false" customHeight="false" outlineLevel="0" collapsed="false">
      <c r="A91" s="6" t="s">
        <v>1312</v>
      </c>
      <c r="B91" s="6" t="s">
        <v>482</v>
      </c>
      <c r="C91" s="6"/>
      <c r="D91" s="6" t="str">
        <f aca="false">IFERROR(INDEX(Mundarija!$D:$D,MATCH(B91,Mundarija!$A:$A,0)),"kod topilmadi")</f>
        <v>27.2. Yangi tug‘ilgan chaqaloq bosh miyasi — neyrosonografiya.</v>
      </c>
      <c r="E91" s="6" t="s">
        <v>1313</v>
      </c>
      <c r="F91" s="11" t="s">
        <v>1314</v>
      </c>
      <c r="G91" s="6" t="s">
        <v>1315</v>
      </c>
      <c r="H91" s="6" t="s">
        <v>846</v>
      </c>
      <c r="I91" s="6" t="s">
        <v>813</v>
      </c>
      <c r="J91" s="6" t="s">
        <v>813</v>
      </c>
      <c r="K91" s="6" t="s">
        <v>814</v>
      </c>
      <c r="L91" s="6" t="s">
        <v>1160</v>
      </c>
      <c r="M91" s="6" t="s">
        <v>1160</v>
      </c>
      <c r="N91" s="12" t="s">
        <v>817</v>
      </c>
      <c r="O91" s="6" t="s">
        <v>818</v>
      </c>
      <c r="P91" s="6" t="s">
        <v>2</v>
      </c>
      <c r="Q91" s="6" t="s">
        <v>20</v>
      </c>
      <c r="R91" s="12"/>
      <c r="S91" s="12"/>
      <c r="T91" s="12"/>
      <c r="U91" s="12"/>
      <c r="V91" s="12"/>
      <c r="W91" s="12"/>
      <c r="X91" s="6" t="str">
        <f aca="false">IF(COUNT(R91:W91)=6,SUM(R91:W91),"ko‘rilmagan")</f>
        <v>ko‘rilmagan</v>
      </c>
      <c r="Y91" s="12" t="s">
        <v>1316</v>
      </c>
    </row>
    <row r="92" customFormat="false" ht="23.85" hidden="false" customHeight="false" outlineLevel="0" collapsed="false">
      <c r="A92" s="6" t="s">
        <v>1317</v>
      </c>
      <c r="B92" s="6" t="s">
        <v>482</v>
      </c>
      <c r="C92" s="6" t="s">
        <v>495</v>
      </c>
      <c r="D92" s="6" t="str">
        <f aca="false">IFERROR(INDEX(Mundarija!$D:$D,MATCH(B92,Mundarija!$A:$A,0)),"kod topilmadi")</f>
        <v>27.2. Yangi tug‘ilgan chaqaloq bosh miyasi — neyrosonografiya.</v>
      </c>
      <c r="E92" s="6" t="s">
        <v>1318</v>
      </c>
      <c r="F92" s="11" t="s">
        <v>1319</v>
      </c>
      <c r="G92" s="6" t="s">
        <v>1320</v>
      </c>
      <c r="H92" s="6" t="s">
        <v>846</v>
      </c>
      <c r="I92" s="6" t="s">
        <v>813</v>
      </c>
      <c r="J92" s="6" t="s">
        <v>813</v>
      </c>
      <c r="K92" s="6" t="s">
        <v>814</v>
      </c>
      <c r="L92" s="6" t="s">
        <v>1160</v>
      </c>
      <c r="M92" s="6" t="s">
        <v>1160</v>
      </c>
      <c r="N92" s="12" t="s">
        <v>817</v>
      </c>
      <c r="O92" s="6" t="s">
        <v>818</v>
      </c>
      <c r="P92" s="6" t="s">
        <v>2</v>
      </c>
      <c r="Q92" s="6" t="s">
        <v>20</v>
      </c>
      <c r="R92" s="12"/>
      <c r="S92" s="12"/>
      <c r="T92" s="12"/>
      <c r="U92" s="12"/>
      <c r="V92" s="12"/>
      <c r="W92" s="12"/>
      <c r="X92" s="6" t="str">
        <f aca="false">IF(COUNT(R92:W92)=6,SUM(R92:W92),"ko‘rilmagan")</f>
        <v>ko‘rilmagan</v>
      </c>
      <c r="Y92" s="12" t="s">
        <v>1321</v>
      </c>
    </row>
    <row r="93" customFormat="false" ht="23.85" hidden="false" customHeight="false" outlineLevel="0" collapsed="false">
      <c r="A93" s="6" t="s">
        <v>1322</v>
      </c>
      <c r="B93" s="6" t="s">
        <v>454</v>
      </c>
      <c r="C93" s="6" t="s">
        <v>450</v>
      </c>
      <c r="D93" s="6" t="str">
        <f aca="false">IFERROR(INDEX(Mundarija!$D:$D,MATCH(B93,Mundarija!$A:$A,0)),"kod topilmadi")</f>
        <v>26.2. Parasternal, apikal, subkostal va suprasternal kesimlar.</v>
      </c>
      <c r="E93" s="6" t="s">
        <v>1323</v>
      </c>
      <c r="F93" s="11" t="s">
        <v>1324</v>
      </c>
      <c r="G93" s="6" t="s">
        <v>1325</v>
      </c>
      <c r="H93" s="6" t="s">
        <v>846</v>
      </c>
      <c r="I93" s="6" t="s">
        <v>813</v>
      </c>
      <c r="J93" s="6" t="s">
        <v>813</v>
      </c>
      <c r="K93" s="6" t="s">
        <v>814</v>
      </c>
      <c r="L93" s="6" t="s">
        <v>1160</v>
      </c>
      <c r="M93" s="6" t="s">
        <v>1160</v>
      </c>
      <c r="N93" s="12" t="s">
        <v>817</v>
      </c>
      <c r="O93" s="6" t="s">
        <v>818</v>
      </c>
      <c r="P93" s="6" t="s">
        <v>2</v>
      </c>
      <c r="Q93" s="6" t="s">
        <v>20</v>
      </c>
      <c r="R93" s="12"/>
      <c r="S93" s="12"/>
      <c r="T93" s="12"/>
      <c r="U93" s="12"/>
      <c r="V93" s="12"/>
      <c r="W93" s="12"/>
      <c r="X93" s="6" t="str">
        <f aca="false">IF(COUNT(R93:W93)=6,SUM(R93:W93),"ko‘rilmagan")</f>
        <v>ko‘rilmagan</v>
      </c>
      <c r="Y93" s="12" t="s">
        <v>1326</v>
      </c>
    </row>
    <row r="94" customFormat="false" ht="23.85" hidden="false" customHeight="false" outlineLevel="0" collapsed="false">
      <c r="A94" s="6" t="s">
        <v>1327</v>
      </c>
      <c r="B94" s="6" t="s">
        <v>454</v>
      </c>
      <c r="C94" s="6"/>
      <c r="D94" s="6" t="str">
        <f aca="false">IFERROR(INDEX(Mundarija!$D:$D,MATCH(B94,Mundarija!$A:$A,0)),"kod topilmadi")</f>
        <v>26.2. Parasternal, apikal, subkostal va suprasternal kesimlar.</v>
      </c>
      <c r="E94" s="6" t="s">
        <v>1328</v>
      </c>
      <c r="F94" s="11" t="s">
        <v>1329</v>
      </c>
      <c r="G94" s="6" t="s">
        <v>1330</v>
      </c>
      <c r="H94" s="6" t="s">
        <v>846</v>
      </c>
      <c r="I94" s="6" t="s">
        <v>813</v>
      </c>
      <c r="J94" s="6" t="s">
        <v>813</v>
      </c>
      <c r="K94" s="6" t="s">
        <v>814</v>
      </c>
      <c r="L94" s="6" t="s">
        <v>1160</v>
      </c>
      <c r="M94" s="6" t="s">
        <v>1160</v>
      </c>
      <c r="N94" s="12" t="s">
        <v>817</v>
      </c>
      <c r="O94" s="6" t="s">
        <v>818</v>
      </c>
      <c r="P94" s="6" t="s">
        <v>2</v>
      </c>
      <c r="Q94" s="6" t="s">
        <v>20</v>
      </c>
      <c r="R94" s="12"/>
      <c r="S94" s="12"/>
      <c r="T94" s="12"/>
      <c r="U94" s="12"/>
      <c r="V94" s="12"/>
      <c r="W94" s="12"/>
      <c r="X94" s="6" t="str">
        <f aca="false">IF(COUNT(R94:W94)=6,SUM(R94:W94),"ko‘rilmagan")</f>
        <v>ko‘rilmagan</v>
      </c>
      <c r="Y94" s="12" t="s">
        <v>1331</v>
      </c>
    </row>
    <row r="95" customFormat="false" ht="23.85" hidden="false" customHeight="false" outlineLevel="0" collapsed="false">
      <c r="A95" s="6" t="s">
        <v>1332</v>
      </c>
      <c r="B95" s="6" t="s">
        <v>462</v>
      </c>
      <c r="C95" s="6"/>
      <c r="D95" s="6" t="str">
        <f aca="false">IFERROR(INDEX(Mundarija!$D:$D,MATCH(B95,Mundarija!$A:$A,0)),"kod topilmadi")</f>
        <v>26.6. Chap qorincha sistolik funksiyasi va EF.</v>
      </c>
      <c r="E95" s="6" t="s">
        <v>1333</v>
      </c>
      <c r="F95" s="11" t="s">
        <v>1334</v>
      </c>
      <c r="G95" s="6" t="s">
        <v>1335</v>
      </c>
      <c r="H95" s="6" t="s">
        <v>846</v>
      </c>
      <c r="I95" s="6" t="s">
        <v>813</v>
      </c>
      <c r="J95" s="6" t="s">
        <v>813</v>
      </c>
      <c r="K95" s="6" t="s">
        <v>814</v>
      </c>
      <c r="L95" s="6" t="s">
        <v>1160</v>
      </c>
      <c r="M95" s="6" t="s">
        <v>1160</v>
      </c>
      <c r="N95" s="12" t="s">
        <v>817</v>
      </c>
      <c r="O95" s="6" t="s">
        <v>818</v>
      </c>
      <c r="P95" s="6" t="s">
        <v>2</v>
      </c>
      <c r="Q95" s="6" t="s">
        <v>20</v>
      </c>
      <c r="R95" s="12"/>
      <c r="S95" s="12"/>
      <c r="T95" s="12"/>
      <c r="U95" s="12"/>
      <c r="V95" s="12"/>
      <c r="W95" s="12"/>
      <c r="X95" s="6" t="str">
        <f aca="false">IF(COUNT(R95:W95)=6,SUM(R95:W95),"ko‘rilmagan")</f>
        <v>ko‘rilmagan</v>
      </c>
      <c r="Y95" s="12" t="s">
        <v>1336</v>
      </c>
    </row>
    <row r="96" customFormat="false" ht="23.85" hidden="false" customHeight="false" outlineLevel="0" collapsed="false">
      <c r="A96" s="6" t="s">
        <v>1337</v>
      </c>
      <c r="B96" s="6" t="s">
        <v>466</v>
      </c>
      <c r="C96" s="6"/>
      <c r="D96" s="6" t="str">
        <f aca="false">IFERROR(INDEX(Mundarija!$D:$D,MATCH(B96,Mundarija!$A:$A,0)),"kod topilmadi")</f>
        <v>26.8. Klapanlar: stenoz va regurgitatsiya.</v>
      </c>
      <c r="E96" s="6" t="s">
        <v>1338</v>
      </c>
      <c r="F96" s="11" t="s">
        <v>1339</v>
      </c>
      <c r="G96" s="6" t="s">
        <v>1340</v>
      </c>
      <c r="H96" s="6" t="s">
        <v>846</v>
      </c>
      <c r="I96" s="6" t="s">
        <v>813</v>
      </c>
      <c r="J96" s="6" t="s">
        <v>813</v>
      </c>
      <c r="K96" s="6" t="s">
        <v>814</v>
      </c>
      <c r="L96" s="6" t="s">
        <v>1160</v>
      </c>
      <c r="M96" s="6" t="s">
        <v>1160</v>
      </c>
      <c r="N96" s="12" t="s">
        <v>817</v>
      </c>
      <c r="O96" s="6" t="s">
        <v>818</v>
      </c>
      <c r="P96" s="6" t="s">
        <v>2</v>
      </c>
      <c r="Q96" s="6" t="s">
        <v>20</v>
      </c>
      <c r="R96" s="12"/>
      <c r="S96" s="12"/>
      <c r="T96" s="12"/>
      <c r="U96" s="12"/>
      <c r="V96" s="12"/>
      <c r="W96" s="12"/>
      <c r="X96" s="6" t="str">
        <f aca="false">IF(COUNT(R96:W96)=6,SUM(R96:W96),"ko‘rilmagan")</f>
        <v>ko‘rilmagan</v>
      </c>
      <c r="Y96" s="12" t="s">
        <v>1341</v>
      </c>
    </row>
    <row r="97" customFormat="false" ht="23.85" hidden="false" customHeight="false" outlineLevel="0" collapsed="false">
      <c r="A97" s="6" t="s">
        <v>1342</v>
      </c>
      <c r="B97" s="6" t="s">
        <v>466</v>
      </c>
      <c r="C97" s="6"/>
      <c r="D97" s="6" t="str">
        <f aca="false">IFERROR(INDEX(Mundarija!$D:$D,MATCH(B97,Mundarija!$A:$A,0)),"kod topilmadi")</f>
        <v>26.8. Klapanlar: stenoz va regurgitatsiya.</v>
      </c>
      <c r="E97" s="6" t="s">
        <v>1343</v>
      </c>
      <c r="F97" s="11" t="s">
        <v>1344</v>
      </c>
      <c r="G97" s="6" t="s">
        <v>1345</v>
      </c>
      <c r="H97" s="6" t="s">
        <v>846</v>
      </c>
      <c r="I97" s="6" t="s">
        <v>813</v>
      </c>
      <c r="J97" s="6" t="s">
        <v>813</v>
      </c>
      <c r="K97" s="6" t="s">
        <v>814</v>
      </c>
      <c r="L97" s="6" t="s">
        <v>1160</v>
      </c>
      <c r="M97" s="6" t="s">
        <v>1160</v>
      </c>
      <c r="N97" s="12" t="s">
        <v>817</v>
      </c>
      <c r="O97" s="6" t="s">
        <v>818</v>
      </c>
      <c r="P97" s="6" t="s">
        <v>2</v>
      </c>
      <c r="Q97" s="6" t="s">
        <v>20</v>
      </c>
      <c r="R97" s="12"/>
      <c r="S97" s="12"/>
      <c r="T97" s="12"/>
      <c r="U97" s="12"/>
      <c r="V97" s="12"/>
      <c r="W97" s="12"/>
      <c r="X97" s="6" t="str">
        <f aca="false">IF(COUNT(R97:W97)=6,SUM(R97:W97),"ko‘rilmagan")</f>
        <v>ko‘rilmagan</v>
      </c>
      <c r="Y97" s="12" t="s">
        <v>1346</v>
      </c>
    </row>
    <row r="98" customFormat="false" ht="23.85" hidden="false" customHeight="false" outlineLevel="0" collapsed="false">
      <c r="A98" s="6" t="s">
        <v>1347</v>
      </c>
      <c r="B98" s="6" t="s">
        <v>466</v>
      </c>
      <c r="C98" s="6"/>
      <c r="D98" s="6" t="str">
        <f aca="false">IFERROR(INDEX(Mundarija!$D:$D,MATCH(B98,Mundarija!$A:$A,0)),"kod topilmadi")</f>
        <v>26.8. Klapanlar: stenoz va regurgitatsiya.</v>
      </c>
      <c r="E98" s="6" t="s">
        <v>1348</v>
      </c>
      <c r="F98" s="11" t="s">
        <v>1349</v>
      </c>
      <c r="G98" s="6" t="s">
        <v>1335</v>
      </c>
      <c r="H98" s="6" t="s">
        <v>846</v>
      </c>
      <c r="I98" s="6" t="s">
        <v>813</v>
      </c>
      <c r="J98" s="6" t="s">
        <v>813</v>
      </c>
      <c r="K98" s="6" t="s">
        <v>814</v>
      </c>
      <c r="L98" s="6" t="s">
        <v>1160</v>
      </c>
      <c r="M98" s="6" t="s">
        <v>1160</v>
      </c>
      <c r="N98" s="12" t="s">
        <v>817</v>
      </c>
      <c r="O98" s="6" t="s">
        <v>818</v>
      </c>
      <c r="P98" s="6" t="s">
        <v>2</v>
      </c>
      <c r="Q98" s="6" t="s">
        <v>20</v>
      </c>
      <c r="R98" s="12"/>
      <c r="S98" s="12"/>
      <c r="T98" s="12"/>
      <c r="U98" s="12"/>
      <c r="V98" s="12"/>
      <c r="W98" s="12"/>
      <c r="X98" s="6" t="str">
        <f aca="false">IF(COUNT(R98:W98)=6,SUM(R98:W98),"ko‘rilmagan")</f>
        <v>ko‘rilmagan</v>
      </c>
      <c r="Y98" s="12" t="s">
        <v>1350</v>
      </c>
    </row>
    <row r="99" customFormat="false" ht="35.05" hidden="false" customHeight="false" outlineLevel="0" collapsed="false">
      <c r="A99" s="6" t="s">
        <v>1351</v>
      </c>
      <c r="B99" s="6" t="s">
        <v>470</v>
      </c>
      <c r="C99" s="6"/>
      <c r="D99" s="6" t="str">
        <f aca="false">IFERROR(INDEX(Mundarija!$D:$D,MATCH(B99,Mundarija!$A:$A,0)),"kod topilmadi")</f>
        <v>26.10. Perikardial suyuqlik va tamponada.</v>
      </c>
      <c r="E99" s="6" t="s">
        <v>1352</v>
      </c>
      <c r="F99" s="11" t="s">
        <v>1353</v>
      </c>
      <c r="G99" s="6" t="s">
        <v>1354</v>
      </c>
      <c r="H99" s="6" t="s">
        <v>846</v>
      </c>
      <c r="I99" s="6" t="s">
        <v>813</v>
      </c>
      <c r="J99" s="6" t="s">
        <v>813</v>
      </c>
      <c r="K99" s="6" t="s">
        <v>814</v>
      </c>
      <c r="L99" s="6" t="s">
        <v>1160</v>
      </c>
      <c r="M99" s="6" t="s">
        <v>1160</v>
      </c>
      <c r="N99" s="12" t="s">
        <v>817</v>
      </c>
      <c r="O99" s="6" t="s">
        <v>818</v>
      </c>
      <c r="P99" s="6" t="s">
        <v>2</v>
      </c>
      <c r="Q99" s="6" t="s">
        <v>20</v>
      </c>
      <c r="R99" s="12"/>
      <c r="S99" s="12"/>
      <c r="T99" s="12"/>
      <c r="U99" s="12"/>
      <c r="V99" s="12"/>
      <c r="W99" s="12"/>
      <c r="X99" s="6" t="str">
        <f aca="false">IF(COUNT(R99:W99)=6,SUM(R99:W99),"ko‘rilmagan")</f>
        <v>ko‘rilmagan</v>
      </c>
      <c r="Y99" s="12" t="s">
        <v>1355</v>
      </c>
    </row>
    <row r="100" customFormat="false" ht="23.85" hidden="false" customHeight="false" outlineLevel="0" collapsed="false">
      <c r="A100" s="6" t="s">
        <v>1356</v>
      </c>
      <c r="B100" s="6" t="s">
        <v>384</v>
      </c>
      <c r="C100" s="6"/>
      <c r="D100" s="6" t="str">
        <f aca="false">IFERROR(INDEX(Mundarija!$D:$D,MATCH(B100,Mundarija!$A:$A,0)),"kod topilmadi")</f>
        <v>22.1. Normal anatomiya va o‘lchash.</v>
      </c>
      <c r="E100" s="6" t="s">
        <v>1357</v>
      </c>
      <c r="F100" s="11" t="s">
        <v>1358</v>
      </c>
      <c r="G100" s="6" t="s">
        <v>1359</v>
      </c>
      <c r="H100" s="6" t="s">
        <v>846</v>
      </c>
      <c r="I100" s="6" t="s">
        <v>813</v>
      </c>
      <c r="J100" s="6" t="s">
        <v>813</v>
      </c>
      <c r="K100" s="6" t="s">
        <v>814</v>
      </c>
      <c r="L100" s="6" t="s">
        <v>1160</v>
      </c>
      <c r="M100" s="6" t="s">
        <v>1160</v>
      </c>
      <c r="N100" s="12" t="s">
        <v>817</v>
      </c>
      <c r="O100" s="6" t="s">
        <v>818</v>
      </c>
      <c r="P100" s="6" t="s">
        <v>2</v>
      </c>
      <c r="Q100" s="6" t="s">
        <v>20</v>
      </c>
      <c r="R100" s="12"/>
      <c r="S100" s="12"/>
      <c r="T100" s="12"/>
      <c r="U100" s="12"/>
      <c r="V100" s="12"/>
      <c r="W100" s="12"/>
      <c r="X100" s="6" t="str">
        <f aca="false">IF(COUNT(R100:W100)=6,SUM(R100:W100),"ko‘rilmagan")</f>
        <v>ko‘rilmagan</v>
      </c>
      <c r="Y100" s="12" t="s">
        <v>1360</v>
      </c>
    </row>
    <row r="101" customFormat="false" ht="23.85" hidden="false" customHeight="false" outlineLevel="0" collapsed="false">
      <c r="A101" s="6" t="s">
        <v>1361</v>
      </c>
      <c r="B101" s="6" t="s">
        <v>384</v>
      </c>
      <c r="C101" s="6"/>
      <c r="D101" s="6" t="str">
        <f aca="false">IFERROR(INDEX(Mundarija!$D:$D,MATCH(B101,Mundarija!$A:$A,0)),"kod topilmadi")</f>
        <v>22.1. Normal anatomiya va o‘lchash.</v>
      </c>
      <c r="E101" s="6" t="s">
        <v>1362</v>
      </c>
      <c r="F101" s="11" t="s">
        <v>1363</v>
      </c>
      <c r="G101" s="6" t="s">
        <v>1195</v>
      </c>
      <c r="H101" s="6" t="s">
        <v>846</v>
      </c>
      <c r="I101" s="6" t="s">
        <v>813</v>
      </c>
      <c r="J101" s="6" t="s">
        <v>813</v>
      </c>
      <c r="K101" s="6" t="s">
        <v>814</v>
      </c>
      <c r="L101" s="6" t="s">
        <v>1160</v>
      </c>
      <c r="M101" s="6" t="s">
        <v>1160</v>
      </c>
      <c r="N101" s="12" t="s">
        <v>817</v>
      </c>
      <c r="O101" s="6" t="s">
        <v>818</v>
      </c>
      <c r="P101" s="6" t="s">
        <v>2</v>
      </c>
      <c r="Q101" s="6" t="s">
        <v>20</v>
      </c>
      <c r="R101" s="12"/>
      <c r="S101" s="12"/>
      <c r="T101" s="12"/>
      <c r="U101" s="12"/>
      <c r="V101" s="12"/>
      <c r="W101" s="12"/>
      <c r="X101" s="6" t="str">
        <f aca="false">IF(COUNT(R101:W101)=6,SUM(R101:W101),"ko‘rilmagan")</f>
        <v>ko‘rilmagan</v>
      </c>
      <c r="Y101" s="12" t="s">
        <v>1364</v>
      </c>
    </row>
    <row r="102" customFormat="false" ht="23.85" hidden="false" customHeight="false" outlineLevel="0" collapsed="false">
      <c r="A102" s="6" t="s">
        <v>1365</v>
      </c>
      <c r="B102" s="6" t="s">
        <v>384</v>
      </c>
      <c r="C102" s="6" t="s">
        <v>1366</v>
      </c>
      <c r="D102" s="6" t="str">
        <f aca="false">IFERROR(INDEX(Mundarija!$D:$D,MATCH(B102,Mundarija!$A:$A,0)),"kod topilmadi")</f>
        <v>22.1. Normal anatomiya va o‘lchash.</v>
      </c>
      <c r="E102" s="6" t="s">
        <v>1367</v>
      </c>
      <c r="F102" s="11" t="s">
        <v>1368</v>
      </c>
      <c r="G102" s="6" t="s">
        <v>1369</v>
      </c>
      <c r="H102" s="6" t="s">
        <v>846</v>
      </c>
      <c r="I102" s="6" t="s">
        <v>813</v>
      </c>
      <c r="J102" s="6" t="s">
        <v>813</v>
      </c>
      <c r="K102" s="6" t="s">
        <v>814</v>
      </c>
      <c r="L102" s="6" t="s">
        <v>1160</v>
      </c>
      <c r="M102" s="6" t="s">
        <v>1160</v>
      </c>
      <c r="N102" s="12" t="s">
        <v>817</v>
      </c>
      <c r="O102" s="6" t="s">
        <v>818</v>
      </c>
      <c r="P102" s="6" t="s">
        <v>2</v>
      </c>
      <c r="Q102" s="6" t="s">
        <v>20</v>
      </c>
      <c r="R102" s="12"/>
      <c r="S102" s="12"/>
      <c r="T102" s="12"/>
      <c r="U102" s="12"/>
      <c r="V102" s="12"/>
      <c r="W102" s="12"/>
      <c r="X102" s="6" t="str">
        <f aca="false">IF(COUNT(R102:W102)=6,SUM(R102:W102),"ko‘rilmagan")</f>
        <v>ko‘rilmagan</v>
      </c>
      <c r="Y102" s="12" t="s">
        <v>1370</v>
      </c>
    </row>
    <row r="103" customFormat="false" ht="23.85" hidden="false" customHeight="false" outlineLevel="0" collapsed="false">
      <c r="A103" s="6" t="s">
        <v>1371</v>
      </c>
      <c r="B103" s="6" t="s">
        <v>392</v>
      </c>
      <c r="C103" s="6"/>
      <c r="D103" s="6" t="str">
        <f aca="false">IFERROR(INDEX(Mundarija!$D:$D,MATCH(B103,Mundarija!$A:$A,0)),"kod topilmadi")</f>
        <v>22.4. ACR TI-RADS: tavsif, ball va toifalar.</v>
      </c>
      <c r="E103" s="6" t="s">
        <v>1372</v>
      </c>
      <c r="F103" s="11" t="s">
        <v>1373</v>
      </c>
      <c r="G103" s="6" t="s">
        <v>1195</v>
      </c>
      <c r="H103" s="6" t="s">
        <v>846</v>
      </c>
      <c r="I103" s="6" t="s">
        <v>813</v>
      </c>
      <c r="J103" s="6" t="s">
        <v>813</v>
      </c>
      <c r="K103" s="6" t="s">
        <v>814</v>
      </c>
      <c r="L103" s="6" t="s">
        <v>1160</v>
      </c>
      <c r="M103" s="6" t="s">
        <v>1160</v>
      </c>
      <c r="N103" s="12" t="s">
        <v>817</v>
      </c>
      <c r="O103" s="6" t="s">
        <v>818</v>
      </c>
      <c r="P103" s="6" t="s">
        <v>2</v>
      </c>
      <c r="Q103" s="6" t="s">
        <v>20</v>
      </c>
      <c r="R103" s="12"/>
      <c r="S103" s="12"/>
      <c r="T103" s="12"/>
      <c r="U103" s="12"/>
      <c r="V103" s="12"/>
      <c r="W103" s="12"/>
      <c r="X103" s="6" t="str">
        <f aca="false">IF(COUNT(R103:W103)=6,SUM(R103:W103),"ko‘rilmagan")</f>
        <v>ko‘rilmagan</v>
      </c>
      <c r="Y103" s="12" t="s">
        <v>1374</v>
      </c>
    </row>
    <row r="104" customFormat="false" ht="23.85" hidden="false" customHeight="false" outlineLevel="0" collapsed="false">
      <c r="A104" s="6" t="s">
        <v>1375</v>
      </c>
      <c r="B104" s="6" t="s">
        <v>388</v>
      </c>
      <c r="C104" s="6"/>
      <c r="D104" s="6" t="str">
        <f aca="false">IFERROR(INDEX(Mundarija!$D:$D,MATCH(B104,Mundarija!$A:$A,0)),"kod topilmadi")</f>
        <v>22.2. Diffuz buqoq va tireoidit.</v>
      </c>
      <c r="E104" s="6" t="s">
        <v>1376</v>
      </c>
      <c r="F104" s="11" t="s">
        <v>1377</v>
      </c>
      <c r="G104" s="6" t="s">
        <v>1378</v>
      </c>
      <c r="H104" s="6" t="s">
        <v>846</v>
      </c>
      <c r="I104" s="6" t="s">
        <v>813</v>
      </c>
      <c r="J104" s="6" t="s">
        <v>813</v>
      </c>
      <c r="K104" s="6" t="s">
        <v>814</v>
      </c>
      <c r="L104" s="6" t="s">
        <v>1160</v>
      </c>
      <c r="M104" s="6" t="s">
        <v>1160</v>
      </c>
      <c r="N104" s="12" t="s">
        <v>817</v>
      </c>
      <c r="O104" s="6" t="s">
        <v>818</v>
      </c>
      <c r="P104" s="6" t="s">
        <v>2</v>
      </c>
      <c r="Q104" s="6" t="s">
        <v>20</v>
      </c>
      <c r="R104" s="12"/>
      <c r="S104" s="12"/>
      <c r="T104" s="12"/>
      <c r="U104" s="12"/>
      <c r="V104" s="12"/>
      <c r="W104" s="12"/>
      <c r="X104" s="6" t="str">
        <f aca="false">IF(COUNT(R104:W104)=6,SUM(R104:W104),"ko‘rilmagan")</f>
        <v>ko‘rilmagan</v>
      </c>
      <c r="Y104" s="12" t="s">
        <v>1379</v>
      </c>
    </row>
    <row r="105" customFormat="false" ht="23.85" hidden="false" customHeight="false" outlineLevel="0" collapsed="false">
      <c r="A105" s="6" t="s">
        <v>1380</v>
      </c>
      <c r="B105" s="6" t="s">
        <v>388</v>
      </c>
      <c r="C105" s="6"/>
      <c r="D105" s="6" t="str">
        <f aca="false">IFERROR(INDEX(Mundarija!$D:$D,MATCH(B105,Mundarija!$A:$A,0)),"kod topilmadi")</f>
        <v>22.2. Diffuz buqoq va tireoidit.</v>
      </c>
      <c r="E105" s="6" t="s">
        <v>1381</v>
      </c>
      <c r="F105" s="11" t="s">
        <v>1382</v>
      </c>
      <c r="G105" s="6" t="s">
        <v>1205</v>
      </c>
      <c r="H105" s="6" t="s">
        <v>846</v>
      </c>
      <c r="I105" s="6" t="s">
        <v>813</v>
      </c>
      <c r="J105" s="6" t="s">
        <v>813</v>
      </c>
      <c r="K105" s="6" t="s">
        <v>814</v>
      </c>
      <c r="L105" s="6" t="s">
        <v>1160</v>
      </c>
      <c r="M105" s="6" t="s">
        <v>1160</v>
      </c>
      <c r="N105" s="12" t="s">
        <v>817</v>
      </c>
      <c r="O105" s="6" t="s">
        <v>818</v>
      </c>
      <c r="P105" s="6" t="s">
        <v>2</v>
      </c>
      <c r="Q105" s="6" t="s">
        <v>20</v>
      </c>
      <c r="R105" s="12"/>
      <c r="S105" s="12"/>
      <c r="T105" s="12"/>
      <c r="U105" s="12"/>
      <c r="V105" s="12"/>
      <c r="W105" s="12"/>
      <c r="X105" s="6" t="str">
        <f aca="false">IF(COUNT(R105:W105)=6,SUM(R105:W105),"ko‘rilmagan")</f>
        <v>ko‘rilmagan</v>
      </c>
      <c r="Y105" s="12" t="s">
        <v>1383</v>
      </c>
    </row>
    <row r="106" customFormat="false" ht="23.85" hidden="false" customHeight="false" outlineLevel="0" collapsed="false">
      <c r="A106" s="6" t="s">
        <v>1384</v>
      </c>
      <c r="B106" s="6" t="s">
        <v>388</v>
      </c>
      <c r="C106" s="6"/>
      <c r="D106" s="6" t="str">
        <f aca="false">IFERROR(INDEX(Mundarija!$D:$D,MATCH(B106,Mundarija!$A:$A,0)),"kod topilmadi")</f>
        <v>22.2. Diffuz buqoq va tireoidit.</v>
      </c>
      <c r="E106" s="6" t="s">
        <v>1385</v>
      </c>
      <c r="F106" s="11" t="s">
        <v>1386</v>
      </c>
      <c r="G106" s="6" t="s">
        <v>1074</v>
      </c>
      <c r="H106" s="6" t="s">
        <v>846</v>
      </c>
      <c r="I106" s="6" t="s">
        <v>813</v>
      </c>
      <c r="J106" s="6" t="s">
        <v>813</v>
      </c>
      <c r="K106" s="6" t="s">
        <v>814</v>
      </c>
      <c r="L106" s="6" t="s">
        <v>1160</v>
      </c>
      <c r="M106" s="6" t="s">
        <v>1160</v>
      </c>
      <c r="N106" s="12" t="s">
        <v>817</v>
      </c>
      <c r="O106" s="6" t="s">
        <v>818</v>
      </c>
      <c r="P106" s="6" t="s">
        <v>2</v>
      </c>
      <c r="Q106" s="6" t="s">
        <v>20</v>
      </c>
      <c r="R106" s="12"/>
      <c r="S106" s="12"/>
      <c r="T106" s="12"/>
      <c r="U106" s="12"/>
      <c r="V106" s="12"/>
      <c r="W106" s="12"/>
      <c r="X106" s="6" t="str">
        <f aca="false">IF(COUNT(R106:W106)=6,SUM(R106:W106),"ko‘rilmagan")</f>
        <v>ko‘rilmagan</v>
      </c>
      <c r="Y106" s="12" t="s">
        <v>1387</v>
      </c>
    </row>
    <row r="107" customFormat="false" ht="23.85" hidden="false" customHeight="false" outlineLevel="0" collapsed="false">
      <c r="A107" s="6" t="s">
        <v>1388</v>
      </c>
      <c r="B107" s="6" t="s">
        <v>396</v>
      </c>
      <c r="C107" s="6"/>
      <c r="D107" s="6" t="str">
        <f aca="false">IFERROR(INDEX(Mundarija!$D:$D,MATCH(B107,Mundarija!$A:$A,0)),"kod topilmadi")</f>
        <v>22.6. Paratiroid bezlarini ko‘rish va cheklovlar.</v>
      </c>
      <c r="E107" s="6" t="s">
        <v>1389</v>
      </c>
      <c r="F107" s="11" t="s">
        <v>1390</v>
      </c>
      <c r="G107" s="6" t="s">
        <v>1171</v>
      </c>
      <c r="H107" s="6" t="s">
        <v>846</v>
      </c>
      <c r="I107" s="6" t="s">
        <v>813</v>
      </c>
      <c r="J107" s="6" t="s">
        <v>813</v>
      </c>
      <c r="K107" s="6" t="s">
        <v>814</v>
      </c>
      <c r="L107" s="6" t="s">
        <v>1160</v>
      </c>
      <c r="M107" s="6" t="s">
        <v>1160</v>
      </c>
      <c r="N107" s="12" t="s">
        <v>817</v>
      </c>
      <c r="O107" s="6" t="s">
        <v>818</v>
      </c>
      <c r="P107" s="6" t="s">
        <v>2</v>
      </c>
      <c r="Q107" s="6" t="s">
        <v>20</v>
      </c>
      <c r="R107" s="12"/>
      <c r="S107" s="12"/>
      <c r="T107" s="12"/>
      <c r="U107" s="12"/>
      <c r="V107" s="12"/>
      <c r="W107" s="12"/>
      <c r="X107" s="6" t="str">
        <f aca="false">IF(COUNT(R107:W107)=6,SUM(R107:W107),"ko‘rilmagan")</f>
        <v>ko‘rilmagan</v>
      </c>
      <c r="Y107" s="12" t="s">
        <v>1391</v>
      </c>
    </row>
    <row r="108" customFormat="false" ht="23.85" hidden="false" customHeight="false" outlineLevel="0" collapsed="false">
      <c r="A108" s="6" t="s">
        <v>1392</v>
      </c>
      <c r="B108" s="6" t="s">
        <v>394</v>
      </c>
      <c r="C108" s="6"/>
      <c r="D108" s="6" t="str">
        <f aca="false">IFERROR(INDEX(Mundarija!$D:$D,MATCH(B108,Mundarija!$A:$A,0)),"kod topilmadi")</f>
        <v>22.5. Shubhali limfa tugunlari va bo‘yin limfa tugunlari.</v>
      </c>
      <c r="E108" s="6" t="s">
        <v>1393</v>
      </c>
      <c r="F108" s="11" t="s">
        <v>1394</v>
      </c>
      <c r="G108" s="6" t="s">
        <v>1214</v>
      </c>
      <c r="H108" s="6" t="s">
        <v>846</v>
      </c>
      <c r="I108" s="6" t="s">
        <v>813</v>
      </c>
      <c r="J108" s="6" t="s">
        <v>813</v>
      </c>
      <c r="K108" s="6" t="s">
        <v>814</v>
      </c>
      <c r="L108" s="6" t="s">
        <v>1160</v>
      </c>
      <c r="M108" s="6" t="s">
        <v>1160</v>
      </c>
      <c r="N108" s="12" t="s">
        <v>817</v>
      </c>
      <c r="O108" s="6" t="s">
        <v>818</v>
      </c>
      <c r="P108" s="6" t="s">
        <v>2</v>
      </c>
      <c r="Q108" s="6" t="s">
        <v>20</v>
      </c>
      <c r="R108" s="12"/>
      <c r="S108" s="12"/>
      <c r="T108" s="12"/>
      <c r="U108" s="12"/>
      <c r="V108" s="12"/>
      <c r="W108" s="12"/>
      <c r="X108" s="6" t="str">
        <f aca="false">IF(COUNT(R108:W108)=6,SUM(R108:W108),"ko‘rilmagan")</f>
        <v>ko‘rilmagan</v>
      </c>
      <c r="Y108" s="12" t="s">
        <v>1395</v>
      </c>
    </row>
    <row r="109" customFormat="false" ht="23.85" hidden="false" customHeight="false" outlineLevel="0" collapsed="false">
      <c r="A109" s="6" t="s">
        <v>1396</v>
      </c>
      <c r="B109" s="6" t="s">
        <v>403</v>
      </c>
      <c r="C109" s="6"/>
      <c r="D109" s="6" t="str">
        <f aca="false">IFERROR(INDEX(Mundarija!$D:$D,MATCH(B109,Mundarija!$A:$A,0)),"kod topilmadi")</f>
        <v>23.2. Tekshiruv texnikasi va standart tekisliklar.</v>
      </c>
      <c r="E109" s="6" t="s">
        <v>1397</v>
      </c>
      <c r="F109" s="11" t="s">
        <v>1398</v>
      </c>
      <c r="G109" s="6" t="s">
        <v>1399</v>
      </c>
      <c r="H109" s="6" t="s">
        <v>846</v>
      </c>
      <c r="I109" s="6" t="s">
        <v>813</v>
      </c>
      <c r="J109" s="6" t="s">
        <v>813</v>
      </c>
      <c r="K109" s="6" t="s">
        <v>814</v>
      </c>
      <c r="L109" s="6" t="s">
        <v>1160</v>
      </c>
      <c r="M109" s="6" t="s">
        <v>1160</v>
      </c>
      <c r="N109" s="12" t="s">
        <v>817</v>
      </c>
      <c r="O109" s="6" t="s">
        <v>818</v>
      </c>
      <c r="P109" s="6" t="s">
        <v>2</v>
      </c>
      <c r="Q109" s="6" t="s">
        <v>20</v>
      </c>
      <c r="R109" s="12"/>
      <c r="S109" s="12"/>
      <c r="T109" s="12"/>
      <c r="U109" s="12"/>
      <c r="V109" s="12"/>
      <c r="W109" s="12"/>
      <c r="X109" s="6" t="str">
        <f aca="false">IF(COUNT(R109:W109)=6,SUM(R109:W109),"ko‘rilmagan")</f>
        <v>ko‘rilmagan</v>
      </c>
      <c r="Y109" s="12" t="s">
        <v>1400</v>
      </c>
    </row>
    <row r="110" customFormat="false" ht="23.85" hidden="false" customHeight="false" outlineLevel="0" collapsed="false">
      <c r="A110" s="6" t="s">
        <v>1401</v>
      </c>
      <c r="B110" s="6" t="s">
        <v>403</v>
      </c>
      <c r="C110" s="6" t="s">
        <v>405</v>
      </c>
      <c r="D110" s="6" t="str">
        <f aca="false">IFERROR(INDEX(Mundarija!$D:$D,MATCH(B110,Mundarija!$A:$A,0)),"kod topilmadi")</f>
        <v>23.2. Tekshiruv texnikasi va standart tekisliklar.</v>
      </c>
      <c r="E110" s="6" t="s">
        <v>1402</v>
      </c>
      <c r="F110" s="11" t="s">
        <v>1403</v>
      </c>
      <c r="G110" s="6" t="s">
        <v>1272</v>
      </c>
      <c r="H110" s="6" t="s">
        <v>846</v>
      </c>
      <c r="I110" s="6" t="s">
        <v>813</v>
      </c>
      <c r="J110" s="6" t="s">
        <v>813</v>
      </c>
      <c r="K110" s="6" t="s">
        <v>814</v>
      </c>
      <c r="L110" s="6" t="s">
        <v>1160</v>
      </c>
      <c r="M110" s="6" t="s">
        <v>1160</v>
      </c>
      <c r="N110" s="12" t="s">
        <v>817</v>
      </c>
      <c r="O110" s="6" t="s">
        <v>818</v>
      </c>
      <c r="P110" s="6" t="s">
        <v>2</v>
      </c>
      <c r="Q110" s="6" t="s">
        <v>20</v>
      </c>
      <c r="R110" s="12"/>
      <c r="S110" s="12"/>
      <c r="T110" s="12"/>
      <c r="U110" s="12"/>
      <c r="V110" s="12"/>
      <c r="W110" s="12"/>
      <c r="X110" s="6" t="str">
        <f aca="false">IF(COUNT(R110:W110)=6,SUM(R110:W110),"ko‘rilmagan")</f>
        <v>ko‘rilmagan</v>
      </c>
      <c r="Y110" s="12" t="s">
        <v>1404</v>
      </c>
    </row>
    <row r="111" customFormat="false" ht="23.85" hidden="false" customHeight="false" outlineLevel="0" collapsed="false">
      <c r="A111" s="6" t="s">
        <v>1405</v>
      </c>
      <c r="B111" s="6" t="s">
        <v>409</v>
      </c>
      <c r="C111" s="6"/>
      <c r="D111" s="6" t="str">
        <f aca="false">IFERROR(INDEX(Mundarija!$D:$D,MATCH(B111,Mundarija!$A:$A,0)),"kod topilmadi")</f>
        <v>23.5. BI-RADS US tavsiflash va xulosa.</v>
      </c>
      <c r="E111" s="6" t="s">
        <v>1406</v>
      </c>
      <c r="F111" s="11" t="s">
        <v>1407</v>
      </c>
      <c r="G111" s="6" t="s">
        <v>1171</v>
      </c>
      <c r="H111" s="6" t="s">
        <v>846</v>
      </c>
      <c r="I111" s="6" t="s">
        <v>813</v>
      </c>
      <c r="J111" s="6" t="s">
        <v>813</v>
      </c>
      <c r="K111" s="6" t="s">
        <v>814</v>
      </c>
      <c r="L111" s="6" t="s">
        <v>1160</v>
      </c>
      <c r="M111" s="6" t="s">
        <v>1160</v>
      </c>
      <c r="N111" s="12" t="s">
        <v>817</v>
      </c>
      <c r="O111" s="6" t="s">
        <v>818</v>
      </c>
      <c r="P111" s="6" t="s">
        <v>2</v>
      </c>
      <c r="Q111" s="6" t="s">
        <v>20</v>
      </c>
      <c r="R111" s="12"/>
      <c r="S111" s="12"/>
      <c r="T111" s="12"/>
      <c r="U111" s="12"/>
      <c r="V111" s="12"/>
      <c r="W111" s="12"/>
      <c r="X111" s="6" t="str">
        <f aca="false">IF(COUNT(R111:W111)=6,SUM(R111:W111),"ko‘rilmagan")</f>
        <v>ko‘rilmagan</v>
      </c>
      <c r="Y111" s="12" t="s">
        <v>1408</v>
      </c>
    </row>
    <row r="112" customFormat="false" ht="23.85" hidden="false" customHeight="false" outlineLevel="0" collapsed="false">
      <c r="A112" s="6" t="s">
        <v>1409</v>
      </c>
      <c r="B112" s="6" t="s">
        <v>413</v>
      </c>
      <c r="C112" s="6"/>
      <c r="D112" s="6" t="str">
        <f aca="false">IFERROR(INDEX(Mundarija!$D:$D,MATCH(B112,Mundarija!$A:$A,0)),"kod topilmadi")</f>
        <v>23.7. Sut bezi va qo‘ltiq osti limfa tugunlari.</v>
      </c>
      <c r="E112" s="6" t="s">
        <v>1410</v>
      </c>
      <c r="F112" s="11" t="s">
        <v>1411</v>
      </c>
      <c r="G112" s="6" t="s">
        <v>1412</v>
      </c>
      <c r="H112" s="6" t="s">
        <v>846</v>
      </c>
      <c r="I112" s="6" t="s">
        <v>813</v>
      </c>
      <c r="J112" s="6" t="s">
        <v>813</v>
      </c>
      <c r="K112" s="6" t="s">
        <v>814</v>
      </c>
      <c r="L112" s="6" t="s">
        <v>1160</v>
      </c>
      <c r="M112" s="6" t="s">
        <v>1160</v>
      </c>
      <c r="N112" s="12" t="s">
        <v>817</v>
      </c>
      <c r="O112" s="6" t="s">
        <v>818</v>
      </c>
      <c r="P112" s="6" t="s">
        <v>2</v>
      </c>
      <c r="Q112" s="6" t="s">
        <v>20</v>
      </c>
      <c r="R112" s="12"/>
      <c r="S112" s="12"/>
      <c r="T112" s="12"/>
      <c r="U112" s="12"/>
      <c r="V112" s="12"/>
      <c r="W112" s="12"/>
      <c r="X112" s="6" t="str">
        <f aca="false">IF(COUNT(R112:W112)=6,SUM(R112:W112),"ko‘rilmagan")</f>
        <v>ko‘rilmagan</v>
      </c>
      <c r="Y112" s="12" t="s">
        <v>1413</v>
      </c>
    </row>
    <row r="113" customFormat="false" ht="23.85" hidden="false" customHeight="false" outlineLevel="0" collapsed="false">
      <c r="A113" s="6" t="s">
        <v>1414</v>
      </c>
      <c r="B113" s="6" t="s">
        <v>331</v>
      </c>
      <c r="C113" s="6" t="s">
        <v>328</v>
      </c>
      <c r="D113" s="6" t="str">
        <f aca="false">IFERROR(INDEX(Mundarija!$D:$D,MATCH(B113,Mundarija!$A:$A,0)),"kod topilmadi")</f>
        <v>19.2. CRL, NT va boshqa standart o‘lchovlar.</v>
      </c>
      <c r="E113" s="6" t="s">
        <v>1415</v>
      </c>
      <c r="F113" s="11" t="s">
        <v>1416</v>
      </c>
      <c r="G113" s="6" t="s">
        <v>1417</v>
      </c>
      <c r="H113" s="6" t="s">
        <v>846</v>
      </c>
      <c r="I113" s="6" t="s">
        <v>813</v>
      </c>
      <c r="J113" s="6" t="s">
        <v>813</v>
      </c>
      <c r="K113" s="6" t="s">
        <v>814</v>
      </c>
      <c r="L113" s="6" t="s">
        <v>1160</v>
      </c>
      <c r="M113" s="6" t="s">
        <v>1160</v>
      </c>
      <c r="N113" s="12" t="s">
        <v>817</v>
      </c>
      <c r="O113" s="6" t="s">
        <v>818</v>
      </c>
      <c r="P113" s="6" t="s">
        <v>2</v>
      </c>
      <c r="Q113" s="6" t="s">
        <v>20</v>
      </c>
      <c r="R113" s="12"/>
      <c r="S113" s="12"/>
      <c r="T113" s="12"/>
      <c r="U113" s="12"/>
      <c r="V113" s="12"/>
      <c r="W113" s="12"/>
      <c r="X113" s="6" t="str">
        <f aca="false">IF(COUNT(R113:W113)=6,SUM(R113:W113),"ko‘rilmagan")</f>
        <v>ko‘rilmagan</v>
      </c>
      <c r="Y113" s="12" t="s">
        <v>1418</v>
      </c>
    </row>
    <row r="114" customFormat="false" ht="23.85" hidden="false" customHeight="false" outlineLevel="0" collapsed="false">
      <c r="A114" s="6" t="s">
        <v>1419</v>
      </c>
      <c r="B114" s="6" t="s">
        <v>342</v>
      </c>
      <c r="C114" s="6"/>
      <c r="D114" s="6" t="str">
        <f aca="false">IFERROR(INDEX(Mundarija!$D:$D,MATCH(B114,Mundarija!$A:$A,0)),"kod topilmadi")</f>
        <v>20.2. Fetometriya: BPD, HC, AC va FL.</v>
      </c>
      <c r="E114" s="6" t="s">
        <v>1420</v>
      </c>
      <c r="F114" s="11" t="s">
        <v>1421</v>
      </c>
      <c r="G114" s="6" t="s">
        <v>1378</v>
      </c>
      <c r="H114" s="6" t="s">
        <v>846</v>
      </c>
      <c r="I114" s="6" t="s">
        <v>813</v>
      </c>
      <c r="J114" s="6" t="s">
        <v>813</v>
      </c>
      <c r="K114" s="6" t="s">
        <v>814</v>
      </c>
      <c r="L114" s="6" t="s">
        <v>1160</v>
      </c>
      <c r="M114" s="6" t="s">
        <v>1160</v>
      </c>
      <c r="N114" s="12" t="s">
        <v>817</v>
      </c>
      <c r="O114" s="6" t="s">
        <v>818</v>
      </c>
      <c r="P114" s="6" t="s">
        <v>2</v>
      </c>
      <c r="Q114" s="6" t="s">
        <v>20</v>
      </c>
      <c r="R114" s="12"/>
      <c r="S114" s="12"/>
      <c r="T114" s="12"/>
      <c r="U114" s="12"/>
      <c r="V114" s="12"/>
      <c r="W114" s="12"/>
      <c r="X114" s="6" t="str">
        <f aca="false">IF(COUNT(R114:W114)=6,SUM(R114:W114),"ko‘rilmagan")</f>
        <v>ko‘rilmagan</v>
      </c>
      <c r="Y114" s="12" t="s">
        <v>1422</v>
      </c>
    </row>
    <row r="115" customFormat="false" ht="35.05" hidden="false" customHeight="false" outlineLevel="0" collapsed="false">
      <c r="A115" s="6" t="s">
        <v>1423</v>
      </c>
      <c r="B115" s="6" t="s">
        <v>339</v>
      </c>
      <c r="C115" s="6"/>
      <c r="D115" s="6" t="str">
        <f aca="false">IFERROR(INDEX(Mundarija!$D:$D,MATCH(B115,Mundarija!$A:$A,0)),"kod topilmadi")</f>
        <v>20.1. Homila anatomiyasini tizimli tekshirish.</v>
      </c>
      <c r="E115" s="6" t="s">
        <v>1424</v>
      </c>
      <c r="F115" s="11" t="s">
        <v>1425</v>
      </c>
      <c r="G115" s="6" t="s">
        <v>1426</v>
      </c>
      <c r="H115" s="6" t="s">
        <v>846</v>
      </c>
      <c r="I115" s="6" t="s">
        <v>813</v>
      </c>
      <c r="J115" s="6" t="s">
        <v>813</v>
      </c>
      <c r="K115" s="6" t="s">
        <v>814</v>
      </c>
      <c r="L115" s="6" t="s">
        <v>1160</v>
      </c>
      <c r="M115" s="6" t="s">
        <v>1160</v>
      </c>
      <c r="N115" s="12" t="s">
        <v>817</v>
      </c>
      <c r="O115" s="6" t="s">
        <v>818</v>
      </c>
      <c r="P115" s="6" t="s">
        <v>2</v>
      </c>
      <c r="Q115" s="6" t="s">
        <v>20</v>
      </c>
      <c r="R115" s="12"/>
      <c r="S115" s="12"/>
      <c r="T115" s="12"/>
      <c r="U115" s="12"/>
      <c r="V115" s="12"/>
      <c r="W115" s="12"/>
      <c r="X115" s="6" t="str">
        <f aca="false">IF(COUNT(R115:W115)=6,SUM(R115:W115),"ko‘rilmagan")</f>
        <v>ko‘rilmagan</v>
      </c>
      <c r="Y115" s="12" t="s">
        <v>1427</v>
      </c>
    </row>
    <row r="116" customFormat="false" ht="23.85" hidden="false" customHeight="false" outlineLevel="0" collapsed="false">
      <c r="A116" s="6" t="s">
        <v>1428</v>
      </c>
      <c r="B116" s="6" t="s">
        <v>346</v>
      </c>
      <c r="C116" s="6"/>
      <c r="D116" s="6" t="str">
        <f aca="false">IFERROR(INDEX(Mundarija!$D:$D,MATCH(B116,Mundarija!$A:$A,0)),"kod topilmadi")</f>
        <v>20.4. Bosh miya, umurtqa va yuz anatomiyasi.</v>
      </c>
      <c r="E116" s="6" t="s">
        <v>1429</v>
      </c>
      <c r="F116" s="11" t="s">
        <v>1430</v>
      </c>
      <c r="G116" s="6" t="s">
        <v>1195</v>
      </c>
      <c r="H116" s="6" t="s">
        <v>846</v>
      </c>
      <c r="I116" s="6" t="s">
        <v>813</v>
      </c>
      <c r="J116" s="6" t="s">
        <v>813</v>
      </c>
      <c r="K116" s="6" t="s">
        <v>814</v>
      </c>
      <c r="L116" s="6" t="s">
        <v>1160</v>
      </c>
      <c r="M116" s="6" t="s">
        <v>1160</v>
      </c>
      <c r="N116" s="12" t="s">
        <v>817</v>
      </c>
      <c r="O116" s="6" t="s">
        <v>818</v>
      </c>
      <c r="P116" s="6" t="s">
        <v>2</v>
      </c>
      <c r="Q116" s="6" t="s">
        <v>20</v>
      </c>
      <c r="R116" s="12"/>
      <c r="S116" s="12"/>
      <c r="T116" s="12"/>
      <c r="U116" s="12"/>
      <c r="V116" s="12"/>
      <c r="W116" s="12"/>
      <c r="X116" s="6" t="str">
        <f aca="false">IF(COUNT(R116:W116)=6,SUM(R116:W116),"ko‘rilmagan")</f>
        <v>ko‘rilmagan</v>
      </c>
      <c r="Y116" s="12" t="s">
        <v>1431</v>
      </c>
    </row>
    <row r="117" customFormat="false" ht="23.85" hidden="false" customHeight="false" outlineLevel="0" collapsed="false">
      <c r="A117" s="6" t="s">
        <v>1432</v>
      </c>
      <c r="B117" s="6" t="s">
        <v>348</v>
      </c>
      <c r="C117" s="6" t="s">
        <v>380</v>
      </c>
      <c r="D117" s="6" t="str">
        <f aca="false">IFERROR(INDEX(Mundarija!$D:$D,MATCH(B117,Mundarija!$A:$A,0)),"kod topilmadi")</f>
        <v>20.5. Yurak va ko‘krak qafasi.</v>
      </c>
      <c r="E117" s="6" t="s">
        <v>1433</v>
      </c>
      <c r="F117" s="11" t="s">
        <v>1434</v>
      </c>
      <c r="G117" s="6" t="s">
        <v>1435</v>
      </c>
      <c r="H117" s="6" t="s">
        <v>846</v>
      </c>
      <c r="I117" s="6" t="s">
        <v>813</v>
      </c>
      <c r="J117" s="6" t="s">
        <v>813</v>
      </c>
      <c r="K117" s="6" t="s">
        <v>814</v>
      </c>
      <c r="L117" s="6" t="s">
        <v>1160</v>
      </c>
      <c r="M117" s="6" t="s">
        <v>1160</v>
      </c>
      <c r="N117" s="12" t="s">
        <v>817</v>
      </c>
      <c r="O117" s="6" t="s">
        <v>818</v>
      </c>
      <c r="P117" s="6" t="s">
        <v>2</v>
      </c>
      <c r="Q117" s="6" t="s">
        <v>20</v>
      </c>
      <c r="R117" s="12"/>
      <c r="S117" s="12"/>
      <c r="T117" s="12"/>
      <c r="U117" s="12"/>
      <c r="V117" s="12"/>
      <c r="W117" s="12"/>
      <c r="X117" s="6" t="str">
        <f aca="false">IF(COUNT(R117:W117)=6,SUM(R117:W117),"ko‘rilmagan")</f>
        <v>ko‘rilmagan</v>
      </c>
      <c r="Y117" s="12" t="s">
        <v>1436</v>
      </c>
    </row>
    <row r="118" customFormat="false" ht="23.85" hidden="false" customHeight="false" outlineLevel="0" collapsed="false">
      <c r="A118" s="6" t="s">
        <v>1437</v>
      </c>
      <c r="B118" s="6" t="s">
        <v>348</v>
      </c>
      <c r="C118" s="6" t="s">
        <v>380</v>
      </c>
      <c r="D118" s="6" t="str">
        <f aca="false">IFERROR(INDEX(Mundarija!$D:$D,MATCH(B118,Mundarija!$A:$A,0)),"kod topilmadi")</f>
        <v>20.5. Yurak va ko‘krak qafasi.</v>
      </c>
      <c r="E118" s="6" t="s">
        <v>1438</v>
      </c>
      <c r="F118" s="11" t="s">
        <v>1439</v>
      </c>
      <c r="G118" s="6" t="s">
        <v>1440</v>
      </c>
      <c r="H118" s="6" t="s">
        <v>846</v>
      </c>
      <c r="I118" s="6" t="s">
        <v>813</v>
      </c>
      <c r="J118" s="6" t="s">
        <v>813</v>
      </c>
      <c r="K118" s="6" t="s">
        <v>814</v>
      </c>
      <c r="L118" s="6" t="s">
        <v>1160</v>
      </c>
      <c r="M118" s="6" t="s">
        <v>1160</v>
      </c>
      <c r="N118" s="12" t="s">
        <v>817</v>
      </c>
      <c r="O118" s="6" t="s">
        <v>818</v>
      </c>
      <c r="P118" s="6" t="s">
        <v>2</v>
      </c>
      <c r="Q118" s="6" t="s">
        <v>20</v>
      </c>
      <c r="R118" s="12"/>
      <c r="S118" s="12"/>
      <c r="T118" s="12"/>
      <c r="U118" s="12"/>
      <c r="V118" s="12"/>
      <c r="W118" s="12"/>
      <c r="X118" s="6" t="str">
        <f aca="false">IF(COUNT(R118:W118)=6,SUM(R118:W118),"ko‘rilmagan")</f>
        <v>ko‘rilmagan</v>
      </c>
      <c r="Y118" s="12" t="s">
        <v>1441</v>
      </c>
    </row>
    <row r="119" customFormat="false" ht="23.85" hidden="false" customHeight="false" outlineLevel="0" collapsed="false">
      <c r="A119" s="6" t="s">
        <v>1442</v>
      </c>
      <c r="B119" s="6" t="s">
        <v>354</v>
      </c>
      <c r="C119" s="6"/>
      <c r="D119" s="6" t="str">
        <f aca="false">IFERROR(INDEX(Mundarija!$D:$D,MATCH(B119,Mundarija!$A:$A,0)),"kod topilmadi")</f>
        <v>20.8. Yo‘ldosh, kindik tizimi va amniotik suyuqlik.</v>
      </c>
      <c r="E119" s="6" t="s">
        <v>1443</v>
      </c>
      <c r="F119" s="11" t="s">
        <v>1444</v>
      </c>
      <c r="G119" s="6" t="s">
        <v>1171</v>
      </c>
      <c r="H119" s="6" t="s">
        <v>846</v>
      </c>
      <c r="I119" s="6" t="s">
        <v>813</v>
      </c>
      <c r="J119" s="6" t="s">
        <v>813</v>
      </c>
      <c r="K119" s="6" t="s">
        <v>814</v>
      </c>
      <c r="L119" s="6" t="s">
        <v>1160</v>
      </c>
      <c r="M119" s="6" t="s">
        <v>1160</v>
      </c>
      <c r="N119" s="12" t="s">
        <v>817</v>
      </c>
      <c r="O119" s="6" t="s">
        <v>818</v>
      </c>
      <c r="P119" s="6" t="s">
        <v>2</v>
      </c>
      <c r="Q119" s="6" t="s">
        <v>20</v>
      </c>
      <c r="R119" s="12"/>
      <c r="S119" s="12"/>
      <c r="T119" s="12"/>
      <c r="U119" s="12"/>
      <c r="V119" s="12"/>
      <c r="W119" s="12"/>
      <c r="X119" s="6" t="str">
        <f aca="false">IF(COUNT(R119:W119)=6,SUM(R119:W119),"ko‘rilmagan")</f>
        <v>ko‘rilmagan</v>
      </c>
      <c r="Y119" s="12" t="s">
        <v>1445</v>
      </c>
    </row>
    <row r="120" customFormat="false" ht="23.85" hidden="false" customHeight="false" outlineLevel="0" collapsed="false">
      <c r="A120" s="6" t="s">
        <v>1446</v>
      </c>
      <c r="B120" s="6" t="s">
        <v>432</v>
      </c>
      <c r="C120" s="6"/>
      <c r="D120" s="6" t="str">
        <f aca="false">IFERROR(INDEX(Mundarija!$D:$D,MATCH(B120,Mundarija!$A:$A,0)),"kod topilmadi")</f>
        <v>25.2. Karotid va vertebral arteriyalar.</v>
      </c>
      <c r="E120" s="6" t="s">
        <v>1447</v>
      </c>
      <c r="F120" s="11" t="s">
        <v>1448</v>
      </c>
      <c r="G120" s="6" t="s">
        <v>1345</v>
      </c>
      <c r="H120" s="6" t="s">
        <v>846</v>
      </c>
      <c r="I120" s="6" t="s">
        <v>813</v>
      </c>
      <c r="J120" s="6" t="s">
        <v>813</v>
      </c>
      <c r="K120" s="6" t="s">
        <v>814</v>
      </c>
      <c r="L120" s="6" t="s">
        <v>1160</v>
      </c>
      <c r="M120" s="6" t="s">
        <v>1160</v>
      </c>
      <c r="N120" s="12" t="s">
        <v>817</v>
      </c>
      <c r="O120" s="6" t="s">
        <v>818</v>
      </c>
      <c r="P120" s="6" t="s">
        <v>2</v>
      </c>
      <c r="Q120" s="6" t="s">
        <v>20</v>
      </c>
      <c r="R120" s="12"/>
      <c r="S120" s="12"/>
      <c r="T120" s="12"/>
      <c r="U120" s="12"/>
      <c r="V120" s="12"/>
      <c r="W120" s="12"/>
      <c r="X120" s="6" t="str">
        <f aca="false">IF(COUNT(R120:W120)=6,SUM(R120:W120),"ko‘rilmagan")</f>
        <v>ko‘rilmagan</v>
      </c>
      <c r="Y120" s="12" t="s">
        <v>1449</v>
      </c>
    </row>
    <row r="121" customFormat="false" ht="35.05" hidden="false" customHeight="false" outlineLevel="0" collapsed="false">
      <c r="A121" s="6" t="s">
        <v>1450</v>
      </c>
      <c r="B121" s="6" t="s">
        <v>434</v>
      </c>
      <c r="C121" s="6"/>
      <c r="D121" s="6" t="str">
        <f aca="false">IFERROR(INDEX(Mundarija!$D:$D,MATCH(B121,Mundarija!$A:$A,0)),"kod topilmadi")</f>
        <v>25.3. Aterosklerotik blyashkalar, stenoz va okklyuziya.</v>
      </c>
      <c r="E121" s="6" t="s">
        <v>1451</v>
      </c>
      <c r="F121" s="11" t="s">
        <v>1452</v>
      </c>
      <c r="G121" s="6" t="s">
        <v>1453</v>
      </c>
      <c r="H121" s="6" t="s">
        <v>846</v>
      </c>
      <c r="I121" s="6" t="s">
        <v>813</v>
      </c>
      <c r="J121" s="6" t="s">
        <v>813</v>
      </c>
      <c r="K121" s="6" t="s">
        <v>814</v>
      </c>
      <c r="L121" s="6" t="s">
        <v>1160</v>
      </c>
      <c r="M121" s="6" t="s">
        <v>1160</v>
      </c>
      <c r="N121" s="12" t="s">
        <v>817</v>
      </c>
      <c r="O121" s="6" t="s">
        <v>818</v>
      </c>
      <c r="P121" s="6" t="s">
        <v>2</v>
      </c>
      <c r="Q121" s="6" t="s">
        <v>20</v>
      </c>
      <c r="R121" s="12"/>
      <c r="S121" s="12"/>
      <c r="T121" s="12"/>
      <c r="U121" s="12"/>
      <c r="V121" s="12"/>
      <c r="W121" s="12"/>
      <c r="X121" s="6" t="str">
        <f aca="false">IF(COUNT(R121:W121)=6,SUM(R121:W121),"ko‘rilmagan")</f>
        <v>ko‘rilmagan</v>
      </c>
      <c r="Y121" s="12" t="s">
        <v>1454</v>
      </c>
    </row>
    <row r="122" customFormat="false" ht="23.85" hidden="false" customHeight="false" outlineLevel="0" collapsed="false">
      <c r="A122" s="6" t="s">
        <v>1455</v>
      </c>
      <c r="B122" s="6" t="s">
        <v>438</v>
      </c>
      <c r="C122" s="6"/>
      <c r="D122" s="6" t="str">
        <f aca="false">IFERROR(INDEX(Mundarija!$D:$D,MATCH(B122,Mundarija!$A:$A,0)),"kod topilmadi")</f>
        <v>25.5. Chuqur vena trombozi: kompressiya va Doppler.</v>
      </c>
      <c r="E122" s="6" t="s">
        <v>1456</v>
      </c>
      <c r="F122" s="11" t="s">
        <v>1457</v>
      </c>
      <c r="G122" s="6" t="s">
        <v>1458</v>
      </c>
      <c r="H122" s="6" t="s">
        <v>846</v>
      </c>
      <c r="I122" s="6" t="s">
        <v>813</v>
      </c>
      <c r="J122" s="6" t="s">
        <v>813</v>
      </c>
      <c r="K122" s="6" t="s">
        <v>814</v>
      </c>
      <c r="L122" s="6" t="s">
        <v>1160</v>
      </c>
      <c r="M122" s="6" t="s">
        <v>1160</v>
      </c>
      <c r="N122" s="12" t="s">
        <v>817</v>
      </c>
      <c r="O122" s="6" t="s">
        <v>818</v>
      </c>
      <c r="P122" s="6" t="s">
        <v>2</v>
      </c>
      <c r="Q122" s="6" t="s">
        <v>20</v>
      </c>
      <c r="R122" s="12"/>
      <c r="S122" s="12"/>
      <c r="T122" s="12"/>
      <c r="U122" s="12"/>
      <c r="V122" s="12"/>
      <c r="W122" s="12"/>
      <c r="X122" s="6" t="str">
        <f aca="false">IF(COUNT(R122:W122)=6,SUM(R122:W122),"ko‘rilmagan")</f>
        <v>ko‘rilmagan</v>
      </c>
      <c r="Y122" s="12" t="s">
        <v>1459</v>
      </c>
    </row>
    <row r="123" customFormat="false" ht="35.05" hidden="false" customHeight="false" outlineLevel="0" collapsed="false">
      <c r="A123" s="6" t="s">
        <v>1460</v>
      </c>
      <c r="B123" s="6" t="s">
        <v>438</v>
      </c>
      <c r="C123" s="6"/>
      <c r="D123" s="6" t="str">
        <f aca="false">IFERROR(INDEX(Mundarija!$D:$D,MATCH(B123,Mundarija!$A:$A,0)),"kod topilmadi")</f>
        <v>25.5. Chuqur vena trombozi: kompressiya va Doppler.</v>
      </c>
      <c r="E123" s="6" t="s">
        <v>1461</v>
      </c>
      <c r="F123" s="11" t="s">
        <v>1462</v>
      </c>
      <c r="G123" s="6" t="s">
        <v>1463</v>
      </c>
      <c r="H123" s="6" t="s">
        <v>846</v>
      </c>
      <c r="I123" s="6" t="s">
        <v>813</v>
      </c>
      <c r="J123" s="6" t="s">
        <v>813</v>
      </c>
      <c r="K123" s="6" t="s">
        <v>814</v>
      </c>
      <c r="L123" s="6" t="s">
        <v>1160</v>
      </c>
      <c r="M123" s="6" t="s">
        <v>1160</v>
      </c>
      <c r="N123" s="12" t="s">
        <v>817</v>
      </c>
      <c r="O123" s="6" t="s">
        <v>818</v>
      </c>
      <c r="P123" s="6" t="s">
        <v>2</v>
      </c>
      <c r="Q123" s="6" t="s">
        <v>20</v>
      </c>
      <c r="R123" s="12"/>
      <c r="S123" s="12"/>
      <c r="T123" s="12"/>
      <c r="U123" s="12"/>
      <c r="V123" s="12"/>
      <c r="W123" s="12"/>
      <c r="X123" s="6" t="str">
        <f aca="false">IF(COUNT(R123:W123)=6,SUM(R123:W123),"ko‘rilmagan")</f>
        <v>ko‘rilmagan</v>
      </c>
      <c r="Y123" s="12" t="s">
        <v>1464</v>
      </c>
    </row>
    <row r="124" customFormat="false" ht="23.85" hidden="false" customHeight="false" outlineLevel="0" collapsed="false">
      <c r="A124" s="6" t="s">
        <v>1465</v>
      </c>
      <c r="B124" s="6" t="s">
        <v>436</v>
      </c>
      <c r="C124" s="6"/>
      <c r="D124" s="6" t="str">
        <f aca="false">IFERROR(INDEX(Mundarija!$D:$D,MATCH(B124,Mundarija!$A:$A,0)),"kod topilmadi")</f>
        <v>25.4. Yuqori va pastki ekstremita arteriyalari.</v>
      </c>
      <c r="E124" s="6" t="s">
        <v>1466</v>
      </c>
      <c r="F124" s="11" t="s">
        <v>1467</v>
      </c>
      <c r="G124" s="6" t="s">
        <v>823</v>
      </c>
      <c r="H124" s="6" t="s">
        <v>846</v>
      </c>
      <c r="I124" s="6" t="s">
        <v>813</v>
      </c>
      <c r="J124" s="6" t="s">
        <v>813</v>
      </c>
      <c r="K124" s="6" t="s">
        <v>814</v>
      </c>
      <c r="L124" s="6" t="s">
        <v>1160</v>
      </c>
      <c r="M124" s="6" t="s">
        <v>1160</v>
      </c>
      <c r="N124" s="12" t="s">
        <v>817</v>
      </c>
      <c r="O124" s="6" t="s">
        <v>818</v>
      </c>
      <c r="P124" s="6" t="s">
        <v>2</v>
      </c>
      <c r="Q124" s="6" t="s">
        <v>20</v>
      </c>
      <c r="R124" s="12"/>
      <c r="S124" s="12"/>
      <c r="T124" s="12"/>
      <c r="U124" s="12"/>
      <c r="V124" s="12"/>
      <c r="W124" s="12"/>
      <c r="X124" s="6" t="str">
        <f aca="false">IF(COUNT(R124:W124)=6,SUM(R124:W124),"ko‘rilmagan")</f>
        <v>ko‘rilmagan</v>
      </c>
      <c r="Y124" s="12" t="s">
        <v>1468</v>
      </c>
    </row>
    <row r="125" customFormat="false" ht="23.85" hidden="false" customHeight="false" outlineLevel="0" collapsed="false">
      <c r="A125" s="6" t="s">
        <v>1469</v>
      </c>
      <c r="B125" s="6" t="s">
        <v>243</v>
      </c>
      <c r="C125" s="6"/>
      <c r="D125" s="6" t="str">
        <f aca="false">IFERROR(INDEX(Mundarija!$D:$D,MATCH(B125,Mundarija!$A:$A,0)),"kod topilmadi")</f>
        <v>14.6. Buyrak arteriyasi va venasining Doppler tekshiruvi.</v>
      </c>
      <c r="E125" s="6" t="s">
        <v>1470</v>
      </c>
      <c r="F125" s="11" t="s">
        <v>1471</v>
      </c>
      <c r="G125" s="6" t="s">
        <v>823</v>
      </c>
      <c r="H125" s="6" t="s">
        <v>846</v>
      </c>
      <c r="I125" s="6" t="s">
        <v>813</v>
      </c>
      <c r="J125" s="6" t="s">
        <v>813</v>
      </c>
      <c r="K125" s="6" t="s">
        <v>814</v>
      </c>
      <c r="L125" s="6" t="s">
        <v>1160</v>
      </c>
      <c r="M125" s="6" t="s">
        <v>1160</v>
      </c>
      <c r="N125" s="12" t="s">
        <v>817</v>
      </c>
      <c r="O125" s="6" t="s">
        <v>818</v>
      </c>
      <c r="P125" s="6" t="s">
        <v>2</v>
      </c>
      <c r="Q125" s="6" t="s">
        <v>20</v>
      </c>
      <c r="R125" s="12"/>
      <c r="S125" s="12"/>
      <c r="T125" s="12"/>
      <c r="U125" s="12"/>
      <c r="V125" s="12"/>
      <c r="W125" s="12"/>
      <c r="X125" s="6" t="str">
        <f aca="false">IF(COUNT(R125:W125)=6,SUM(R125:W125),"ko‘rilmagan")</f>
        <v>ko‘rilmagan</v>
      </c>
      <c r="Y125" s="12" t="s">
        <v>1472</v>
      </c>
    </row>
    <row r="126" customFormat="false" ht="23.85" hidden="false" customHeight="false" outlineLevel="0" collapsed="false">
      <c r="A126" s="6" t="s">
        <v>1473</v>
      </c>
      <c r="B126" s="6" t="s">
        <v>181</v>
      </c>
      <c r="C126" s="6"/>
      <c r="D126" s="6" t="str">
        <f aca="false">IFERROR(INDEX(Mundarija!$D:$D,MATCH(B126,Mundarija!$A:$A,0)),"kod topilmadi")</f>
        <v>10.4. Portal gipertenziya, portal va jigar venalari.</v>
      </c>
      <c r="E126" s="6" t="s">
        <v>1474</v>
      </c>
      <c r="F126" s="11" t="s">
        <v>1475</v>
      </c>
      <c r="G126" s="6" t="s">
        <v>1476</v>
      </c>
      <c r="H126" s="6" t="s">
        <v>846</v>
      </c>
      <c r="I126" s="6" t="s">
        <v>813</v>
      </c>
      <c r="J126" s="6" t="s">
        <v>813</v>
      </c>
      <c r="K126" s="6" t="s">
        <v>814</v>
      </c>
      <c r="L126" s="6" t="s">
        <v>1160</v>
      </c>
      <c r="M126" s="6" t="s">
        <v>1160</v>
      </c>
      <c r="N126" s="12" t="s">
        <v>817</v>
      </c>
      <c r="O126" s="6" t="s">
        <v>818</v>
      </c>
      <c r="P126" s="6" t="s">
        <v>2</v>
      </c>
      <c r="Q126" s="6" t="s">
        <v>20</v>
      </c>
      <c r="R126" s="12"/>
      <c r="S126" s="12"/>
      <c r="T126" s="12"/>
      <c r="U126" s="12"/>
      <c r="V126" s="12"/>
      <c r="W126" s="12"/>
      <c r="X126" s="6" t="str">
        <f aca="false">IF(COUNT(R126:W126)=6,SUM(R126:W126),"ko‘rilmagan")</f>
        <v>ko‘rilmagan</v>
      </c>
      <c r="Y126" s="12" t="s">
        <v>1477</v>
      </c>
    </row>
    <row r="127" customFormat="false" ht="23.85" hidden="false" customHeight="false" outlineLevel="0" collapsed="false">
      <c r="A127" s="6" t="s">
        <v>1478</v>
      </c>
      <c r="B127" s="6" t="s">
        <v>448</v>
      </c>
      <c r="C127" s="6"/>
      <c r="D127" s="6" t="str">
        <f aca="false">IFERROR(INDEX(Mundarija!$D:$D,MATCH(B127,Mundarija!$A:$A,0)),"kod topilmadi")</f>
        <v>25.10. Transkranial Doppler (TCD): asoslar, imkoniyatlar va cheklovlar.</v>
      </c>
      <c r="E127" s="6" t="s">
        <v>1479</v>
      </c>
      <c r="F127" s="11" t="s">
        <v>1480</v>
      </c>
      <c r="G127" s="6" t="s">
        <v>1171</v>
      </c>
      <c r="H127" s="6" t="s">
        <v>846</v>
      </c>
      <c r="I127" s="6" t="s">
        <v>813</v>
      </c>
      <c r="J127" s="6" t="s">
        <v>813</v>
      </c>
      <c r="K127" s="6" t="s">
        <v>814</v>
      </c>
      <c r="L127" s="6" t="s">
        <v>1160</v>
      </c>
      <c r="M127" s="6" t="s">
        <v>1160</v>
      </c>
      <c r="N127" s="12" t="s">
        <v>817</v>
      </c>
      <c r="O127" s="6" t="s">
        <v>818</v>
      </c>
      <c r="P127" s="6" t="s">
        <v>2</v>
      </c>
      <c r="Q127" s="6" t="s">
        <v>20</v>
      </c>
      <c r="R127" s="12"/>
      <c r="S127" s="12"/>
      <c r="T127" s="12"/>
      <c r="U127" s="12"/>
      <c r="V127" s="12"/>
      <c r="W127" s="12"/>
      <c r="X127" s="6" t="str">
        <f aca="false">IF(COUNT(R127:W127)=6,SUM(R127:W127),"ko‘rilmagan")</f>
        <v>ko‘rilmagan</v>
      </c>
      <c r="Y127" s="12" t="s">
        <v>1481</v>
      </c>
    </row>
    <row r="128" customFormat="false" ht="23.85" hidden="false" customHeight="false" outlineLevel="0" collapsed="false">
      <c r="A128" s="6" t="s">
        <v>1482</v>
      </c>
      <c r="B128" s="6" t="s">
        <v>448</v>
      </c>
      <c r="C128" s="6"/>
      <c r="D128" s="6" t="str">
        <f aca="false">IFERROR(INDEX(Mundarija!$D:$D,MATCH(B128,Mundarija!$A:$A,0)),"kod topilmadi")</f>
        <v>25.10. Transkranial Doppler (TCD): asoslar, imkoniyatlar va cheklovlar.</v>
      </c>
      <c r="E128" s="6" t="s">
        <v>1483</v>
      </c>
      <c r="F128" s="11" t="s">
        <v>1484</v>
      </c>
      <c r="G128" s="6" t="s">
        <v>1485</v>
      </c>
      <c r="H128" s="6" t="s">
        <v>846</v>
      </c>
      <c r="I128" s="6" t="s">
        <v>813</v>
      </c>
      <c r="J128" s="6" t="s">
        <v>813</v>
      </c>
      <c r="K128" s="6" t="s">
        <v>814</v>
      </c>
      <c r="L128" s="6" t="s">
        <v>1160</v>
      </c>
      <c r="M128" s="6" t="s">
        <v>1160</v>
      </c>
      <c r="N128" s="12" t="s">
        <v>817</v>
      </c>
      <c r="O128" s="6" t="s">
        <v>818</v>
      </c>
      <c r="P128" s="6" t="s">
        <v>2</v>
      </c>
      <c r="Q128" s="6" t="s">
        <v>20</v>
      </c>
      <c r="R128" s="12"/>
      <c r="S128" s="12"/>
      <c r="T128" s="12"/>
      <c r="U128" s="12"/>
      <c r="V128" s="12"/>
      <c r="W128" s="12"/>
      <c r="X128" s="6" t="str">
        <f aca="false">IF(COUNT(R128:W128)=6,SUM(R128:W128),"ko‘rilmagan")</f>
        <v>ko‘rilmagan</v>
      </c>
      <c r="Y128" s="12" t="s">
        <v>1486</v>
      </c>
    </row>
    <row r="129" customFormat="false" ht="23.85" hidden="false" customHeight="false" outlineLevel="0" collapsed="false">
      <c r="A129" s="6" t="s">
        <v>1487</v>
      </c>
      <c r="B129" s="6" t="s">
        <v>448</v>
      </c>
      <c r="C129" s="6"/>
      <c r="D129" s="6" t="str">
        <f aca="false">IFERROR(INDEX(Mundarija!$D:$D,MATCH(B129,Mundarija!$A:$A,0)),"kod topilmadi")</f>
        <v>25.10. Transkranial Doppler (TCD): asoslar, imkoniyatlar va cheklovlar.</v>
      </c>
      <c r="E129" s="6" t="s">
        <v>1488</v>
      </c>
      <c r="F129" s="11" t="s">
        <v>1489</v>
      </c>
      <c r="G129" s="6" t="s">
        <v>1490</v>
      </c>
      <c r="H129" s="6" t="s">
        <v>846</v>
      </c>
      <c r="I129" s="6" t="s">
        <v>813</v>
      </c>
      <c r="J129" s="6" t="s">
        <v>813</v>
      </c>
      <c r="K129" s="6" t="s">
        <v>814</v>
      </c>
      <c r="L129" s="6" t="s">
        <v>1160</v>
      </c>
      <c r="M129" s="6" t="s">
        <v>1160</v>
      </c>
      <c r="N129" s="12" t="s">
        <v>817</v>
      </c>
      <c r="O129" s="6" t="s">
        <v>818</v>
      </c>
      <c r="P129" s="6" t="s">
        <v>2</v>
      </c>
      <c r="Q129" s="6" t="s">
        <v>20</v>
      </c>
      <c r="R129" s="12"/>
      <c r="S129" s="12"/>
      <c r="T129" s="12"/>
      <c r="U129" s="12"/>
      <c r="V129" s="12"/>
      <c r="W129" s="12"/>
      <c r="X129" s="6" t="str">
        <f aca="false">IF(COUNT(R129:W129)=6,SUM(R129:W129),"ko‘rilmagan")</f>
        <v>ko‘rilmagan</v>
      </c>
      <c r="Y129" s="12" t="s">
        <v>1491</v>
      </c>
    </row>
    <row r="130" customFormat="false" ht="23.85" hidden="false" customHeight="false" outlineLevel="0" collapsed="false">
      <c r="A130" s="6" t="s">
        <v>1492</v>
      </c>
      <c r="B130" s="6" t="s">
        <v>448</v>
      </c>
      <c r="C130" s="6"/>
      <c r="D130" s="6" t="str">
        <f aca="false">IFERROR(INDEX(Mundarija!$D:$D,MATCH(B130,Mundarija!$A:$A,0)),"kod topilmadi")</f>
        <v>25.10. Transkranial Doppler (TCD): asoslar, imkoniyatlar va cheklovlar.</v>
      </c>
      <c r="E130" s="6" t="s">
        <v>1493</v>
      </c>
      <c r="F130" s="11" t="s">
        <v>1494</v>
      </c>
      <c r="G130" s="6" t="s">
        <v>1495</v>
      </c>
      <c r="H130" s="6" t="s">
        <v>846</v>
      </c>
      <c r="I130" s="6" t="s">
        <v>813</v>
      </c>
      <c r="J130" s="6" t="s">
        <v>813</v>
      </c>
      <c r="K130" s="6" t="s">
        <v>814</v>
      </c>
      <c r="L130" s="6" t="s">
        <v>1160</v>
      </c>
      <c r="M130" s="6" t="s">
        <v>1160</v>
      </c>
      <c r="N130" s="12" t="s">
        <v>817</v>
      </c>
      <c r="O130" s="6" t="s">
        <v>818</v>
      </c>
      <c r="P130" s="6" t="s">
        <v>2</v>
      </c>
      <c r="Q130" s="6" t="s">
        <v>20</v>
      </c>
      <c r="R130" s="12"/>
      <c r="S130" s="12"/>
      <c r="T130" s="12"/>
      <c r="U130" s="12"/>
      <c r="V130" s="12"/>
      <c r="W130" s="12"/>
      <c r="X130" s="6" t="str">
        <f aca="false">IF(COUNT(R130:W130)=6,SUM(R130:W130),"ko‘rilmagan")</f>
        <v>ko‘rilmagan</v>
      </c>
      <c r="Y130" s="12" t="s">
        <v>1496</v>
      </c>
    </row>
    <row r="131" customFormat="false" ht="23.85" hidden="false" customHeight="false" outlineLevel="0" collapsed="false">
      <c r="A131" s="6" t="s">
        <v>1497</v>
      </c>
      <c r="B131" s="6" t="s">
        <v>448</v>
      </c>
      <c r="C131" s="6"/>
      <c r="D131" s="6" t="str">
        <f aca="false">IFERROR(INDEX(Mundarija!$D:$D,MATCH(B131,Mundarija!$A:$A,0)),"kod topilmadi")</f>
        <v>25.10. Transkranial Doppler (TCD): asoslar, imkoniyatlar va cheklovlar.</v>
      </c>
      <c r="E131" s="6" t="s">
        <v>1498</v>
      </c>
      <c r="F131" s="11" t="s">
        <v>1499</v>
      </c>
      <c r="G131" s="6" t="s">
        <v>1500</v>
      </c>
      <c r="H131" s="6" t="s">
        <v>846</v>
      </c>
      <c r="I131" s="6" t="s">
        <v>813</v>
      </c>
      <c r="J131" s="6" t="s">
        <v>813</v>
      </c>
      <c r="K131" s="6" t="s">
        <v>814</v>
      </c>
      <c r="L131" s="6" t="s">
        <v>1160</v>
      </c>
      <c r="M131" s="6" t="s">
        <v>1160</v>
      </c>
      <c r="N131" s="12" t="s">
        <v>817</v>
      </c>
      <c r="O131" s="6" t="s">
        <v>818</v>
      </c>
      <c r="P131" s="6" t="s">
        <v>2</v>
      </c>
      <c r="Q131" s="6" t="s">
        <v>20</v>
      </c>
      <c r="R131" s="12"/>
      <c r="S131" s="12"/>
      <c r="T131" s="12"/>
      <c r="U131" s="12"/>
      <c r="V131" s="12"/>
      <c r="W131" s="12"/>
      <c r="X131" s="6" t="str">
        <f aca="false">IF(COUNT(R131:W131)=6,SUM(R131:W131),"ko‘rilmagan")</f>
        <v>ko‘rilmagan</v>
      </c>
      <c r="Y131" s="12" t="s">
        <v>1501</v>
      </c>
    </row>
    <row r="132" customFormat="false" ht="23.85" hidden="false" customHeight="false" outlineLevel="0" collapsed="false">
      <c r="A132" s="6" t="s">
        <v>1502</v>
      </c>
      <c r="B132" s="6" t="s">
        <v>448</v>
      </c>
      <c r="C132" s="6"/>
      <c r="D132" s="6" t="str">
        <f aca="false">IFERROR(INDEX(Mundarija!$D:$D,MATCH(B132,Mundarija!$A:$A,0)),"kod topilmadi")</f>
        <v>25.10. Transkranial Doppler (TCD): asoslar, imkoniyatlar va cheklovlar.</v>
      </c>
      <c r="E132" s="6" t="s">
        <v>1503</v>
      </c>
      <c r="F132" s="11" t="s">
        <v>1504</v>
      </c>
      <c r="G132" s="6" t="s">
        <v>1490</v>
      </c>
      <c r="H132" s="6" t="s">
        <v>846</v>
      </c>
      <c r="I132" s="6" t="s">
        <v>813</v>
      </c>
      <c r="J132" s="6" t="s">
        <v>813</v>
      </c>
      <c r="K132" s="6" t="s">
        <v>814</v>
      </c>
      <c r="L132" s="6" t="s">
        <v>1160</v>
      </c>
      <c r="M132" s="6" t="s">
        <v>1160</v>
      </c>
      <c r="N132" s="12" t="s">
        <v>817</v>
      </c>
      <c r="O132" s="6" t="s">
        <v>818</v>
      </c>
      <c r="P132" s="6" t="s">
        <v>2</v>
      </c>
      <c r="Q132" s="6" t="s">
        <v>20</v>
      </c>
      <c r="R132" s="12"/>
      <c r="S132" s="12"/>
      <c r="T132" s="12"/>
      <c r="U132" s="12"/>
      <c r="V132" s="12"/>
      <c r="W132" s="12"/>
      <c r="X132" s="6" t="str">
        <f aca="false">IF(COUNT(R132:W132)=6,SUM(R132:W132),"ko‘rilmagan")</f>
        <v>ko‘rilmagan</v>
      </c>
      <c r="Y132" s="12" t="s">
        <v>1505</v>
      </c>
    </row>
    <row r="133" customFormat="false" ht="23.85" hidden="false" customHeight="false" outlineLevel="0" collapsed="false">
      <c r="A133" s="6" t="s">
        <v>1506</v>
      </c>
      <c r="B133" s="6" t="s">
        <v>506</v>
      </c>
      <c r="C133" s="6"/>
      <c r="D133" s="6" t="str">
        <f aca="false">IFERROR(INDEX(Mundarija!$D:$D,MATCH(B133,Mundarija!$A:$A,0)),"kod topilmadi")</f>
        <v>28.2. Yelka bo‘g‘imi va rotator manjeta.</v>
      </c>
      <c r="E133" s="6" t="s">
        <v>1507</v>
      </c>
      <c r="F133" s="11" t="s">
        <v>1508</v>
      </c>
      <c r="G133" s="6" t="s">
        <v>1509</v>
      </c>
      <c r="H133" s="6" t="s">
        <v>846</v>
      </c>
      <c r="I133" s="6" t="s">
        <v>813</v>
      </c>
      <c r="J133" s="6" t="s">
        <v>813</v>
      </c>
      <c r="K133" s="6" t="s">
        <v>814</v>
      </c>
      <c r="L133" s="6" t="s">
        <v>1160</v>
      </c>
      <c r="M133" s="6" t="s">
        <v>1160</v>
      </c>
      <c r="N133" s="12" t="s">
        <v>817</v>
      </c>
      <c r="O133" s="6" t="s">
        <v>818</v>
      </c>
      <c r="P133" s="6" t="s">
        <v>2</v>
      </c>
      <c r="Q133" s="6" t="s">
        <v>20</v>
      </c>
      <c r="R133" s="12"/>
      <c r="S133" s="12"/>
      <c r="T133" s="12"/>
      <c r="U133" s="12"/>
      <c r="V133" s="12"/>
      <c r="W133" s="12"/>
      <c r="X133" s="6" t="str">
        <f aca="false">IF(COUNT(R133:W133)=6,SUM(R133:W133),"ko‘rilmagan")</f>
        <v>ko‘rilmagan</v>
      </c>
      <c r="Y133" s="12" t="s">
        <v>1510</v>
      </c>
    </row>
    <row r="134" customFormat="false" ht="23.85" hidden="false" customHeight="false" outlineLevel="0" collapsed="false">
      <c r="A134" s="6" t="s">
        <v>1511</v>
      </c>
      <c r="B134" s="6" t="s">
        <v>506</v>
      </c>
      <c r="C134" s="6"/>
      <c r="D134" s="6" t="str">
        <f aca="false">IFERROR(INDEX(Mundarija!$D:$D,MATCH(B134,Mundarija!$A:$A,0)),"kod topilmadi")</f>
        <v>28.2. Yelka bo‘g‘imi va rotator manjeta.</v>
      </c>
      <c r="E134" s="6" t="s">
        <v>1512</v>
      </c>
      <c r="F134" s="11" t="s">
        <v>1513</v>
      </c>
      <c r="G134" s="6" t="s">
        <v>1021</v>
      </c>
      <c r="H134" s="6" t="s">
        <v>846</v>
      </c>
      <c r="I134" s="6" t="s">
        <v>813</v>
      </c>
      <c r="J134" s="6" t="s">
        <v>813</v>
      </c>
      <c r="K134" s="6" t="s">
        <v>814</v>
      </c>
      <c r="L134" s="6" t="s">
        <v>1160</v>
      </c>
      <c r="M134" s="6" t="s">
        <v>1160</v>
      </c>
      <c r="N134" s="12" t="s">
        <v>817</v>
      </c>
      <c r="O134" s="6" t="s">
        <v>818</v>
      </c>
      <c r="P134" s="6" t="s">
        <v>2</v>
      </c>
      <c r="Q134" s="6" t="s">
        <v>20</v>
      </c>
      <c r="R134" s="12"/>
      <c r="S134" s="12"/>
      <c r="T134" s="12"/>
      <c r="U134" s="12"/>
      <c r="V134" s="12"/>
      <c r="W134" s="12"/>
      <c r="X134" s="6" t="str">
        <f aca="false">IF(COUNT(R134:W134)=6,SUM(R134:W134),"ko‘rilmagan")</f>
        <v>ko‘rilmagan</v>
      </c>
      <c r="Y134" s="12" t="s">
        <v>1514</v>
      </c>
    </row>
    <row r="135" customFormat="false" ht="23.85" hidden="false" customHeight="false" outlineLevel="0" collapsed="false">
      <c r="A135" s="6" t="s">
        <v>1515</v>
      </c>
      <c r="B135" s="6" t="s">
        <v>510</v>
      </c>
      <c r="C135" s="6"/>
      <c r="D135" s="6" t="str">
        <f aca="false">IFERROR(INDEX(Mundarija!$D:$D,MATCH(B135,Mundarija!$A:$A,0)),"kod topilmadi")</f>
        <v>28.4. Tizza, son va oyoq panjasi.</v>
      </c>
      <c r="E135" s="6" t="s">
        <v>1516</v>
      </c>
      <c r="F135" s="11" t="s">
        <v>1517</v>
      </c>
      <c r="G135" s="6" t="s">
        <v>1254</v>
      </c>
      <c r="H135" s="6" t="s">
        <v>846</v>
      </c>
      <c r="I135" s="6" t="s">
        <v>813</v>
      </c>
      <c r="J135" s="6" t="s">
        <v>813</v>
      </c>
      <c r="K135" s="6" t="s">
        <v>814</v>
      </c>
      <c r="L135" s="6" t="s">
        <v>1160</v>
      </c>
      <c r="M135" s="6" t="s">
        <v>1160</v>
      </c>
      <c r="N135" s="12" t="s">
        <v>817</v>
      </c>
      <c r="O135" s="6" t="s">
        <v>818</v>
      </c>
      <c r="P135" s="6" t="s">
        <v>2</v>
      </c>
      <c r="Q135" s="6" t="s">
        <v>20</v>
      </c>
      <c r="R135" s="12"/>
      <c r="S135" s="12"/>
      <c r="T135" s="12"/>
      <c r="U135" s="12"/>
      <c r="V135" s="12"/>
      <c r="W135" s="12"/>
      <c r="X135" s="6" t="str">
        <f aca="false">IF(COUNT(R135:W135)=6,SUM(R135:W135),"ko‘rilmagan")</f>
        <v>ko‘rilmagan</v>
      </c>
      <c r="Y135" s="12" t="s">
        <v>1518</v>
      </c>
    </row>
    <row r="136" customFormat="false" ht="35.05" hidden="false" customHeight="false" outlineLevel="0" collapsed="false">
      <c r="A136" s="6" t="s">
        <v>1519</v>
      </c>
      <c r="B136" s="6" t="s">
        <v>493</v>
      </c>
      <c r="C136" s="6"/>
      <c r="D136" s="6" t="str">
        <f aca="false">IFERROR(INDEX(Mundarija!$D:$D,MATCH(B136,Mundarija!$A:$A,0)),"kod topilmadi")</f>
        <v>27.7. Chaqaloqlarda son bo‘g‘imi UZI.</v>
      </c>
      <c r="E136" s="6" t="s">
        <v>1520</v>
      </c>
      <c r="F136" s="11" t="s">
        <v>1521</v>
      </c>
      <c r="G136" s="6" t="s">
        <v>1522</v>
      </c>
      <c r="H136" s="6" t="s">
        <v>846</v>
      </c>
      <c r="I136" s="6" t="s">
        <v>813</v>
      </c>
      <c r="J136" s="6" t="s">
        <v>813</v>
      </c>
      <c r="K136" s="6" t="s">
        <v>814</v>
      </c>
      <c r="L136" s="6" t="s">
        <v>1160</v>
      </c>
      <c r="M136" s="6" t="s">
        <v>1160</v>
      </c>
      <c r="N136" s="12" t="s">
        <v>817</v>
      </c>
      <c r="O136" s="6" t="s">
        <v>818</v>
      </c>
      <c r="P136" s="6" t="s">
        <v>2</v>
      </c>
      <c r="Q136" s="6" t="s">
        <v>20</v>
      </c>
      <c r="R136" s="12"/>
      <c r="S136" s="12"/>
      <c r="T136" s="12"/>
      <c r="U136" s="12"/>
      <c r="V136" s="12"/>
      <c r="W136" s="12"/>
      <c r="X136" s="6" t="str">
        <f aca="false">IF(COUNT(R136:W136)=6,SUM(R136:W136),"ko‘rilmagan")</f>
        <v>ko‘rilmagan</v>
      </c>
      <c r="Y136" s="12" t="s">
        <v>1523</v>
      </c>
    </row>
    <row r="137" customFormat="false" ht="23.85" hidden="false" customHeight="false" outlineLevel="0" collapsed="false">
      <c r="A137" s="6" t="s">
        <v>1524</v>
      </c>
      <c r="B137" s="6" t="s">
        <v>512</v>
      </c>
      <c r="C137" s="6" t="s">
        <v>510</v>
      </c>
      <c r="D137" s="6" t="str">
        <f aca="false">IFERROR(INDEX(Mundarija!$D:$D,MATCH(B137,Mundarija!$A:$A,0)),"kod topilmadi")</f>
        <v>28.5. Tendinopatiya va pay yirtilishlari.</v>
      </c>
      <c r="E137" s="6" t="s">
        <v>1525</v>
      </c>
      <c r="F137" s="11" t="s">
        <v>1526</v>
      </c>
      <c r="G137" s="6" t="s">
        <v>1509</v>
      </c>
      <c r="H137" s="6" t="s">
        <v>846</v>
      </c>
      <c r="I137" s="6" t="s">
        <v>813</v>
      </c>
      <c r="J137" s="6" t="s">
        <v>813</v>
      </c>
      <c r="K137" s="6" t="s">
        <v>814</v>
      </c>
      <c r="L137" s="6" t="s">
        <v>1160</v>
      </c>
      <c r="M137" s="6" t="s">
        <v>1160</v>
      </c>
      <c r="N137" s="12" t="s">
        <v>817</v>
      </c>
      <c r="O137" s="6" t="s">
        <v>818</v>
      </c>
      <c r="P137" s="6" t="s">
        <v>2</v>
      </c>
      <c r="Q137" s="6" t="s">
        <v>20</v>
      </c>
      <c r="R137" s="12"/>
      <c r="S137" s="12"/>
      <c r="T137" s="12"/>
      <c r="U137" s="12"/>
      <c r="V137" s="12"/>
      <c r="W137" s="12"/>
      <c r="X137" s="6" t="str">
        <f aca="false">IF(COUNT(R137:W137)=6,SUM(R137:W137),"ko‘rilmagan")</f>
        <v>ko‘rilmagan</v>
      </c>
      <c r="Y137" s="12" t="s">
        <v>1527</v>
      </c>
    </row>
    <row r="138" customFormat="false" ht="23.85" hidden="false" customHeight="false" outlineLevel="0" collapsed="false">
      <c r="A138" s="6" t="s">
        <v>1528</v>
      </c>
      <c r="B138" s="6" t="s">
        <v>518</v>
      </c>
      <c r="C138" s="6"/>
      <c r="D138" s="6" t="str">
        <f aca="false">IFERROR(INDEX(Mundarija!$D:$D,MATCH(B138,Mundarija!$A:$A,0)),"kod topilmadi")</f>
        <v>28.8. Periferik nervlar va tunnel sindromlari.</v>
      </c>
      <c r="E138" s="6" t="s">
        <v>1529</v>
      </c>
      <c r="F138" s="11" t="s">
        <v>1530</v>
      </c>
      <c r="G138" s="6" t="s">
        <v>1205</v>
      </c>
      <c r="H138" s="6" t="s">
        <v>846</v>
      </c>
      <c r="I138" s="6" t="s">
        <v>813</v>
      </c>
      <c r="J138" s="6" t="s">
        <v>813</v>
      </c>
      <c r="K138" s="6" t="s">
        <v>814</v>
      </c>
      <c r="L138" s="6" t="s">
        <v>1160</v>
      </c>
      <c r="M138" s="6" t="s">
        <v>1160</v>
      </c>
      <c r="N138" s="12" t="s">
        <v>817</v>
      </c>
      <c r="O138" s="6" t="s">
        <v>818</v>
      </c>
      <c r="P138" s="6" t="s">
        <v>2</v>
      </c>
      <c r="Q138" s="6" t="s">
        <v>20</v>
      </c>
      <c r="R138" s="12"/>
      <c r="S138" s="12"/>
      <c r="T138" s="12"/>
      <c r="U138" s="12"/>
      <c r="V138" s="12"/>
      <c r="W138" s="12"/>
      <c r="X138" s="6" t="str">
        <f aca="false">IF(COUNT(R138:W138)=6,SUM(R138:W138),"ko‘rilmagan")</f>
        <v>ko‘rilmagan</v>
      </c>
      <c r="Y138" s="12" t="s">
        <v>1531</v>
      </c>
    </row>
    <row r="139" customFormat="false" ht="35.05" hidden="false" customHeight="false" outlineLevel="0" collapsed="false">
      <c r="A139" s="6" t="s">
        <v>1532</v>
      </c>
      <c r="B139" s="6" t="s">
        <v>518</v>
      </c>
      <c r="C139" s="6"/>
      <c r="D139" s="6" t="str">
        <f aca="false">IFERROR(INDEX(Mundarija!$D:$D,MATCH(B139,Mundarija!$A:$A,0)),"kod topilmadi")</f>
        <v>28.8. Periferik nervlar va tunnel sindromlari.</v>
      </c>
      <c r="E139" s="6" t="s">
        <v>1533</v>
      </c>
      <c r="F139" s="11" t="s">
        <v>1534</v>
      </c>
      <c r="G139" s="6" t="s">
        <v>1535</v>
      </c>
      <c r="H139" s="6" t="s">
        <v>846</v>
      </c>
      <c r="I139" s="6" t="s">
        <v>813</v>
      </c>
      <c r="J139" s="6" t="s">
        <v>813</v>
      </c>
      <c r="K139" s="6" t="s">
        <v>814</v>
      </c>
      <c r="L139" s="6" t="s">
        <v>1160</v>
      </c>
      <c r="M139" s="6" t="s">
        <v>1160</v>
      </c>
      <c r="N139" s="12" t="s">
        <v>817</v>
      </c>
      <c r="O139" s="6" t="s">
        <v>818</v>
      </c>
      <c r="P139" s="6" t="s">
        <v>2</v>
      </c>
      <c r="Q139" s="6" t="s">
        <v>20</v>
      </c>
      <c r="R139" s="12"/>
      <c r="S139" s="12"/>
      <c r="T139" s="12"/>
      <c r="U139" s="12"/>
      <c r="V139" s="12"/>
      <c r="W139" s="12"/>
      <c r="X139" s="6" t="str">
        <f aca="false">IF(COUNT(R139:W139)=6,SUM(R139:W139),"ko‘rilmagan")</f>
        <v>ko‘rilmagan</v>
      </c>
      <c r="Y139" s="12" t="s">
        <v>1536</v>
      </c>
    </row>
    <row r="140" customFormat="false" ht="35.05" hidden="false" customHeight="false" outlineLevel="0" collapsed="false">
      <c r="A140" s="6" t="s">
        <v>1537</v>
      </c>
      <c r="B140" s="6" t="s">
        <v>135</v>
      </c>
      <c r="C140" s="6" t="s">
        <v>137</v>
      </c>
      <c r="D140" s="6" t="str">
        <f aca="false">IFERROR(INDEX(Mundarija!$D:$D,MATCH(B140,Mundarija!$A:$A,0)),"kod topilmadi")</f>
        <v>7.2. Qorin bo‘shlig‘i tekshiruvi uchun tayyorgarlik.</v>
      </c>
      <c r="E140" s="6" t="s">
        <v>1538</v>
      </c>
      <c r="F140" s="11" t="s">
        <v>1539</v>
      </c>
      <c r="G140" s="6" t="s">
        <v>1426</v>
      </c>
      <c r="H140" s="6" t="s">
        <v>1540</v>
      </c>
      <c r="I140" s="6" t="s">
        <v>813</v>
      </c>
      <c r="J140" s="6" t="s">
        <v>813</v>
      </c>
      <c r="K140" s="6" t="s">
        <v>814</v>
      </c>
      <c r="L140" s="6" t="s">
        <v>815</v>
      </c>
      <c r="M140" s="6" t="s">
        <v>1541</v>
      </c>
      <c r="N140" s="12" t="s">
        <v>817</v>
      </c>
      <c r="O140" s="6" t="s">
        <v>818</v>
      </c>
      <c r="P140" s="6" t="s">
        <v>2</v>
      </c>
      <c r="Q140" s="6" t="s">
        <v>20</v>
      </c>
      <c r="R140" s="12"/>
      <c r="S140" s="12"/>
      <c r="T140" s="12"/>
      <c r="U140" s="12"/>
      <c r="V140" s="12"/>
      <c r="W140" s="12"/>
      <c r="X140" s="6" t="str">
        <f aca="false">IF(COUNT(R140:W140)=6,SUM(R140:W140),"ko‘rilmagan")</f>
        <v>ko‘rilmagan</v>
      </c>
      <c r="Y140" s="12"/>
    </row>
    <row r="141" customFormat="false" ht="23.85" hidden="false" customHeight="false" outlineLevel="0" collapsed="false">
      <c r="A141" s="6" t="s">
        <v>1542</v>
      </c>
      <c r="B141" s="6" t="s">
        <v>137</v>
      </c>
      <c r="C141" s="6"/>
      <c r="D141" s="6" t="str">
        <f aca="false">IFERROR(INDEX(Mundarija!$D:$D,MATCH(B141,Mundarija!$A:$A,0)),"kod topilmadi")</f>
        <v>7.3. Siydik pufagi va chanoq a’zolariga tayyorgarlik.</v>
      </c>
      <c r="E141" s="6" t="s">
        <v>1543</v>
      </c>
      <c r="F141" s="11" t="s">
        <v>1544</v>
      </c>
      <c r="G141" s="6" t="s">
        <v>1545</v>
      </c>
      <c r="H141" s="6" t="s">
        <v>1546</v>
      </c>
      <c r="I141" s="6" t="s">
        <v>813</v>
      </c>
      <c r="J141" s="6" t="s">
        <v>813</v>
      </c>
      <c r="K141" s="6" t="s">
        <v>814</v>
      </c>
      <c r="L141" s="6" t="s">
        <v>815</v>
      </c>
      <c r="M141" s="6" t="s">
        <v>1541</v>
      </c>
      <c r="N141" s="12" t="s">
        <v>817</v>
      </c>
      <c r="O141" s="6" t="s">
        <v>818</v>
      </c>
      <c r="P141" s="6" t="s">
        <v>2</v>
      </c>
      <c r="Q141" s="6" t="s">
        <v>20</v>
      </c>
      <c r="R141" s="12"/>
      <c r="S141" s="12"/>
      <c r="T141" s="12"/>
      <c r="U141" s="12"/>
      <c r="V141" s="12"/>
      <c r="W141" s="12"/>
      <c r="X141" s="6" t="str">
        <f aca="false">IF(COUNT(R141:W141)=6,SUM(R141:W141),"ko‘rilmagan")</f>
        <v>ko‘rilmagan</v>
      </c>
      <c r="Y141" s="12"/>
    </row>
    <row r="142" customFormat="false" ht="23.85" hidden="false" customHeight="false" outlineLevel="0" collapsed="false">
      <c r="A142" s="6" t="s">
        <v>1547</v>
      </c>
      <c r="B142" s="6" t="s">
        <v>139</v>
      </c>
      <c r="C142" s="6"/>
      <c r="D142" s="6" t="str">
        <f aca="false">IFERROR(INDEX(Mundarija!$D:$D,MATCH(B142,Mundarija!$A:$A,0)),"kod topilmadi")</f>
        <v>7.4. Transvaginal va transrektal tekshiruvga tayyorgarlik, rozilik va maxfiylik.</v>
      </c>
      <c r="E142" s="6" t="s">
        <v>1548</v>
      </c>
      <c r="F142" s="11" t="s">
        <v>1549</v>
      </c>
      <c r="G142" s="6" t="s">
        <v>1550</v>
      </c>
      <c r="H142" s="6" t="s">
        <v>1546</v>
      </c>
      <c r="I142" s="6" t="s">
        <v>813</v>
      </c>
      <c r="J142" s="6" t="s">
        <v>813</v>
      </c>
      <c r="K142" s="6" t="s">
        <v>814</v>
      </c>
      <c r="L142" s="6" t="s">
        <v>815</v>
      </c>
      <c r="M142" s="6" t="s">
        <v>1541</v>
      </c>
      <c r="N142" s="12" t="s">
        <v>817</v>
      </c>
      <c r="O142" s="6" t="s">
        <v>818</v>
      </c>
      <c r="P142" s="6" t="s">
        <v>2</v>
      </c>
      <c r="Q142" s="6" t="s">
        <v>20</v>
      </c>
      <c r="R142" s="12"/>
      <c r="S142" s="12"/>
      <c r="T142" s="12"/>
      <c r="U142" s="12"/>
      <c r="V142" s="12"/>
      <c r="W142" s="12"/>
      <c r="X142" s="6" t="str">
        <f aca="false">IF(COUNT(R142:W142)=6,SUM(R142:W142),"ko‘rilmagan")</f>
        <v>ko‘rilmagan</v>
      </c>
      <c r="Y142" s="12"/>
    </row>
    <row r="143" customFormat="false" ht="23.85" hidden="false" customHeight="false" outlineLevel="0" collapsed="false">
      <c r="A143" s="6" t="s">
        <v>1551</v>
      </c>
      <c r="B143" s="6" t="s">
        <v>139</v>
      </c>
      <c r="C143" s="6" t="s">
        <v>274</v>
      </c>
      <c r="D143" s="6" t="str">
        <f aca="false">IFERROR(INDEX(Mundarija!$D:$D,MATCH(B143,Mundarija!$A:$A,0)),"kod topilmadi")</f>
        <v>7.4. Transvaginal va transrektal tekshiruvga tayyorgarlik, rozilik va maxfiylik.</v>
      </c>
      <c r="E143" s="6" t="s">
        <v>1552</v>
      </c>
      <c r="F143" s="11" t="s">
        <v>1553</v>
      </c>
      <c r="G143" s="6" t="s">
        <v>1554</v>
      </c>
      <c r="H143" s="6" t="s">
        <v>1555</v>
      </c>
      <c r="I143" s="6" t="s">
        <v>813</v>
      </c>
      <c r="J143" s="6" t="s">
        <v>813</v>
      </c>
      <c r="K143" s="6" t="s">
        <v>814</v>
      </c>
      <c r="L143" s="6" t="s">
        <v>840</v>
      </c>
      <c r="M143" s="6" t="s">
        <v>827</v>
      </c>
      <c r="N143" s="12" t="s">
        <v>817</v>
      </c>
      <c r="O143" s="6" t="s">
        <v>818</v>
      </c>
      <c r="P143" s="6" t="s">
        <v>2</v>
      </c>
      <c r="Q143" s="6" t="s">
        <v>20</v>
      </c>
      <c r="R143" s="12"/>
      <c r="S143" s="12"/>
      <c r="T143" s="12"/>
      <c r="U143" s="12"/>
      <c r="V143" s="12"/>
      <c r="W143" s="12"/>
      <c r="X143" s="6" t="str">
        <f aca="false">IF(COUNT(R143:W143)=6,SUM(R143:W143),"ko‘rilmagan")</f>
        <v>ko‘rilmagan</v>
      </c>
      <c r="Y143" s="12"/>
    </row>
    <row r="144" customFormat="false" ht="23.85" hidden="false" customHeight="false" outlineLevel="0" collapsed="false">
      <c r="A144" s="6" t="s">
        <v>1556</v>
      </c>
      <c r="B144" s="6" t="s">
        <v>141</v>
      </c>
      <c r="C144" s="6" t="s">
        <v>478</v>
      </c>
      <c r="D144" s="6" t="str">
        <f aca="false">IFERROR(INDEX(Mundarija!$D:$D,MATCH(B144,Mundarija!$A:$A,0)),"kod topilmadi")</f>
        <v>7.5. Bolalar va shoshilinch bemorlarni tekshirish.</v>
      </c>
      <c r="E144" s="6" t="s">
        <v>1557</v>
      </c>
      <c r="F144" s="11" t="s">
        <v>1558</v>
      </c>
      <c r="G144" s="6" t="s">
        <v>1559</v>
      </c>
      <c r="H144" s="6" t="s">
        <v>1560</v>
      </c>
      <c r="I144" s="6" t="s">
        <v>813</v>
      </c>
      <c r="J144" s="6" t="s">
        <v>813</v>
      </c>
      <c r="K144" s="6" t="s">
        <v>814</v>
      </c>
      <c r="L144" s="6" t="s">
        <v>815</v>
      </c>
      <c r="M144" s="6" t="s">
        <v>848</v>
      </c>
      <c r="N144" s="12" t="s">
        <v>817</v>
      </c>
      <c r="O144" s="6" t="s">
        <v>818</v>
      </c>
      <c r="P144" s="6" t="s">
        <v>2</v>
      </c>
      <c r="Q144" s="6" t="s">
        <v>20</v>
      </c>
      <c r="R144" s="12"/>
      <c r="S144" s="12"/>
      <c r="T144" s="12"/>
      <c r="U144" s="12"/>
      <c r="V144" s="12"/>
      <c r="W144" s="12"/>
      <c r="X144" s="6" t="str">
        <f aca="false">IF(COUNT(R144:W144)=6,SUM(R144:W144),"ko‘rilmagan")</f>
        <v>ko‘rilmagan</v>
      </c>
      <c r="Y144" s="12"/>
    </row>
    <row r="145" customFormat="false" ht="23.85" hidden="false" customHeight="false" outlineLevel="0" collapsed="false">
      <c r="A145" s="6" t="s">
        <v>1561</v>
      </c>
      <c r="B145" s="6" t="s">
        <v>141</v>
      </c>
      <c r="C145" s="6" t="s">
        <v>485</v>
      </c>
      <c r="D145" s="6" t="str">
        <f aca="false">IFERROR(INDEX(Mundarija!$D:$D,MATCH(B145,Mundarija!$A:$A,0)),"kod topilmadi")</f>
        <v>7.5. Bolalar va shoshilinch bemorlarni tekshirish.</v>
      </c>
      <c r="E145" s="6" t="s">
        <v>1562</v>
      </c>
      <c r="F145" s="11" t="s">
        <v>1563</v>
      </c>
      <c r="G145" s="6" t="s">
        <v>1564</v>
      </c>
      <c r="H145" s="6" t="s">
        <v>1116</v>
      </c>
      <c r="I145" s="6" t="s">
        <v>813</v>
      </c>
      <c r="J145" s="6" t="s">
        <v>813</v>
      </c>
      <c r="K145" s="6" t="s">
        <v>814</v>
      </c>
      <c r="L145" s="6" t="s">
        <v>840</v>
      </c>
      <c r="M145" s="6" t="s">
        <v>848</v>
      </c>
      <c r="N145" s="12" t="s">
        <v>817</v>
      </c>
      <c r="O145" s="6" t="s">
        <v>818</v>
      </c>
      <c r="P145" s="6" t="s">
        <v>2</v>
      </c>
      <c r="Q145" s="6" t="s">
        <v>20</v>
      </c>
      <c r="R145" s="12"/>
      <c r="S145" s="12"/>
      <c r="T145" s="12"/>
      <c r="U145" s="12"/>
      <c r="V145" s="12"/>
      <c r="W145" s="12"/>
      <c r="X145" s="6" t="str">
        <f aca="false">IF(COUNT(R145:W145)=6,SUM(R145:W145),"ko‘rilmagan")</f>
        <v>ko‘rilmagan</v>
      </c>
      <c r="Y145" s="12"/>
    </row>
    <row r="146" customFormat="false" ht="23.85" hidden="false" customHeight="false" outlineLevel="0" collapsed="false">
      <c r="A146" s="6" t="s">
        <v>1565</v>
      </c>
      <c r="B146" s="6" t="s">
        <v>145</v>
      </c>
      <c r="C146" s="6"/>
      <c r="D146" s="6" t="str">
        <f aca="false">IFERROR(INDEX(Mundarija!$D:$D,MATCH(B146,Mundarija!$A:$A,0)),"kod topilmadi")</f>
        <v>8.1. Datchikni ushlash, bosimni boshqarish va harakatlantirish.</v>
      </c>
      <c r="E146" s="6" t="s">
        <v>1566</v>
      </c>
      <c r="F146" s="11" t="s">
        <v>1567</v>
      </c>
      <c r="G146" s="6" t="s">
        <v>1463</v>
      </c>
      <c r="H146" s="6" t="s">
        <v>1568</v>
      </c>
      <c r="I146" s="6" t="s">
        <v>813</v>
      </c>
      <c r="J146" s="6" t="s">
        <v>813</v>
      </c>
      <c r="K146" s="6" t="s">
        <v>814</v>
      </c>
      <c r="L146" s="6" t="s">
        <v>815</v>
      </c>
      <c r="M146" s="6" t="s">
        <v>827</v>
      </c>
      <c r="N146" s="12" t="s">
        <v>817</v>
      </c>
      <c r="O146" s="6" t="s">
        <v>818</v>
      </c>
      <c r="P146" s="6" t="s">
        <v>2</v>
      </c>
      <c r="Q146" s="6" t="s">
        <v>20</v>
      </c>
      <c r="R146" s="12"/>
      <c r="S146" s="12"/>
      <c r="T146" s="12"/>
      <c r="U146" s="12"/>
      <c r="V146" s="12"/>
      <c r="W146" s="12"/>
      <c r="X146" s="6" t="str">
        <f aca="false">IF(COUNT(R146:W146)=6,SUM(R146:W146),"ko‘rilmagan")</f>
        <v>ko‘rilmagan</v>
      </c>
      <c r="Y146" s="12"/>
    </row>
    <row r="147" customFormat="false" ht="23.85" hidden="false" customHeight="false" outlineLevel="0" collapsed="false">
      <c r="A147" s="6" t="s">
        <v>1569</v>
      </c>
      <c r="B147" s="6" t="s">
        <v>145</v>
      </c>
      <c r="C147" s="6"/>
      <c r="D147" s="6" t="str">
        <f aca="false">IFERROR(INDEX(Mundarija!$D:$D,MATCH(B147,Mundarija!$A:$A,0)),"kod topilmadi")</f>
        <v>8.1. Datchikni ushlash, bosimni boshqarish va harakatlantirish.</v>
      </c>
      <c r="E147" s="6" t="s">
        <v>1570</v>
      </c>
      <c r="F147" s="11" t="s">
        <v>1571</v>
      </c>
      <c r="G147" s="6" t="s">
        <v>1330</v>
      </c>
      <c r="H147" s="6" t="s">
        <v>1572</v>
      </c>
      <c r="I147" s="6" t="s">
        <v>813</v>
      </c>
      <c r="J147" s="6" t="s">
        <v>813</v>
      </c>
      <c r="K147" s="6" t="s">
        <v>814</v>
      </c>
      <c r="L147" s="6" t="s">
        <v>815</v>
      </c>
      <c r="M147" s="6" t="s">
        <v>827</v>
      </c>
      <c r="N147" s="12" t="s">
        <v>817</v>
      </c>
      <c r="O147" s="6" t="s">
        <v>818</v>
      </c>
      <c r="P147" s="6" t="s">
        <v>2</v>
      </c>
      <c r="Q147" s="6" t="s">
        <v>20</v>
      </c>
      <c r="R147" s="12"/>
      <c r="S147" s="12"/>
      <c r="T147" s="12"/>
      <c r="U147" s="12"/>
      <c r="V147" s="12"/>
      <c r="W147" s="12"/>
      <c r="X147" s="6" t="str">
        <f aca="false">IF(COUNT(R147:W147)=6,SUM(R147:W147),"ko‘rilmagan")</f>
        <v>ko‘rilmagan</v>
      </c>
      <c r="Y147" s="12"/>
    </row>
    <row r="148" customFormat="false" ht="23.85" hidden="false" customHeight="false" outlineLevel="0" collapsed="false">
      <c r="A148" s="6" t="s">
        <v>1573</v>
      </c>
      <c r="B148" s="6" t="s">
        <v>145</v>
      </c>
      <c r="C148" s="6"/>
      <c r="D148" s="6" t="str">
        <f aca="false">IFERROR(INDEX(Mundarija!$D:$D,MATCH(B148,Mundarija!$A:$A,0)),"kod topilmadi")</f>
        <v>8.1. Datchikni ushlash, bosimni boshqarish va harakatlantirish.</v>
      </c>
      <c r="E148" s="6" t="s">
        <v>1574</v>
      </c>
      <c r="F148" s="11" t="s">
        <v>1575</v>
      </c>
      <c r="G148" s="6" t="s">
        <v>1254</v>
      </c>
      <c r="H148" s="6" t="s">
        <v>1576</v>
      </c>
      <c r="I148" s="6" t="s">
        <v>813</v>
      </c>
      <c r="J148" s="6" t="s">
        <v>813</v>
      </c>
      <c r="K148" s="6" t="s">
        <v>814</v>
      </c>
      <c r="L148" s="6" t="s">
        <v>815</v>
      </c>
      <c r="M148" s="6" t="s">
        <v>827</v>
      </c>
      <c r="N148" s="12" t="s">
        <v>817</v>
      </c>
      <c r="O148" s="6" t="s">
        <v>818</v>
      </c>
      <c r="P148" s="6" t="s">
        <v>2</v>
      </c>
      <c r="Q148" s="6" t="s">
        <v>20</v>
      </c>
      <c r="R148" s="12"/>
      <c r="S148" s="12"/>
      <c r="T148" s="12"/>
      <c r="U148" s="12"/>
      <c r="V148" s="12"/>
      <c r="W148" s="12"/>
      <c r="X148" s="6" t="str">
        <f aca="false">IF(COUNT(R148:W148)=6,SUM(R148:W148),"ko‘rilmagan")</f>
        <v>ko‘rilmagan</v>
      </c>
      <c r="Y148" s="12"/>
    </row>
    <row r="149" customFormat="false" ht="23.85" hidden="false" customHeight="false" outlineLevel="0" collapsed="false">
      <c r="A149" s="6" t="s">
        <v>1577</v>
      </c>
      <c r="B149" s="6" t="s">
        <v>148</v>
      </c>
      <c r="C149" s="6" t="s">
        <v>145</v>
      </c>
      <c r="D149" s="6" t="str">
        <f aca="false">IFERROR(INDEX(Mundarija!$D:$D,MATCH(B149,Mundarija!$A:$A,0)),"kod topilmadi")</f>
        <v>8.2. Bo‘ylama, ko‘ndalang va qiya tekisliklar.</v>
      </c>
      <c r="E149" s="6" t="s">
        <v>1578</v>
      </c>
      <c r="F149" s="11" t="s">
        <v>1579</v>
      </c>
      <c r="G149" s="6" t="s">
        <v>1580</v>
      </c>
      <c r="H149" s="6" t="s">
        <v>1581</v>
      </c>
      <c r="I149" s="6" t="s">
        <v>813</v>
      </c>
      <c r="J149" s="6" t="s">
        <v>813</v>
      </c>
      <c r="K149" s="6" t="s">
        <v>814</v>
      </c>
      <c r="L149" s="6" t="s">
        <v>815</v>
      </c>
      <c r="M149" s="6" t="s">
        <v>848</v>
      </c>
      <c r="N149" s="12" t="s">
        <v>817</v>
      </c>
      <c r="O149" s="6" t="s">
        <v>818</v>
      </c>
      <c r="P149" s="6" t="s">
        <v>2</v>
      </c>
      <c r="Q149" s="6" t="s">
        <v>20</v>
      </c>
      <c r="R149" s="12"/>
      <c r="S149" s="12"/>
      <c r="T149" s="12"/>
      <c r="U149" s="12"/>
      <c r="V149" s="12"/>
      <c r="W149" s="12"/>
      <c r="X149" s="6" t="str">
        <f aca="false">IF(COUNT(R149:W149)=6,SUM(R149:W149),"ko‘rilmagan")</f>
        <v>ko‘rilmagan</v>
      </c>
      <c r="Y149" s="12"/>
    </row>
    <row r="150" customFormat="false" ht="23.85" hidden="false" customHeight="false" outlineLevel="0" collapsed="false">
      <c r="A150" s="6" t="s">
        <v>1582</v>
      </c>
      <c r="B150" s="6" t="s">
        <v>148</v>
      </c>
      <c r="C150" s="6" t="s">
        <v>150</v>
      </c>
      <c r="D150" s="6" t="str">
        <f aca="false">IFERROR(INDEX(Mundarija!$D:$D,MATCH(B150,Mundarija!$A:$A,0)),"kod topilmadi")</f>
        <v>8.2. Bo‘ylama, ko‘ndalang va qiya tekisliklar.</v>
      </c>
      <c r="E150" s="6" t="s">
        <v>1583</v>
      </c>
      <c r="F150" s="11" t="s">
        <v>1584</v>
      </c>
      <c r="G150" s="6" t="s">
        <v>1585</v>
      </c>
      <c r="H150" s="6" t="s">
        <v>1586</v>
      </c>
      <c r="I150" s="6" t="s">
        <v>813</v>
      </c>
      <c r="J150" s="6" t="s">
        <v>813</v>
      </c>
      <c r="K150" s="6" t="s">
        <v>814</v>
      </c>
      <c r="L150" s="6" t="s">
        <v>815</v>
      </c>
      <c r="M150" s="6" t="s">
        <v>827</v>
      </c>
      <c r="N150" s="12" t="s">
        <v>817</v>
      </c>
      <c r="O150" s="6" t="s">
        <v>818</v>
      </c>
      <c r="P150" s="6" t="s">
        <v>2</v>
      </c>
      <c r="Q150" s="6" t="s">
        <v>20</v>
      </c>
      <c r="R150" s="12"/>
      <c r="S150" s="12"/>
      <c r="T150" s="12"/>
      <c r="U150" s="12"/>
      <c r="V150" s="12"/>
      <c r="W150" s="12"/>
      <c r="X150" s="6" t="str">
        <f aca="false">IF(COUNT(R150:W150)=6,SUM(R150:W150),"ko‘rilmagan")</f>
        <v>ko‘rilmagan</v>
      </c>
      <c r="Y150" s="12"/>
    </row>
    <row r="151" customFormat="false" ht="23.85" hidden="false" customHeight="false" outlineLevel="0" collapsed="false">
      <c r="A151" s="6" t="s">
        <v>1587</v>
      </c>
      <c r="B151" s="6" t="s">
        <v>150</v>
      </c>
      <c r="C151" s="6"/>
      <c r="D151" s="6" t="str">
        <f aca="false">IFERROR(INDEX(Mundarija!$D:$D,MATCH(B151,Mundarija!$A:$A,0)),"kod topilmadi")</f>
        <v>8.3. Anatomik orientatsiya va ekranda tasvirni yo‘naltirish.</v>
      </c>
      <c r="E151" s="6" t="s">
        <v>1588</v>
      </c>
      <c r="F151" s="11" t="s">
        <v>1589</v>
      </c>
      <c r="G151" s="6" t="s">
        <v>1254</v>
      </c>
      <c r="H151" s="6" t="s">
        <v>1576</v>
      </c>
      <c r="I151" s="6" t="s">
        <v>813</v>
      </c>
      <c r="J151" s="6" t="s">
        <v>813</v>
      </c>
      <c r="K151" s="6" t="s">
        <v>814</v>
      </c>
      <c r="L151" s="6" t="s">
        <v>815</v>
      </c>
      <c r="M151" s="6" t="s">
        <v>848</v>
      </c>
      <c r="N151" s="12" t="s">
        <v>817</v>
      </c>
      <c r="O151" s="6" t="s">
        <v>818</v>
      </c>
      <c r="P151" s="6" t="s">
        <v>2</v>
      </c>
      <c r="Q151" s="6" t="s">
        <v>20</v>
      </c>
      <c r="R151" s="12"/>
      <c r="S151" s="12"/>
      <c r="T151" s="12"/>
      <c r="U151" s="12"/>
      <c r="V151" s="12"/>
      <c r="W151" s="12"/>
      <c r="X151" s="6" t="str">
        <f aca="false">IF(COUNT(R151:W151)=6,SUM(R151:W151),"ko‘rilmagan")</f>
        <v>ko‘rilmagan</v>
      </c>
      <c r="Y151" s="12"/>
    </row>
    <row r="152" customFormat="false" ht="23.85" hidden="false" customHeight="false" outlineLevel="0" collapsed="false">
      <c r="A152" s="6" t="s">
        <v>1590</v>
      </c>
      <c r="B152" s="6" t="s">
        <v>156</v>
      </c>
      <c r="C152" s="6"/>
      <c r="D152" s="6" t="str">
        <f aca="false">IFERROR(INDEX(Mundarija!$D:$D,MATCH(B152,Mundarija!$A:$A,0)),"kod topilmadi")</f>
        <v>8.6. Sonografist ergonomikasi va kasbiy shikastlanishlarning oldini olish.</v>
      </c>
      <c r="E152" s="6" t="s">
        <v>1591</v>
      </c>
      <c r="F152" s="11" t="s">
        <v>1592</v>
      </c>
      <c r="G152" s="6" t="s">
        <v>1535</v>
      </c>
      <c r="H152" s="6" t="s">
        <v>1593</v>
      </c>
      <c r="I152" s="6" t="s">
        <v>813</v>
      </c>
      <c r="J152" s="6" t="s">
        <v>813</v>
      </c>
      <c r="K152" s="6" t="s">
        <v>814</v>
      </c>
      <c r="L152" s="6" t="s">
        <v>815</v>
      </c>
      <c r="M152" s="6" t="s">
        <v>827</v>
      </c>
      <c r="N152" s="12" t="s">
        <v>817</v>
      </c>
      <c r="O152" s="6" t="s">
        <v>818</v>
      </c>
      <c r="P152" s="6" t="s">
        <v>2</v>
      </c>
      <c r="Q152" s="6" t="s">
        <v>20</v>
      </c>
      <c r="R152" s="12"/>
      <c r="S152" s="12"/>
      <c r="T152" s="12"/>
      <c r="U152" s="12"/>
      <c r="V152" s="12"/>
      <c r="W152" s="12"/>
      <c r="X152" s="6" t="str">
        <f aca="false">IF(COUNT(R152:W152)=6,SUM(R152:W152),"ko‘rilmagan")</f>
        <v>ko‘rilmagan</v>
      </c>
      <c r="Y152" s="12"/>
    </row>
    <row r="153" customFormat="false" ht="23.85" hidden="false" customHeight="false" outlineLevel="0" collapsed="false">
      <c r="A153" s="6" t="s">
        <v>1594</v>
      </c>
      <c r="B153" s="6" t="s">
        <v>156</v>
      </c>
      <c r="C153" s="6"/>
      <c r="D153" s="6" t="str">
        <f aca="false">IFERROR(INDEX(Mundarija!$D:$D,MATCH(B153,Mundarija!$A:$A,0)),"kod topilmadi")</f>
        <v>8.6. Sonografist ergonomikasi va kasbiy shikastlanishlarning oldini olish.</v>
      </c>
      <c r="E153" s="6" t="s">
        <v>1595</v>
      </c>
      <c r="F153" s="11" t="s">
        <v>1596</v>
      </c>
      <c r="G153" s="6" t="s">
        <v>1597</v>
      </c>
      <c r="H153" s="6" t="s">
        <v>1598</v>
      </c>
      <c r="I153" s="6" t="s">
        <v>813</v>
      </c>
      <c r="J153" s="6" t="s">
        <v>813</v>
      </c>
      <c r="K153" s="6" t="s">
        <v>814</v>
      </c>
      <c r="L153" s="6" t="s">
        <v>815</v>
      </c>
      <c r="M153" s="6" t="s">
        <v>827</v>
      </c>
      <c r="N153" s="12" t="s">
        <v>817</v>
      </c>
      <c r="O153" s="6" t="s">
        <v>818</v>
      </c>
      <c r="P153" s="6" t="s">
        <v>2</v>
      </c>
      <c r="Q153" s="6" t="s">
        <v>20</v>
      </c>
      <c r="R153" s="12"/>
      <c r="S153" s="12"/>
      <c r="T153" s="12"/>
      <c r="U153" s="12"/>
      <c r="V153" s="12"/>
      <c r="W153" s="12"/>
      <c r="X153" s="6" t="str">
        <f aca="false">IF(COUNT(R153:W153)=6,SUM(R153:W153),"ko‘rilmagan")</f>
        <v>ko‘rilmagan</v>
      </c>
      <c r="Y153" s="12"/>
    </row>
    <row r="154" customFormat="false" ht="23.85" hidden="false" customHeight="false" outlineLevel="0" collapsed="false">
      <c r="A154" s="6" t="s">
        <v>1599</v>
      </c>
      <c r="B154" s="6" t="s">
        <v>156</v>
      </c>
      <c r="C154" s="6"/>
      <c r="D154" s="6" t="str">
        <f aca="false">IFERROR(INDEX(Mundarija!$D:$D,MATCH(B154,Mundarija!$A:$A,0)),"kod topilmadi")</f>
        <v>8.6. Sonografist ergonomikasi va kasbiy shikastlanishlarning oldini olish.</v>
      </c>
      <c r="E154" s="6" t="s">
        <v>1600</v>
      </c>
      <c r="F154" s="11" t="s">
        <v>1601</v>
      </c>
      <c r="G154" s="6" t="s">
        <v>1602</v>
      </c>
      <c r="H154" s="6" t="s">
        <v>1603</v>
      </c>
      <c r="I154" s="6" t="s">
        <v>813</v>
      </c>
      <c r="J154" s="6" t="s">
        <v>813</v>
      </c>
      <c r="K154" s="6" t="s">
        <v>814</v>
      </c>
      <c r="L154" s="6" t="s">
        <v>815</v>
      </c>
      <c r="M154" s="6" t="s">
        <v>827</v>
      </c>
      <c r="N154" s="12" t="s">
        <v>817</v>
      </c>
      <c r="O154" s="6" t="s">
        <v>818</v>
      </c>
      <c r="P154" s="6" t="s">
        <v>2</v>
      </c>
      <c r="Q154" s="6" t="s">
        <v>20</v>
      </c>
      <c r="R154" s="12"/>
      <c r="S154" s="12"/>
      <c r="T154" s="12"/>
      <c r="U154" s="12"/>
      <c r="V154" s="12"/>
      <c r="W154" s="12"/>
      <c r="X154" s="6" t="str">
        <f aca="false">IF(COUNT(R154:W154)=6,SUM(R154:W154),"ko‘rilmagan")</f>
        <v>ko‘rilmagan</v>
      </c>
      <c r="Y154" s="12"/>
    </row>
    <row r="155" customFormat="false" ht="23.85" hidden="false" customHeight="false" outlineLevel="0" collapsed="false">
      <c r="A155" s="6" t="s">
        <v>1604</v>
      </c>
      <c r="B155" s="6" t="s">
        <v>161</v>
      </c>
      <c r="C155" s="6"/>
      <c r="D155" s="6" t="str">
        <f aca="false">IFERROR(INDEX(Mundarija!$D:$D,MATCH(B155,Mundarija!$A:$A,0)),"kod topilmadi")</f>
        <v>9.2. O‘lcham, shakl, kontur, echogenlik va qon oqimini tavsiflash.</v>
      </c>
      <c r="E155" s="6" t="s">
        <v>1605</v>
      </c>
      <c r="F155" s="11" t="s">
        <v>1606</v>
      </c>
      <c r="G155" s="6" t="s">
        <v>1607</v>
      </c>
      <c r="H155" s="6" t="s">
        <v>916</v>
      </c>
      <c r="I155" s="6" t="s">
        <v>813</v>
      </c>
      <c r="J155" s="6" t="s">
        <v>813</v>
      </c>
      <c r="K155" s="6" t="s">
        <v>814</v>
      </c>
      <c r="L155" s="6" t="s">
        <v>815</v>
      </c>
      <c r="M155" s="6" t="s">
        <v>848</v>
      </c>
      <c r="N155" s="12" t="s">
        <v>817</v>
      </c>
      <c r="O155" s="6" t="s">
        <v>818</v>
      </c>
      <c r="P155" s="6" t="s">
        <v>2</v>
      </c>
      <c r="Q155" s="6" t="s">
        <v>20</v>
      </c>
      <c r="R155" s="12"/>
      <c r="S155" s="12"/>
      <c r="T155" s="12"/>
      <c r="U155" s="12"/>
      <c r="V155" s="12"/>
      <c r="W155" s="12"/>
      <c r="X155" s="6" t="str">
        <f aca="false">IF(COUNT(R155:W155)=6,SUM(R155:W155),"ko‘rilmagan")</f>
        <v>ko‘rilmagan</v>
      </c>
      <c r="Y155" s="12"/>
    </row>
    <row r="156" customFormat="false" ht="23.85" hidden="false" customHeight="false" outlineLevel="0" collapsed="false">
      <c r="A156" s="6" t="s">
        <v>1608</v>
      </c>
      <c r="B156" s="6" t="s">
        <v>161</v>
      </c>
      <c r="C156" s="6"/>
      <c r="D156" s="6" t="str">
        <f aca="false">IFERROR(INDEX(Mundarija!$D:$D,MATCH(B156,Mundarija!$A:$A,0)),"kod topilmadi")</f>
        <v>9.2. O‘lcham, shakl, kontur, echogenlik va qon oqimini tavsiflash.</v>
      </c>
      <c r="E156" s="6" t="s">
        <v>1609</v>
      </c>
      <c r="F156" s="11" t="s">
        <v>1610</v>
      </c>
      <c r="G156" s="6" t="s">
        <v>1611</v>
      </c>
      <c r="H156" s="6" t="s">
        <v>846</v>
      </c>
      <c r="I156" s="6" t="s">
        <v>813</v>
      </c>
      <c r="J156" s="6" t="s">
        <v>813</v>
      </c>
      <c r="K156" s="6" t="s">
        <v>814</v>
      </c>
      <c r="L156" s="6" t="s">
        <v>815</v>
      </c>
      <c r="M156" s="6" t="s">
        <v>848</v>
      </c>
      <c r="N156" s="12" t="s">
        <v>817</v>
      </c>
      <c r="O156" s="6" t="s">
        <v>818</v>
      </c>
      <c r="P156" s="6" t="s">
        <v>2</v>
      </c>
      <c r="Q156" s="6" t="s">
        <v>20</v>
      </c>
      <c r="R156" s="12"/>
      <c r="S156" s="12"/>
      <c r="T156" s="12"/>
      <c r="U156" s="12"/>
      <c r="V156" s="12"/>
      <c r="W156" s="12"/>
      <c r="X156" s="6" t="str">
        <f aca="false">IF(COUNT(R156:W156)=6,SUM(R156:W156),"ko‘rilmagan")</f>
        <v>ko‘rilmagan</v>
      </c>
      <c r="Y156" s="12"/>
    </row>
    <row r="157" customFormat="false" ht="23.85" hidden="false" customHeight="false" outlineLevel="0" collapsed="false">
      <c r="A157" s="6" t="s">
        <v>1612</v>
      </c>
      <c r="B157" s="6" t="s">
        <v>163</v>
      </c>
      <c r="C157" s="6" t="s">
        <v>165</v>
      </c>
      <c r="D157" s="6" t="str">
        <f aca="false">IFERROR(INDEX(Mundarija!$D:$D,MATCH(B157,Mundarija!$A:$A,0)),"kod topilmadi")</f>
        <v>9.3. Fokal va diffuz o‘zgarishlarni baholash.</v>
      </c>
      <c r="E157" s="6" t="s">
        <v>1613</v>
      </c>
      <c r="F157" s="11" t="s">
        <v>1614</v>
      </c>
      <c r="G157" s="6" t="s">
        <v>1615</v>
      </c>
      <c r="H157" s="6" t="s">
        <v>846</v>
      </c>
      <c r="I157" s="6" t="s">
        <v>813</v>
      </c>
      <c r="J157" s="6" t="s">
        <v>813</v>
      </c>
      <c r="K157" s="6" t="s">
        <v>814</v>
      </c>
      <c r="L157" s="6" t="s">
        <v>840</v>
      </c>
      <c r="M157" s="6" t="s">
        <v>848</v>
      </c>
      <c r="N157" s="12" t="s">
        <v>817</v>
      </c>
      <c r="O157" s="6" t="s">
        <v>818</v>
      </c>
      <c r="P157" s="6" t="s">
        <v>2</v>
      </c>
      <c r="Q157" s="6" t="s">
        <v>20</v>
      </c>
      <c r="R157" s="12"/>
      <c r="S157" s="12"/>
      <c r="T157" s="12"/>
      <c r="U157" s="12"/>
      <c r="V157" s="12"/>
      <c r="W157" s="12"/>
      <c r="X157" s="6" t="str">
        <f aca="false">IF(COUNT(R157:W157)=6,SUM(R157:W157),"ko‘rilmagan")</f>
        <v>ko‘rilmagan</v>
      </c>
      <c r="Y157" s="12"/>
    </row>
    <row r="158" customFormat="false" ht="23.85" hidden="false" customHeight="false" outlineLevel="0" collapsed="false">
      <c r="A158" s="6" t="s">
        <v>1616</v>
      </c>
      <c r="B158" s="6" t="s">
        <v>167</v>
      </c>
      <c r="C158" s="6"/>
      <c r="D158" s="6" t="str">
        <f aca="false">IFERROR(INDEX(Mundarija!$D:$D,MATCH(B158,Mundarija!$A:$A,0)),"kod topilmadi")</f>
        <v>9.5. Standart protokol, xulosa va tavsiyalarni shakllantirish.</v>
      </c>
      <c r="E158" s="6" t="s">
        <v>1617</v>
      </c>
      <c r="F158" s="11" t="s">
        <v>1618</v>
      </c>
      <c r="G158" s="6" t="s">
        <v>1619</v>
      </c>
      <c r="H158" s="6" t="s">
        <v>1620</v>
      </c>
      <c r="I158" s="6" t="s">
        <v>813</v>
      </c>
      <c r="J158" s="6" t="s">
        <v>813</v>
      </c>
      <c r="K158" s="6" t="s">
        <v>814</v>
      </c>
      <c r="L158" s="6" t="s">
        <v>840</v>
      </c>
      <c r="M158" s="6" t="s">
        <v>848</v>
      </c>
      <c r="N158" s="12" t="s">
        <v>817</v>
      </c>
      <c r="O158" s="6" t="s">
        <v>818</v>
      </c>
      <c r="P158" s="6" t="s">
        <v>2</v>
      </c>
      <c r="Q158" s="6" t="s">
        <v>20</v>
      </c>
      <c r="R158" s="12"/>
      <c r="S158" s="12"/>
      <c r="T158" s="12"/>
      <c r="U158" s="12"/>
      <c r="V158" s="12"/>
      <c r="W158" s="12"/>
      <c r="X158" s="6" t="str">
        <f aca="false">IF(COUNT(R158:W158)=6,SUM(R158:W158),"ko‘rilmagan")</f>
        <v>ko‘rilmagan</v>
      </c>
      <c r="Y158" s="12"/>
    </row>
    <row r="159" customFormat="false" ht="23.85" hidden="false" customHeight="false" outlineLevel="0" collapsed="false">
      <c r="A159" s="6" t="s">
        <v>1621</v>
      </c>
      <c r="B159" s="6" t="s">
        <v>167</v>
      </c>
      <c r="C159" s="6"/>
      <c r="D159" s="6" t="str">
        <f aca="false">IFERROR(INDEX(Mundarija!$D:$D,MATCH(B159,Mundarija!$A:$A,0)),"kod topilmadi")</f>
        <v>9.5. Standart protokol, xulosa va tavsiyalarni shakllantirish.</v>
      </c>
      <c r="E159" s="6" t="s">
        <v>1622</v>
      </c>
      <c r="F159" s="11" t="s">
        <v>1623</v>
      </c>
      <c r="G159" s="6" t="s">
        <v>1585</v>
      </c>
      <c r="H159" s="6" t="s">
        <v>1586</v>
      </c>
      <c r="I159" s="6" t="s">
        <v>813</v>
      </c>
      <c r="J159" s="6" t="s">
        <v>813</v>
      </c>
      <c r="K159" s="6" t="s">
        <v>814</v>
      </c>
      <c r="L159" s="6" t="s">
        <v>840</v>
      </c>
      <c r="M159" s="6" t="s">
        <v>848</v>
      </c>
      <c r="N159" s="12" t="s">
        <v>817</v>
      </c>
      <c r="O159" s="6" t="s">
        <v>818</v>
      </c>
      <c r="P159" s="6" t="s">
        <v>2</v>
      </c>
      <c r="Q159" s="6" t="s">
        <v>20</v>
      </c>
      <c r="R159" s="12"/>
      <c r="S159" s="12"/>
      <c r="T159" s="12"/>
      <c r="U159" s="12"/>
      <c r="V159" s="12"/>
      <c r="W159" s="12"/>
      <c r="X159" s="6" t="str">
        <f aca="false">IF(COUNT(R159:W159)=6,SUM(R159:W159),"ko‘rilmagan")</f>
        <v>ko‘rilmagan</v>
      </c>
      <c r="Y159" s="12"/>
    </row>
    <row r="160" customFormat="false" ht="23.85" hidden="false" customHeight="false" outlineLevel="0" collapsed="false">
      <c r="A160" s="6" t="s">
        <v>1624</v>
      </c>
      <c r="B160" s="6" t="s">
        <v>167</v>
      </c>
      <c r="C160" s="6" t="s">
        <v>179</v>
      </c>
      <c r="D160" s="6" t="str">
        <f aca="false">IFERROR(INDEX(Mundarija!$D:$D,MATCH(B160,Mundarija!$A:$A,0)),"kod topilmadi")</f>
        <v>9.5. Standart protokol, xulosa va tavsiyalarni shakllantirish.</v>
      </c>
      <c r="E160" s="6" t="s">
        <v>1625</v>
      </c>
      <c r="F160" s="11" t="s">
        <v>1626</v>
      </c>
      <c r="G160" s="6" t="s">
        <v>1195</v>
      </c>
      <c r="H160" s="6" t="s">
        <v>896</v>
      </c>
      <c r="I160" s="6" t="s">
        <v>813</v>
      </c>
      <c r="J160" s="6" t="s">
        <v>813</v>
      </c>
      <c r="K160" s="6" t="s">
        <v>814</v>
      </c>
      <c r="L160" s="6" t="s">
        <v>840</v>
      </c>
      <c r="M160" s="6" t="s">
        <v>827</v>
      </c>
      <c r="N160" s="12" t="s">
        <v>817</v>
      </c>
      <c r="O160" s="6" t="s">
        <v>818</v>
      </c>
      <c r="P160" s="6" t="s">
        <v>2</v>
      </c>
      <c r="Q160" s="6" t="s">
        <v>20</v>
      </c>
      <c r="R160" s="12"/>
      <c r="S160" s="12"/>
      <c r="T160" s="12"/>
      <c r="U160" s="12"/>
      <c r="V160" s="12"/>
      <c r="W160" s="12"/>
      <c r="X160" s="6" t="str">
        <f aca="false">IF(COUNT(R160:W160)=6,SUM(R160:W160),"ko‘rilmagan")</f>
        <v>ko‘rilmagan</v>
      </c>
      <c r="Y160" s="12"/>
    </row>
    <row r="161" customFormat="false" ht="23.85" hidden="false" customHeight="false" outlineLevel="0" collapsed="false">
      <c r="A161" s="6" t="s">
        <v>1627</v>
      </c>
      <c r="B161" s="6" t="s">
        <v>167</v>
      </c>
      <c r="C161" s="6" t="s">
        <v>274</v>
      </c>
      <c r="D161" s="6" t="str">
        <f aca="false">IFERROR(INDEX(Mundarija!$D:$D,MATCH(B161,Mundarija!$A:$A,0)),"kod topilmadi")</f>
        <v>9.5. Standart protokol, xulosa va tavsiyalarni shakllantirish.</v>
      </c>
      <c r="E161" s="6" t="s">
        <v>1628</v>
      </c>
      <c r="F161" s="11" t="s">
        <v>1629</v>
      </c>
      <c r="G161" s="6" t="s">
        <v>1630</v>
      </c>
      <c r="H161" s="6" t="s">
        <v>1631</v>
      </c>
      <c r="I161" s="6" t="s">
        <v>813</v>
      </c>
      <c r="J161" s="6" t="s">
        <v>813</v>
      </c>
      <c r="K161" s="6" t="s">
        <v>814</v>
      </c>
      <c r="L161" s="6" t="s">
        <v>840</v>
      </c>
      <c r="M161" s="6" t="s">
        <v>827</v>
      </c>
      <c r="N161" s="12" t="s">
        <v>817</v>
      </c>
      <c r="O161" s="6" t="s">
        <v>818</v>
      </c>
      <c r="P161" s="6" t="s">
        <v>2</v>
      </c>
      <c r="Q161" s="6" t="s">
        <v>20</v>
      </c>
      <c r="R161" s="12"/>
      <c r="S161" s="12"/>
      <c r="T161" s="12"/>
      <c r="U161" s="12"/>
      <c r="V161" s="12"/>
      <c r="W161" s="12"/>
      <c r="X161" s="6" t="str">
        <f aca="false">IF(COUNT(R161:W161)=6,SUM(R161:W161),"ko‘rilmagan")</f>
        <v>ko‘rilmagan</v>
      </c>
      <c r="Y161" s="12"/>
    </row>
    <row r="162" customFormat="false" ht="23.85" hidden="false" customHeight="false" outlineLevel="0" collapsed="false">
      <c r="A162" s="6" t="s">
        <v>1632</v>
      </c>
      <c r="B162" s="6" t="s">
        <v>188</v>
      </c>
      <c r="C162" s="6"/>
      <c r="D162" s="6" t="str">
        <f aca="false">IFERROR(INDEX(Mundarija!$D:$D,MATCH(B162,Mundarija!$A:$A,0)),"kod topilmadi")</f>
        <v>10.7. Jigar elastografiyasi: ko‘rsatmalar, texnika va cheklovlar.</v>
      </c>
      <c r="E162" s="6" t="s">
        <v>1633</v>
      </c>
      <c r="F162" s="11" t="s">
        <v>1634</v>
      </c>
      <c r="G162" s="6" t="s">
        <v>1635</v>
      </c>
      <c r="H162" s="6" t="s">
        <v>1636</v>
      </c>
      <c r="I162" s="6" t="s">
        <v>813</v>
      </c>
      <c r="J162" s="6" t="s">
        <v>813</v>
      </c>
      <c r="K162" s="6" t="s">
        <v>814</v>
      </c>
      <c r="L162" s="6" t="s">
        <v>840</v>
      </c>
      <c r="M162" s="6" t="s">
        <v>827</v>
      </c>
      <c r="N162" s="12" t="s">
        <v>817</v>
      </c>
      <c r="O162" s="6" t="s">
        <v>818</v>
      </c>
      <c r="P162" s="6" t="s">
        <v>2</v>
      </c>
      <c r="Q162" s="6" t="s">
        <v>20</v>
      </c>
      <c r="R162" s="12"/>
      <c r="S162" s="12"/>
      <c r="T162" s="12"/>
      <c r="U162" s="12"/>
      <c r="V162" s="12"/>
      <c r="W162" s="12"/>
      <c r="X162" s="6" t="str">
        <f aca="false">IF(COUNT(R162:W162)=6,SUM(R162:W162),"ko‘rilmagan")</f>
        <v>ko‘rilmagan</v>
      </c>
      <c r="Y162" s="12" t="s">
        <v>1637</v>
      </c>
    </row>
    <row r="163" customFormat="false" ht="23.85" hidden="false" customHeight="false" outlineLevel="0" collapsed="false">
      <c r="A163" s="6" t="s">
        <v>1638</v>
      </c>
      <c r="B163" s="6" t="s">
        <v>206</v>
      </c>
      <c r="C163" s="6"/>
      <c r="D163" s="6" t="str">
        <f aca="false">IFERROR(INDEX(Mundarija!$D:$D,MATCH(B163,Mundarija!$A:$A,0)),"kod topilmadi")</f>
        <v>11.6. Umumiy o‘t yo‘li (CBD)ni turli kesimlarda topish va tekshirish.</v>
      </c>
      <c r="E163" s="6" t="s">
        <v>1639</v>
      </c>
      <c r="F163" s="11" t="s">
        <v>1640</v>
      </c>
      <c r="G163" s="6" t="s">
        <v>1641</v>
      </c>
      <c r="H163" s="6" t="s">
        <v>1642</v>
      </c>
      <c r="I163" s="6" t="s">
        <v>813</v>
      </c>
      <c r="J163" s="6" t="s">
        <v>813</v>
      </c>
      <c r="K163" s="6" t="s">
        <v>814</v>
      </c>
      <c r="L163" s="6" t="s">
        <v>840</v>
      </c>
      <c r="M163" s="6" t="s">
        <v>827</v>
      </c>
      <c r="N163" s="12" t="s">
        <v>817</v>
      </c>
      <c r="O163" s="6" t="s">
        <v>818</v>
      </c>
      <c r="P163" s="6" t="s">
        <v>2</v>
      </c>
      <c r="Q163" s="6" t="s">
        <v>20</v>
      </c>
      <c r="R163" s="12"/>
      <c r="S163" s="12"/>
      <c r="T163" s="12"/>
      <c r="U163" s="12"/>
      <c r="V163" s="12"/>
      <c r="W163" s="12"/>
      <c r="X163" s="6" t="str">
        <f aca="false">IF(COUNT(R163:W163)=6,SUM(R163:W163),"ko‘rilmagan")</f>
        <v>ko‘rilmagan</v>
      </c>
      <c r="Y163" s="12" t="s">
        <v>1637</v>
      </c>
    </row>
    <row r="164" customFormat="false" ht="23.85" hidden="false" customHeight="false" outlineLevel="0" collapsed="false">
      <c r="A164" s="6" t="s">
        <v>1643</v>
      </c>
      <c r="B164" s="6" t="s">
        <v>206</v>
      </c>
      <c r="C164" s="6"/>
      <c r="D164" s="6" t="str">
        <f aca="false">IFERROR(INDEX(Mundarija!$D:$D,MATCH(B164,Mundarija!$A:$A,0)),"kod topilmadi")</f>
        <v>11.6. Umumiy o‘t yo‘li (CBD)ni turli kesimlarda topish va tekshirish.</v>
      </c>
      <c r="E164" s="6" t="s">
        <v>1644</v>
      </c>
      <c r="F164" s="11" t="s">
        <v>1645</v>
      </c>
      <c r="G164" s="6" t="s">
        <v>823</v>
      </c>
      <c r="H164" s="6" t="s">
        <v>824</v>
      </c>
      <c r="I164" s="6" t="s">
        <v>813</v>
      </c>
      <c r="J164" s="6" t="s">
        <v>813</v>
      </c>
      <c r="K164" s="6" t="s">
        <v>814</v>
      </c>
      <c r="L164" s="6" t="s">
        <v>840</v>
      </c>
      <c r="M164" s="6" t="s">
        <v>827</v>
      </c>
      <c r="N164" s="12" t="s">
        <v>817</v>
      </c>
      <c r="O164" s="6" t="s">
        <v>818</v>
      </c>
      <c r="P164" s="6" t="s">
        <v>2</v>
      </c>
      <c r="Q164" s="6" t="s">
        <v>20</v>
      </c>
      <c r="R164" s="12"/>
      <c r="S164" s="12"/>
      <c r="T164" s="12"/>
      <c r="U164" s="12"/>
      <c r="V164" s="12"/>
      <c r="W164" s="12"/>
      <c r="X164" s="6" t="str">
        <f aca="false">IF(COUNT(R164:W164)=6,SUM(R164:W164),"ko‘rilmagan")</f>
        <v>ko‘rilmagan</v>
      </c>
      <c r="Y164" s="12" t="s">
        <v>1637</v>
      </c>
    </row>
    <row r="165" customFormat="false" ht="23.85" hidden="false" customHeight="false" outlineLevel="0" collapsed="false">
      <c r="A165" s="6" t="s">
        <v>1646</v>
      </c>
      <c r="B165" s="6" t="s">
        <v>245</v>
      </c>
      <c r="C165" s="6"/>
      <c r="D165" s="6" t="str">
        <f aca="false">IFERROR(INDEX(Mundarija!$D:$D,MATCH(B165,Mundarija!$A:$A,0)),"kod topilmadi")</f>
        <v>14.7. Buyrak transplantatini tekshirish.</v>
      </c>
      <c r="E165" s="6" t="s">
        <v>1647</v>
      </c>
      <c r="F165" s="11" t="s">
        <v>1648</v>
      </c>
      <c r="G165" s="6" t="s">
        <v>1195</v>
      </c>
      <c r="H165" s="6" t="s">
        <v>896</v>
      </c>
      <c r="I165" s="6" t="s">
        <v>813</v>
      </c>
      <c r="J165" s="6" t="s">
        <v>813</v>
      </c>
      <c r="K165" s="6" t="s">
        <v>814</v>
      </c>
      <c r="L165" s="6" t="s">
        <v>840</v>
      </c>
      <c r="M165" s="6" t="s">
        <v>1649</v>
      </c>
      <c r="N165" s="12" t="s">
        <v>817</v>
      </c>
      <c r="O165" s="6" t="s">
        <v>818</v>
      </c>
      <c r="P165" s="6" t="s">
        <v>2</v>
      </c>
      <c r="Q165" s="6" t="s">
        <v>20</v>
      </c>
      <c r="R165" s="12"/>
      <c r="S165" s="12"/>
      <c r="T165" s="12"/>
      <c r="U165" s="12"/>
      <c r="V165" s="12"/>
      <c r="W165" s="12"/>
      <c r="X165" s="6" t="str">
        <f aca="false">IF(COUNT(R165:W165)=6,SUM(R165:W165),"ko‘rilmagan")</f>
        <v>ko‘rilmagan</v>
      </c>
      <c r="Y165" s="12" t="s">
        <v>1637</v>
      </c>
    </row>
    <row r="166" customFormat="false" ht="23.85" hidden="false" customHeight="false" outlineLevel="0" collapsed="false">
      <c r="A166" s="6" t="s">
        <v>1650</v>
      </c>
      <c r="B166" s="6" t="s">
        <v>260</v>
      </c>
      <c r="C166" s="6"/>
      <c r="D166" s="6" t="str">
        <f aca="false">IFERROR(INDEX(Mundarija!$D:$D,MATCH(B166,Mundarija!$A:$A,0)),"kod topilmadi")</f>
        <v>15.4. Erkin suyuqlik, peritoneal va mezenterial o‘zgarishlar.</v>
      </c>
      <c r="E166" s="6" t="s">
        <v>1651</v>
      </c>
      <c r="F166" s="11" t="s">
        <v>1652</v>
      </c>
      <c r="G166" s="6" t="s">
        <v>1653</v>
      </c>
      <c r="H166" s="6" t="s">
        <v>1654</v>
      </c>
      <c r="I166" s="6" t="s">
        <v>813</v>
      </c>
      <c r="J166" s="6" t="s">
        <v>813</v>
      </c>
      <c r="K166" s="6" t="s">
        <v>814</v>
      </c>
      <c r="L166" s="6" t="s">
        <v>815</v>
      </c>
      <c r="M166" s="6" t="s">
        <v>827</v>
      </c>
      <c r="N166" s="12" t="s">
        <v>817</v>
      </c>
      <c r="O166" s="6" t="s">
        <v>818</v>
      </c>
      <c r="P166" s="6" t="s">
        <v>2</v>
      </c>
      <c r="Q166" s="6" t="s">
        <v>20</v>
      </c>
      <c r="R166" s="12"/>
      <c r="S166" s="12"/>
      <c r="T166" s="12"/>
      <c r="U166" s="12"/>
      <c r="V166" s="12"/>
      <c r="W166" s="12"/>
      <c r="X166" s="6" t="str">
        <f aca="false">IF(COUNT(R166:W166)=6,SUM(R166:W166),"ko‘rilmagan")</f>
        <v>ko‘rilmagan</v>
      </c>
      <c r="Y166" s="12" t="s">
        <v>1637</v>
      </c>
    </row>
    <row r="167" customFormat="false" ht="23.85" hidden="false" customHeight="false" outlineLevel="0" collapsed="false">
      <c r="A167" s="6" t="s">
        <v>1655</v>
      </c>
      <c r="B167" s="6" t="s">
        <v>276</v>
      </c>
      <c r="C167" s="6"/>
      <c r="D167" s="6" t="str">
        <f aca="false">IFERROR(INDEX(Mundarija!$D:$D,MATCH(B167,Mundarija!$A:$A,0)),"kod topilmadi")</f>
        <v>16.3. Hayz sikli davomida endometriy va tuxumdon o‘zgarishlari.</v>
      </c>
      <c r="E167" s="6" t="s">
        <v>1656</v>
      </c>
      <c r="F167" s="11" t="s">
        <v>1657</v>
      </c>
      <c r="G167" s="6" t="s">
        <v>1195</v>
      </c>
      <c r="H167" s="6" t="s">
        <v>896</v>
      </c>
      <c r="I167" s="6" t="s">
        <v>813</v>
      </c>
      <c r="J167" s="6" t="s">
        <v>813</v>
      </c>
      <c r="K167" s="6" t="s">
        <v>814</v>
      </c>
      <c r="L167" s="6" t="s">
        <v>815</v>
      </c>
      <c r="M167" s="6" t="s">
        <v>898</v>
      </c>
      <c r="N167" s="12" t="s">
        <v>817</v>
      </c>
      <c r="O167" s="6" t="s">
        <v>818</v>
      </c>
      <c r="P167" s="6" t="s">
        <v>2</v>
      </c>
      <c r="Q167" s="6" t="s">
        <v>20</v>
      </c>
      <c r="R167" s="12"/>
      <c r="S167" s="12"/>
      <c r="T167" s="12"/>
      <c r="U167" s="12"/>
      <c r="V167" s="12"/>
      <c r="W167" s="12"/>
      <c r="X167" s="6" t="str">
        <f aca="false">IF(COUNT(R167:W167)=6,SUM(R167:W167),"ko‘rilmagan")</f>
        <v>ko‘rilmagan</v>
      </c>
      <c r="Y167" s="12"/>
    </row>
    <row r="168" customFormat="false" ht="23.85" hidden="false" customHeight="false" outlineLevel="0" collapsed="false">
      <c r="A168" s="6" t="s">
        <v>1658</v>
      </c>
      <c r="B168" s="6" t="s">
        <v>276</v>
      </c>
      <c r="C168" s="6"/>
      <c r="D168" s="6" t="str">
        <f aca="false">IFERROR(INDEX(Mundarija!$D:$D,MATCH(B168,Mundarija!$A:$A,0)),"kod topilmadi")</f>
        <v>16.3. Hayz sikli davomida endometriy va tuxumdon o‘zgarishlari.</v>
      </c>
      <c r="E168" s="6" t="s">
        <v>1659</v>
      </c>
      <c r="F168" s="11" t="s">
        <v>1660</v>
      </c>
      <c r="G168" s="6" t="s">
        <v>1661</v>
      </c>
      <c r="H168" s="6" t="s">
        <v>1662</v>
      </c>
      <c r="I168" s="6" t="s">
        <v>813</v>
      </c>
      <c r="J168" s="6" t="s">
        <v>813</v>
      </c>
      <c r="K168" s="6" t="s">
        <v>814</v>
      </c>
      <c r="L168" s="6" t="s">
        <v>840</v>
      </c>
      <c r="M168" s="6" t="s">
        <v>1649</v>
      </c>
      <c r="N168" s="12" t="s">
        <v>817</v>
      </c>
      <c r="O168" s="6" t="s">
        <v>818</v>
      </c>
      <c r="P168" s="6" t="s">
        <v>2</v>
      </c>
      <c r="Q168" s="6" t="s">
        <v>20</v>
      </c>
      <c r="R168" s="12"/>
      <c r="S168" s="12"/>
      <c r="T168" s="12"/>
      <c r="U168" s="12"/>
      <c r="V168" s="12"/>
      <c r="W168" s="12"/>
      <c r="X168" s="6" t="str">
        <f aca="false">IF(COUNT(R168:W168)=6,SUM(R168:W168),"ko‘rilmagan")</f>
        <v>ko‘rilmagan</v>
      </c>
      <c r="Y168" s="12"/>
    </row>
    <row r="169" customFormat="false" ht="23.85" hidden="false" customHeight="false" outlineLevel="0" collapsed="false">
      <c r="A169" s="6" t="s">
        <v>1663</v>
      </c>
      <c r="B169" s="6" t="s">
        <v>278</v>
      </c>
      <c r="C169" s="6"/>
      <c r="D169" s="6" t="str">
        <f aca="false">IFERROR(INDEX(Mundarija!$D:$D,MATCH(B169,Mundarija!$A:$A,0)),"kod topilmadi")</f>
        <v>16.4. Mioma, adenomioz va endometrial patologiyalar.</v>
      </c>
      <c r="E169" s="6" t="s">
        <v>1664</v>
      </c>
      <c r="F169" s="11" t="s">
        <v>1665</v>
      </c>
      <c r="G169" s="6" t="s">
        <v>1630</v>
      </c>
      <c r="H169" s="6" t="s">
        <v>1631</v>
      </c>
      <c r="I169" s="6" t="s">
        <v>813</v>
      </c>
      <c r="J169" s="6" t="s">
        <v>813</v>
      </c>
      <c r="K169" s="6" t="s">
        <v>814</v>
      </c>
      <c r="L169" s="6" t="s">
        <v>840</v>
      </c>
      <c r="M169" s="6" t="s">
        <v>848</v>
      </c>
      <c r="N169" s="12" t="s">
        <v>817</v>
      </c>
      <c r="O169" s="6" t="s">
        <v>818</v>
      </c>
      <c r="P169" s="6" t="s">
        <v>2</v>
      </c>
      <c r="Q169" s="6" t="s">
        <v>20</v>
      </c>
      <c r="R169" s="12"/>
      <c r="S169" s="12"/>
      <c r="T169" s="12"/>
      <c r="U169" s="12"/>
      <c r="V169" s="12"/>
      <c r="W169" s="12"/>
      <c r="X169" s="6" t="str">
        <f aca="false">IF(COUNT(R169:W169)=6,SUM(R169:W169),"ko‘rilmagan")</f>
        <v>ko‘rilmagan</v>
      </c>
      <c r="Y169" s="12"/>
    </row>
    <row r="170" customFormat="false" ht="23.85" hidden="false" customHeight="false" outlineLevel="0" collapsed="false">
      <c r="A170" s="6" t="s">
        <v>1666</v>
      </c>
      <c r="B170" s="6" t="s">
        <v>278</v>
      </c>
      <c r="C170" s="6"/>
      <c r="D170" s="6" t="str">
        <f aca="false">IFERROR(INDEX(Mundarija!$D:$D,MATCH(B170,Mundarija!$A:$A,0)),"kod topilmadi")</f>
        <v>16.4. Mioma, adenomioz va endometrial patologiyalar.</v>
      </c>
      <c r="E170" s="6" t="s">
        <v>1667</v>
      </c>
      <c r="F170" s="11" t="s">
        <v>1668</v>
      </c>
      <c r="G170" s="6" t="s">
        <v>1205</v>
      </c>
      <c r="H170" s="6" t="s">
        <v>1669</v>
      </c>
      <c r="I170" s="6" t="s">
        <v>813</v>
      </c>
      <c r="J170" s="6" t="s">
        <v>813</v>
      </c>
      <c r="K170" s="6" t="s">
        <v>814</v>
      </c>
      <c r="L170" s="6" t="s">
        <v>840</v>
      </c>
      <c r="M170" s="6" t="s">
        <v>1649</v>
      </c>
      <c r="N170" s="12" t="s">
        <v>817</v>
      </c>
      <c r="O170" s="6" t="s">
        <v>818</v>
      </c>
      <c r="P170" s="6" t="s">
        <v>2</v>
      </c>
      <c r="Q170" s="6" t="s">
        <v>20</v>
      </c>
      <c r="R170" s="12"/>
      <c r="S170" s="12"/>
      <c r="T170" s="12"/>
      <c r="U170" s="12"/>
      <c r="V170" s="12"/>
      <c r="W170" s="12"/>
      <c r="X170" s="6" t="str">
        <f aca="false">IF(COUNT(R170:W170)=6,SUM(R170:W170),"ko‘rilmagan")</f>
        <v>ko‘rilmagan</v>
      </c>
      <c r="Y170" s="12"/>
    </row>
    <row r="171" customFormat="false" ht="23.85" hidden="false" customHeight="false" outlineLevel="0" collapsed="false">
      <c r="A171" s="6" t="s">
        <v>1670</v>
      </c>
      <c r="B171" s="6" t="s">
        <v>280</v>
      </c>
      <c r="C171" s="6"/>
      <c r="D171" s="6" t="str">
        <f aca="false">IFERROR(INDEX(Mundarija!$D:$D,MATCH(B171,Mundarija!$A:$A,0)),"kod topilmadi")</f>
        <v>16.5. Tuxumdon kistalari va adneksal hosilalar.</v>
      </c>
      <c r="E171" s="6" t="s">
        <v>1671</v>
      </c>
      <c r="F171" s="11" t="s">
        <v>1672</v>
      </c>
      <c r="G171" s="6" t="s">
        <v>1195</v>
      </c>
      <c r="H171" s="6" t="s">
        <v>896</v>
      </c>
      <c r="I171" s="6" t="s">
        <v>813</v>
      </c>
      <c r="J171" s="6" t="s">
        <v>813</v>
      </c>
      <c r="K171" s="6" t="s">
        <v>814</v>
      </c>
      <c r="L171" s="6" t="s">
        <v>840</v>
      </c>
      <c r="M171" s="6" t="s">
        <v>898</v>
      </c>
      <c r="N171" s="12" t="s">
        <v>817</v>
      </c>
      <c r="O171" s="6" t="s">
        <v>818</v>
      </c>
      <c r="P171" s="6" t="s">
        <v>2</v>
      </c>
      <c r="Q171" s="6" t="s">
        <v>20</v>
      </c>
      <c r="R171" s="12"/>
      <c r="S171" s="12"/>
      <c r="T171" s="12"/>
      <c r="U171" s="12"/>
      <c r="V171" s="12"/>
      <c r="W171" s="12"/>
      <c r="X171" s="6" t="str">
        <f aca="false">IF(COUNT(R171:W171)=6,SUM(R171:W171),"ko‘rilmagan")</f>
        <v>ko‘rilmagan</v>
      </c>
      <c r="Y171" s="12"/>
    </row>
    <row r="172" customFormat="false" ht="23.85" hidden="false" customHeight="false" outlineLevel="0" collapsed="false">
      <c r="A172" s="6" t="s">
        <v>1673</v>
      </c>
      <c r="B172" s="6" t="s">
        <v>280</v>
      </c>
      <c r="C172" s="6" t="s">
        <v>284</v>
      </c>
      <c r="D172" s="6" t="str">
        <f aca="false">IFERROR(INDEX(Mundarija!$D:$D,MATCH(B172,Mundarija!$A:$A,0)),"kod topilmadi")</f>
        <v>16.5. Tuxumdon kistalari va adneksal hosilalar.</v>
      </c>
      <c r="E172" s="6" t="s">
        <v>1674</v>
      </c>
      <c r="F172" s="11" t="s">
        <v>1675</v>
      </c>
      <c r="G172" s="6" t="s">
        <v>1205</v>
      </c>
      <c r="H172" s="6" t="s">
        <v>1669</v>
      </c>
      <c r="I172" s="6" t="s">
        <v>813</v>
      </c>
      <c r="J172" s="6" t="s">
        <v>813</v>
      </c>
      <c r="K172" s="6" t="s">
        <v>814</v>
      </c>
      <c r="L172" s="6" t="s">
        <v>840</v>
      </c>
      <c r="M172" s="6" t="s">
        <v>1649</v>
      </c>
      <c r="N172" s="12" t="s">
        <v>817</v>
      </c>
      <c r="O172" s="6" t="s">
        <v>818</v>
      </c>
      <c r="P172" s="6" t="s">
        <v>2</v>
      </c>
      <c r="Q172" s="6" t="s">
        <v>20</v>
      </c>
      <c r="R172" s="12"/>
      <c r="S172" s="12"/>
      <c r="T172" s="12"/>
      <c r="U172" s="12"/>
      <c r="V172" s="12"/>
      <c r="W172" s="12"/>
      <c r="X172" s="6" t="str">
        <f aca="false">IF(COUNT(R172:W172)=6,SUM(R172:W172),"ko‘rilmagan")</f>
        <v>ko‘rilmagan</v>
      </c>
      <c r="Y172" s="12"/>
    </row>
    <row r="173" customFormat="false" ht="23.85" hidden="false" customHeight="false" outlineLevel="0" collapsed="false">
      <c r="A173" s="6" t="s">
        <v>1676</v>
      </c>
      <c r="B173" s="6" t="s">
        <v>280</v>
      </c>
      <c r="C173" s="6"/>
      <c r="D173" s="6" t="str">
        <f aca="false">IFERROR(INDEX(Mundarija!$D:$D,MATCH(B173,Mundarija!$A:$A,0)),"kod topilmadi")</f>
        <v>16.5. Tuxumdon kistalari va adneksal hosilalar.</v>
      </c>
      <c r="E173" s="6" t="s">
        <v>1677</v>
      </c>
      <c r="F173" s="11" t="s">
        <v>1678</v>
      </c>
      <c r="G173" s="6" t="s">
        <v>1378</v>
      </c>
      <c r="H173" s="6" t="s">
        <v>846</v>
      </c>
      <c r="I173" s="6" t="s">
        <v>813</v>
      </c>
      <c r="J173" s="6" t="s">
        <v>813</v>
      </c>
      <c r="K173" s="6" t="s">
        <v>814</v>
      </c>
      <c r="L173" s="6" t="s">
        <v>840</v>
      </c>
      <c r="M173" s="6" t="s">
        <v>848</v>
      </c>
      <c r="N173" s="12" t="s">
        <v>817</v>
      </c>
      <c r="O173" s="6" t="s">
        <v>818</v>
      </c>
      <c r="P173" s="6" t="s">
        <v>2</v>
      </c>
      <c r="Q173" s="6" t="s">
        <v>20</v>
      </c>
      <c r="R173" s="12"/>
      <c r="S173" s="12"/>
      <c r="T173" s="12"/>
      <c r="U173" s="12"/>
      <c r="V173" s="12"/>
      <c r="W173" s="12"/>
      <c r="X173" s="6" t="str">
        <f aca="false">IF(COUNT(R173:W173)=6,SUM(R173:W173),"ko‘rilmagan")</f>
        <v>ko‘rilmagan</v>
      </c>
      <c r="Y173" s="12"/>
    </row>
    <row r="174" customFormat="false" ht="23.85" hidden="false" customHeight="false" outlineLevel="0" collapsed="false">
      <c r="A174" s="6" t="s">
        <v>1679</v>
      </c>
      <c r="B174" s="6" t="s">
        <v>284</v>
      </c>
      <c r="C174" s="6"/>
      <c r="D174" s="6" t="str">
        <f aca="false">IFERROR(INDEX(Mundarija!$D:$D,MATCH(B174,Mundarija!$A:$A,0)),"kod topilmadi")</f>
        <v>16.7. Endometrioz, chanoq yallig‘lanish kasalliklari va gidrosalpinks.</v>
      </c>
      <c r="E174" s="6" t="s">
        <v>1680</v>
      </c>
      <c r="F174" s="11" t="s">
        <v>1681</v>
      </c>
      <c r="G174" s="6" t="s">
        <v>1682</v>
      </c>
      <c r="H174" s="6" t="s">
        <v>1683</v>
      </c>
      <c r="I174" s="6" t="s">
        <v>813</v>
      </c>
      <c r="J174" s="6" t="s">
        <v>813</v>
      </c>
      <c r="K174" s="6" t="s">
        <v>814</v>
      </c>
      <c r="L174" s="6" t="s">
        <v>1684</v>
      </c>
      <c r="M174" s="6" t="s">
        <v>848</v>
      </c>
      <c r="N174" s="12" t="s">
        <v>817</v>
      </c>
      <c r="O174" s="6" t="s">
        <v>818</v>
      </c>
      <c r="P174" s="6" t="s">
        <v>2</v>
      </c>
      <c r="Q174" s="6" t="s">
        <v>20</v>
      </c>
      <c r="R174" s="12"/>
      <c r="S174" s="12"/>
      <c r="T174" s="12"/>
      <c r="U174" s="12"/>
      <c r="V174" s="12"/>
      <c r="W174" s="12"/>
      <c r="X174" s="6" t="str">
        <f aca="false">IF(COUNT(R174:W174)=6,SUM(R174:W174),"ko‘rilmagan")</f>
        <v>ko‘rilmagan</v>
      </c>
      <c r="Y174" s="12"/>
    </row>
    <row r="175" customFormat="false" ht="23.85" hidden="false" customHeight="false" outlineLevel="0" collapsed="false">
      <c r="A175" s="6" t="s">
        <v>1685</v>
      </c>
      <c r="B175" s="6" t="s">
        <v>284</v>
      </c>
      <c r="C175" s="6"/>
      <c r="D175" s="6" t="str">
        <f aca="false">IFERROR(INDEX(Mundarija!$D:$D,MATCH(B175,Mundarija!$A:$A,0)),"kod topilmadi")</f>
        <v>16.7. Endometrioz, chanoq yallig‘lanish kasalliklari va gidrosalpinks.</v>
      </c>
      <c r="E175" s="6" t="s">
        <v>1686</v>
      </c>
      <c r="F175" s="11" t="s">
        <v>1687</v>
      </c>
      <c r="G175" s="6" t="s">
        <v>1205</v>
      </c>
      <c r="H175" s="6" t="s">
        <v>1669</v>
      </c>
      <c r="I175" s="6" t="s">
        <v>813</v>
      </c>
      <c r="J175" s="6" t="s">
        <v>813</v>
      </c>
      <c r="K175" s="6" t="s">
        <v>814</v>
      </c>
      <c r="L175" s="6" t="s">
        <v>840</v>
      </c>
      <c r="M175" s="6" t="s">
        <v>848</v>
      </c>
      <c r="N175" s="12" t="s">
        <v>817</v>
      </c>
      <c r="O175" s="6" t="s">
        <v>818</v>
      </c>
      <c r="P175" s="6" t="s">
        <v>2</v>
      </c>
      <c r="Q175" s="6" t="s">
        <v>20</v>
      </c>
      <c r="R175" s="12"/>
      <c r="S175" s="12"/>
      <c r="T175" s="12"/>
      <c r="U175" s="12"/>
      <c r="V175" s="12"/>
      <c r="W175" s="12"/>
      <c r="X175" s="6" t="str">
        <f aca="false">IF(COUNT(R175:W175)=6,SUM(R175:W175),"ko‘rilmagan")</f>
        <v>ko‘rilmagan</v>
      </c>
      <c r="Y175" s="12"/>
    </row>
    <row r="176" customFormat="false" ht="23.85" hidden="false" customHeight="false" outlineLevel="0" collapsed="false">
      <c r="A176" s="6" t="s">
        <v>1688</v>
      </c>
      <c r="B176" s="6" t="s">
        <v>284</v>
      </c>
      <c r="C176" s="6"/>
      <c r="D176" s="6" t="str">
        <f aca="false">IFERROR(INDEX(Mundarija!$D:$D,MATCH(B176,Mundarija!$A:$A,0)),"kod topilmadi")</f>
        <v>16.7. Endometrioz, chanoq yallig‘lanish kasalliklari va gidrosalpinks.</v>
      </c>
      <c r="E176" s="6" t="s">
        <v>1689</v>
      </c>
      <c r="F176" s="11" t="s">
        <v>1690</v>
      </c>
      <c r="G176" s="6" t="s">
        <v>1205</v>
      </c>
      <c r="H176" s="6" t="s">
        <v>1669</v>
      </c>
      <c r="I176" s="6" t="s">
        <v>813</v>
      </c>
      <c r="J176" s="6" t="s">
        <v>813</v>
      </c>
      <c r="K176" s="6" t="s">
        <v>814</v>
      </c>
      <c r="L176" s="6" t="s">
        <v>840</v>
      </c>
      <c r="M176" s="6" t="s">
        <v>848</v>
      </c>
      <c r="N176" s="12" t="s">
        <v>817</v>
      </c>
      <c r="O176" s="6" t="s">
        <v>818</v>
      </c>
      <c r="P176" s="6" t="s">
        <v>2</v>
      </c>
      <c r="Q176" s="6" t="s">
        <v>20</v>
      </c>
      <c r="R176" s="12"/>
      <c r="S176" s="12"/>
      <c r="T176" s="12"/>
      <c r="U176" s="12"/>
      <c r="V176" s="12"/>
      <c r="W176" s="12"/>
      <c r="X176" s="6" t="str">
        <f aca="false">IF(COUNT(R176:W176)=6,SUM(R176:W176),"ko‘rilmagan")</f>
        <v>ko‘rilmagan</v>
      </c>
      <c r="Y176" s="12"/>
    </row>
    <row r="177" customFormat="false" ht="23.85" hidden="false" customHeight="false" outlineLevel="0" collapsed="false">
      <c r="A177" s="6" t="s">
        <v>1691</v>
      </c>
      <c r="B177" s="6" t="s">
        <v>288</v>
      </c>
      <c r="C177" s="6"/>
      <c r="D177" s="6" t="str">
        <f aca="false">IFERROR(INDEX(Mundarija!$D:$D,MATCH(B177,Mundarija!$A:$A,0)),"kod topilmadi")</f>
        <v>16.9. Kontratseptiv vositalar, jumladan bachadon ichi vositasi.</v>
      </c>
      <c r="E177" s="6" t="s">
        <v>1692</v>
      </c>
      <c r="F177" s="11" t="s">
        <v>1693</v>
      </c>
      <c r="G177" s="6" t="s">
        <v>1074</v>
      </c>
      <c r="H177" s="6" t="s">
        <v>846</v>
      </c>
      <c r="I177" s="6" t="s">
        <v>813</v>
      </c>
      <c r="J177" s="6" t="s">
        <v>813</v>
      </c>
      <c r="K177" s="6" t="s">
        <v>814</v>
      </c>
      <c r="L177" s="6" t="s">
        <v>815</v>
      </c>
      <c r="M177" s="6" t="s">
        <v>1649</v>
      </c>
      <c r="N177" s="12" t="s">
        <v>817</v>
      </c>
      <c r="O177" s="6" t="s">
        <v>818</v>
      </c>
      <c r="P177" s="6" t="s">
        <v>2</v>
      </c>
      <c r="Q177" s="6" t="s">
        <v>20</v>
      </c>
      <c r="R177" s="12"/>
      <c r="S177" s="12"/>
      <c r="T177" s="12"/>
      <c r="U177" s="12"/>
      <c r="V177" s="12"/>
      <c r="W177" s="12"/>
      <c r="X177" s="6" t="str">
        <f aca="false">IF(COUNT(R177:W177)=6,SUM(R177:W177),"ko‘rilmagan")</f>
        <v>ko‘rilmagan</v>
      </c>
      <c r="Y177" s="12"/>
    </row>
    <row r="178" customFormat="false" ht="23.85" hidden="false" customHeight="false" outlineLevel="0" collapsed="false">
      <c r="A178" s="6" t="s">
        <v>1694</v>
      </c>
      <c r="B178" s="6" t="s">
        <v>290</v>
      </c>
      <c r="C178" s="6"/>
      <c r="D178" s="6" t="str">
        <f aca="false">IFERROR(INDEX(Mundarija!$D:$D,MATCH(B178,Mundarija!$A:$A,0)),"kod topilmadi")</f>
        <v>16.10. Bolalar va o‘smirlar ginekologiyasi.</v>
      </c>
      <c r="E178" s="6" t="s">
        <v>1695</v>
      </c>
      <c r="F178" s="11" t="s">
        <v>1696</v>
      </c>
      <c r="G178" s="6" t="s">
        <v>1697</v>
      </c>
      <c r="H178" s="6" t="s">
        <v>1698</v>
      </c>
      <c r="I178" s="6" t="s">
        <v>813</v>
      </c>
      <c r="J178" s="6" t="s">
        <v>813</v>
      </c>
      <c r="K178" s="6" t="s">
        <v>814</v>
      </c>
      <c r="L178" s="6" t="s">
        <v>840</v>
      </c>
      <c r="M178" s="6" t="s">
        <v>848</v>
      </c>
      <c r="N178" s="12" t="s">
        <v>817</v>
      </c>
      <c r="O178" s="6" t="s">
        <v>818</v>
      </c>
      <c r="P178" s="6" t="s">
        <v>2</v>
      </c>
      <c r="Q178" s="6" t="s">
        <v>20</v>
      </c>
      <c r="R178" s="12"/>
      <c r="S178" s="12"/>
      <c r="T178" s="12"/>
      <c r="U178" s="12"/>
      <c r="V178" s="12"/>
      <c r="W178" s="12"/>
      <c r="X178" s="6" t="str">
        <f aca="false">IF(COUNT(R178:W178)=6,SUM(R178:W178),"ko‘rilmagan")</f>
        <v>ko‘rilmagan</v>
      </c>
      <c r="Y178" s="12"/>
    </row>
    <row r="179" customFormat="false" ht="23.85" hidden="false" customHeight="false" outlineLevel="0" collapsed="false">
      <c r="A179" s="6" t="s">
        <v>1699</v>
      </c>
      <c r="B179" s="6" t="s">
        <v>290</v>
      </c>
      <c r="C179" s="6"/>
      <c r="D179" s="6" t="str">
        <f aca="false">IFERROR(INDEX(Mundarija!$D:$D,MATCH(B179,Mundarija!$A:$A,0)),"kod topilmadi")</f>
        <v>16.10. Bolalar va o‘smirlar ginekologiyasi.</v>
      </c>
      <c r="E179" s="6" t="s">
        <v>1700</v>
      </c>
      <c r="F179" s="11" t="s">
        <v>1701</v>
      </c>
      <c r="G179" s="6" t="s">
        <v>1702</v>
      </c>
      <c r="H179" s="6" t="s">
        <v>1703</v>
      </c>
      <c r="I179" s="6" t="s">
        <v>813</v>
      </c>
      <c r="J179" s="6" t="s">
        <v>813</v>
      </c>
      <c r="K179" s="6" t="s">
        <v>814</v>
      </c>
      <c r="L179" s="6" t="s">
        <v>840</v>
      </c>
      <c r="M179" s="6" t="s">
        <v>848</v>
      </c>
      <c r="N179" s="12" t="s">
        <v>817</v>
      </c>
      <c r="O179" s="6" t="s">
        <v>818</v>
      </c>
      <c r="P179" s="6" t="s">
        <v>2</v>
      </c>
      <c r="Q179" s="6" t="s">
        <v>20</v>
      </c>
      <c r="R179" s="12"/>
      <c r="S179" s="12"/>
      <c r="T179" s="12"/>
      <c r="U179" s="12"/>
      <c r="V179" s="12"/>
      <c r="W179" s="12"/>
      <c r="X179" s="6" t="str">
        <f aca="false">IF(COUNT(R179:W179)=6,SUM(R179:W179),"ko‘rilmagan")</f>
        <v>ko‘rilmagan</v>
      </c>
      <c r="Y179" s="12"/>
    </row>
    <row r="180" customFormat="false" ht="23.85" hidden="false" customHeight="false" outlineLevel="0" collapsed="false">
      <c r="A180" s="6" t="s">
        <v>1704</v>
      </c>
      <c r="B180" s="6" t="s">
        <v>292</v>
      </c>
      <c r="C180" s="6"/>
      <c r="D180" s="6" t="str">
        <f aca="false">IFERROR(INDEX(Mundarija!$D:$D,MATCH(B180,Mundarija!$A:$A,0)),"kod topilmadi")</f>
        <v>17.1. Moyak va epididimis anatomiyasi.</v>
      </c>
      <c r="E180" s="6" t="s">
        <v>1705</v>
      </c>
      <c r="F180" s="11" t="s">
        <v>1706</v>
      </c>
      <c r="G180" s="6" t="s">
        <v>1165</v>
      </c>
      <c r="H180" s="6" t="s">
        <v>1707</v>
      </c>
      <c r="I180" s="6" t="s">
        <v>813</v>
      </c>
      <c r="J180" s="6" t="s">
        <v>813</v>
      </c>
      <c r="K180" s="6" t="s">
        <v>814</v>
      </c>
      <c r="L180" s="6" t="s">
        <v>815</v>
      </c>
      <c r="M180" s="6" t="s">
        <v>848</v>
      </c>
      <c r="N180" s="12" t="s">
        <v>817</v>
      </c>
      <c r="O180" s="6" t="s">
        <v>818</v>
      </c>
      <c r="P180" s="6" t="s">
        <v>2</v>
      </c>
      <c r="Q180" s="6" t="s">
        <v>20</v>
      </c>
      <c r="R180" s="12"/>
      <c r="S180" s="12"/>
      <c r="T180" s="12"/>
      <c r="U180" s="12"/>
      <c r="V180" s="12"/>
      <c r="W180" s="12"/>
      <c r="X180" s="6" t="str">
        <f aca="false">IF(COUNT(R180:W180)=6,SUM(R180:W180),"ko‘rilmagan")</f>
        <v>ko‘rilmagan</v>
      </c>
      <c r="Y180" s="12"/>
    </row>
    <row r="181" customFormat="false" ht="23.85" hidden="false" customHeight="false" outlineLevel="0" collapsed="false">
      <c r="A181" s="6" t="s">
        <v>1708</v>
      </c>
      <c r="B181" s="6" t="s">
        <v>297</v>
      </c>
      <c r="C181" s="6"/>
      <c r="D181" s="6" t="str">
        <f aca="false">IFERROR(INDEX(Mundarija!$D:$D,MATCH(B181,Mundarija!$A:$A,0)),"kod topilmadi")</f>
        <v>17.3. Epididimit, orxit va skrotal abssess.</v>
      </c>
      <c r="E181" s="6" t="s">
        <v>1709</v>
      </c>
      <c r="F181" s="11" t="s">
        <v>1710</v>
      </c>
      <c r="G181" s="6" t="s">
        <v>1205</v>
      </c>
      <c r="H181" s="6" t="s">
        <v>1669</v>
      </c>
      <c r="I181" s="6" t="s">
        <v>813</v>
      </c>
      <c r="J181" s="6" t="s">
        <v>813</v>
      </c>
      <c r="K181" s="6" t="s">
        <v>814</v>
      </c>
      <c r="L181" s="6" t="s">
        <v>840</v>
      </c>
      <c r="M181" s="6" t="s">
        <v>848</v>
      </c>
      <c r="N181" s="12" t="s">
        <v>817</v>
      </c>
      <c r="O181" s="6" t="s">
        <v>818</v>
      </c>
      <c r="P181" s="6" t="s">
        <v>2</v>
      </c>
      <c r="Q181" s="6" t="s">
        <v>20</v>
      </c>
      <c r="R181" s="12"/>
      <c r="S181" s="12"/>
      <c r="T181" s="12"/>
      <c r="U181" s="12"/>
      <c r="V181" s="12"/>
      <c r="W181" s="12"/>
      <c r="X181" s="6" t="str">
        <f aca="false">IF(COUNT(R181:W181)=6,SUM(R181:W181),"ko‘rilmagan")</f>
        <v>ko‘rilmagan</v>
      </c>
      <c r="Y181" s="12"/>
    </row>
    <row r="182" customFormat="false" ht="23.85" hidden="false" customHeight="false" outlineLevel="0" collapsed="false">
      <c r="A182" s="6" t="s">
        <v>1711</v>
      </c>
      <c r="B182" s="6" t="s">
        <v>297</v>
      </c>
      <c r="C182" s="6"/>
      <c r="D182" s="6" t="str">
        <f aca="false">IFERROR(INDEX(Mundarija!$D:$D,MATCH(B182,Mundarija!$A:$A,0)),"kod topilmadi")</f>
        <v>17.3. Epididimit, orxit va skrotal abssess.</v>
      </c>
      <c r="E182" s="6" t="s">
        <v>1712</v>
      </c>
      <c r="F182" s="11" t="s">
        <v>1713</v>
      </c>
      <c r="G182" s="6" t="s">
        <v>1714</v>
      </c>
      <c r="H182" s="6" t="s">
        <v>1715</v>
      </c>
      <c r="I182" s="6" t="s">
        <v>813</v>
      </c>
      <c r="J182" s="6" t="s">
        <v>813</v>
      </c>
      <c r="K182" s="6" t="s">
        <v>814</v>
      </c>
      <c r="L182" s="6" t="s">
        <v>840</v>
      </c>
      <c r="M182" s="6" t="s">
        <v>848</v>
      </c>
      <c r="N182" s="12" t="s">
        <v>817</v>
      </c>
      <c r="O182" s="6" t="s">
        <v>818</v>
      </c>
      <c r="P182" s="6" t="s">
        <v>2</v>
      </c>
      <c r="Q182" s="6" t="s">
        <v>20</v>
      </c>
      <c r="R182" s="12"/>
      <c r="S182" s="12"/>
      <c r="T182" s="12"/>
      <c r="U182" s="12"/>
      <c r="V182" s="12"/>
      <c r="W182" s="12"/>
      <c r="X182" s="6" t="str">
        <f aca="false">IF(COUNT(R182:W182)=6,SUM(R182:W182),"ko‘rilmagan")</f>
        <v>ko‘rilmagan</v>
      </c>
      <c r="Y182" s="12"/>
    </row>
    <row r="183" customFormat="false" ht="23.85" hidden="false" customHeight="false" outlineLevel="0" collapsed="false">
      <c r="A183" s="6" t="s">
        <v>1716</v>
      </c>
      <c r="B183" s="6" t="s">
        <v>297</v>
      </c>
      <c r="C183" s="6"/>
      <c r="D183" s="6" t="str">
        <f aca="false">IFERROR(INDEX(Mundarija!$D:$D,MATCH(B183,Mundarija!$A:$A,0)),"kod topilmadi")</f>
        <v>17.3. Epididimit, orxit va skrotal abssess.</v>
      </c>
      <c r="E183" s="6" t="s">
        <v>1717</v>
      </c>
      <c r="F183" s="11" t="s">
        <v>1718</v>
      </c>
      <c r="G183" s="6" t="s">
        <v>1719</v>
      </c>
      <c r="H183" s="6" t="s">
        <v>1720</v>
      </c>
      <c r="I183" s="6" t="s">
        <v>813</v>
      </c>
      <c r="J183" s="6" t="s">
        <v>813</v>
      </c>
      <c r="K183" s="6" t="s">
        <v>814</v>
      </c>
      <c r="L183" s="6" t="s">
        <v>815</v>
      </c>
      <c r="M183" s="6" t="s">
        <v>827</v>
      </c>
      <c r="N183" s="12" t="s">
        <v>817</v>
      </c>
      <c r="O183" s="6" t="s">
        <v>818</v>
      </c>
      <c r="P183" s="6" t="s">
        <v>2</v>
      </c>
      <c r="Q183" s="6" t="s">
        <v>20</v>
      </c>
      <c r="R183" s="12"/>
      <c r="S183" s="12"/>
      <c r="T183" s="12"/>
      <c r="U183" s="12"/>
      <c r="V183" s="12"/>
      <c r="W183" s="12"/>
      <c r="X183" s="6" t="str">
        <f aca="false">IF(COUNT(R183:W183)=6,SUM(R183:W183),"ko‘rilmagan")</f>
        <v>ko‘rilmagan</v>
      </c>
      <c r="Y183" s="12"/>
    </row>
    <row r="184" customFormat="false" ht="23.85" hidden="false" customHeight="false" outlineLevel="0" collapsed="false">
      <c r="A184" s="6" t="s">
        <v>1721</v>
      </c>
      <c r="B184" s="6" t="s">
        <v>299</v>
      </c>
      <c r="C184" s="6"/>
      <c r="D184" s="6" t="str">
        <f aca="false">IFERROR(INDEX(Mundarija!$D:$D,MATCH(B184,Mundarija!$A:$A,0)),"kod topilmadi")</f>
        <v>17.4. Varikotsele va gidrotsele.</v>
      </c>
      <c r="E184" s="6" t="s">
        <v>1722</v>
      </c>
      <c r="F184" s="11" t="s">
        <v>1723</v>
      </c>
      <c r="G184" s="6" t="s">
        <v>1205</v>
      </c>
      <c r="H184" s="6" t="s">
        <v>1669</v>
      </c>
      <c r="I184" s="6" t="s">
        <v>813</v>
      </c>
      <c r="J184" s="6" t="s">
        <v>813</v>
      </c>
      <c r="K184" s="6" t="s">
        <v>814</v>
      </c>
      <c r="L184" s="6" t="s">
        <v>840</v>
      </c>
      <c r="M184" s="6" t="s">
        <v>848</v>
      </c>
      <c r="N184" s="12" t="s">
        <v>817</v>
      </c>
      <c r="O184" s="6" t="s">
        <v>818</v>
      </c>
      <c r="P184" s="6" t="s">
        <v>2</v>
      </c>
      <c r="Q184" s="6" t="s">
        <v>20</v>
      </c>
      <c r="R184" s="12"/>
      <c r="S184" s="12"/>
      <c r="T184" s="12"/>
      <c r="U184" s="12"/>
      <c r="V184" s="12"/>
      <c r="W184" s="12"/>
      <c r="X184" s="6" t="str">
        <f aca="false">IF(COUNT(R184:W184)=6,SUM(R184:W184),"ko‘rilmagan")</f>
        <v>ko‘rilmagan</v>
      </c>
      <c r="Y184" s="12"/>
    </row>
    <row r="185" customFormat="false" ht="23.85" hidden="false" customHeight="false" outlineLevel="0" collapsed="false">
      <c r="A185" s="6" t="s">
        <v>1724</v>
      </c>
      <c r="B185" s="6" t="s">
        <v>301</v>
      </c>
      <c r="C185" s="6" t="s">
        <v>1725</v>
      </c>
      <c r="D185" s="6" t="str">
        <f aca="false">IFERROR(INDEX(Mundarija!$D:$D,MATCH(B185,Mundarija!$A:$A,0)),"kod topilmadi")</f>
        <v>17.5. Moyak ichi va tashqarisidagi hosilalar.</v>
      </c>
      <c r="E185" s="6" t="s">
        <v>1726</v>
      </c>
      <c r="F185" s="11" t="s">
        <v>1727</v>
      </c>
      <c r="G185" s="6" t="s">
        <v>1195</v>
      </c>
      <c r="H185" s="6" t="s">
        <v>896</v>
      </c>
      <c r="I185" s="6" t="s">
        <v>813</v>
      </c>
      <c r="J185" s="6" t="s">
        <v>813</v>
      </c>
      <c r="K185" s="6" t="s">
        <v>814</v>
      </c>
      <c r="L185" s="6" t="s">
        <v>840</v>
      </c>
      <c r="M185" s="6" t="s">
        <v>898</v>
      </c>
      <c r="N185" s="12" t="s">
        <v>817</v>
      </c>
      <c r="O185" s="6" t="s">
        <v>818</v>
      </c>
      <c r="P185" s="6" t="s">
        <v>2</v>
      </c>
      <c r="Q185" s="6" t="s">
        <v>20</v>
      </c>
      <c r="R185" s="12"/>
      <c r="S185" s="12"/>
      <c r="T185" s="12"/>
      <c r="U185" s="12"/>
      <c r="V185" s="12"/>
      <c r="W185" s="12"/>
      <c r="X185" s="6" t="str">
        <f aca="false">IF(COUNT(R185:W185)=6,SUM(R185:W185),"ko‘rilmagan")</f>
        <v>ko‘rilmagan</v>
      </c>
      <c r="Y185" s="12"/>
    </row>
    <row r="186" customFormat="false" ht="23.85" hidden="false" customHeight="false" outlineLevel="0" collapsed="false">
      <c r="A186" s="6" t="s">
        <v>1728</v>
      </c>
      <c r="B186" s="6" t="s">
        <v>301</v>
      </c>
      <c r="C186" s="6"/>
      <c r="D186" s="6" t="str">
        <f aca="false">IFERROR(INDEX(Mundarija!$D:$D,MATCH(B186,Mundarija!$A:$A,0)),"kod topilmadi")</f>
        <v>17.5. Moyak ichi va tashqarisidagi hosilalar.</v>
      </c>
      <c r="E186" s="6" t="s">
        <v>1729</v>
      </c>
      <c r="F186" s="11" t="s">
        <v>1730</v>
      </c>
      <c r="G186" s="6" t="s">
        <v>1205</v>
      </c>
      <c r="H186" s="6" t="s">
        <v>1669</v>
      </c>
      <c r="I186" s="6" t="s">
        <v>813</v>
      </c>
      <c r="J186" s="6" t="s">
        <v>813</v>
      </c>
      <c r="K186" s="6" t="s">
        <v>814</v>
      </c>
      <c r="L186" s="6" t="s">
        <v>840</v>
      </c>
      <c r="M186" s="6" t="s">
        <v>1649</v>
      </c>
      <c r="N186" s="12" t="s">
        <v>817</v>
      </c>
      <c r="O186" s="6" t="s">
        <v>818</v>
      </c>
      <c r="P186" s="6" t="s">
        <v>2</v>
      </c>
      <c r="Q186" s="6" t="s">
        <v>20</v>
      </c>
      <c r="R186" s="12"/>
      <c r="S186" s="12"/>
      <c r="T186" s="12"/>
      <c r="U186" s="12"/>
      <c r="V186" s="12"/>
      <c r="W186" s="12"/>
      <c r="X186" s="6" t="str">
        <f aca="false">IF(COUNT(R186:W186)=6,SUM(R186:W186),"ko‘rilmagan")</f>
        <v>ko‘rilmagan</v>
      </c>
      <c r="Y186" s="12"/>
    </row>
    <row r="187" customFormat="false" ht="23.85" hidden="false" customHeight="false" outlineLevel="0" collapsed="false">
      <c r="A187" s="6" t="s">
        <v>1731</v>
      </c>
      <c r="B187" s="6" t="s">
        <v>303</v>
      </c>
      <c r="C187" s="6"/>
      <c r="D187" s="6" t="str">
        <f aca="false">IFERROR(INDEX(Mundarija!$D:$D,MATCH(B187,Mundarija!$A:$A,0)),"kod topilmadi")</f>
        <v>17.6. Skrotal travma.</v>
      </c>
      <c r="E187" s="6" t="s">
        <v>1732</v>
      </c>
      <c r="F187" s="11" t="s">
        <v>1733</v>
      </c>
      <c r="G187" s="6" t="s">
        <v>1734</v>
      </c>
      <c r="H187" s="6" t="s">
        <v>1735</v>
      </c>
      <c r="I187" s="6" t="s">
        <v>813</v>
      </c>
      <c r="J187" s="6" t="s">
        <v>813</v>
      </c>
      <c r="K187" s="6" t="s">
        <v>814</v>
      </c>
      <c r="L187" s="6" t="s">
        <v>840</v>
      </c>
      <c r="M187" s="6" t="s">
        <v>1649</v>
      </c>
      <c r="N187" s="12" t="s">
        <v>817</v>
      </c>
      <c r="O187" s="6" t="s">
        <v>818</v>
      </c>
      <c r="P187" s="6" t="s">
        <v>2</v>
      </c>
      <c r="Q187" s="6" t="s">
        <v>20</v>
      </c>
      <c r="R187" s="12"/>
      <c r="S187" s="12"/>
      <c r="T187" s="12"/>
      <c r="U187" s="12"/>
      <c r="V187" s="12"/>
      <c r="W187" s="12"/>
      <c r="X187" s="6" t="str">
        <f aca="false">IF(COUNT(R187:W187)=6,SUM(R187:W187),"ko‘rilmagan")</f>
        <v>ko‘rilmagan</v>
      </c>
      <c r="Y187" s="12"/>
    </row>
    <row r="188" customFormat="false" ht="23.85" hidden="false" customHeight="false" outlineLevel="0" collapsed="false">
      <c r="A188" s="6" t="s">
        <v>1736</v>
      </c>
      <c r="B188" s="6" t="s">
        <v>303</v>
      </c>
      <c r="C188" s="6"/>
      <c r="D188" s="6" t="str">
        <f aca="false">IFERROR(INDEX(Mundarija!$D:$D,MATCH(B188,Mundarija!$A:$A,0)),"kod topilmadi")</f>
        <v>17.6. Skrotal travma.</v>
      </c>
      <c r="E188" s="6" t="s">
        <v>1737</v>
      </c>
      <c r="F188" s="11" t="s">
        <v>1738</v>
      </c>
      <c r="G188" s="6" t="s">
        <v>1739</v>
      </c>
      <c r="H188" s="6" t="s">
        <v>1740</v>
      </c>
      <c r="I188" s="6" t="s">
        <v>813</v>
      </c>
      <c r="J188" s="6" t="s">
        <v>813</v>
      </c>
      <c r="K188" s="6" t="s">
        <v>814</v>
      </c>
      <c r="L188" s="6" t="s">
        <v>840</v>
      </c>
      <c r="M188" s="6" t="s">
        <v>1649</v>
      </c>
      <c r="N188" s="12" t="s">
        <v>817</v>
      </c>
      <c r="O188" s="6" t="s">
        <v>818</v>
      </c>
      <c r="P188" s="6" t="s">
        <v>2</v>
      </c>
      <c r="Q188" s="6" t="s">
        <v>20</v>
      </c>
      <c r="R188" s="12"/>
      <c r="S188" s="12"/>
      <c r="T188" s="12"/>
      <c r="U188" s="12"/>
      <c r="V188" s="12"/>
      <c r="W188" s="12"/>
      <c r="X188" s="6" t="str">
        <f aca="false">IF(COUNT(R188:W188)=6,SUM(R188:W188),"ko‘rilmagan")</f>
        <v>ko‘rilmagan</v>
      </c>
      <c r="Y188" s="12"/>
    </row>
    <row r="189" customFormat="false" ht="23.85" hidden="false" customHeight="false" outlineLevel="0" collapsed="false">
      <c r="A189" s="6" t="s">
        <v>1741</v>
      </c>
      <c r="B189" s="6" t="s">
        <v>305</v>
      </c>
      <c r="C189" s="6" t="s">
        <v>247</v>
      </c>
      <c r="D189" s="6" t="str">
        <f aca="false">IFERROR(INDEX(Mundarija!$D:$D,MATCH(B189,Mundarija!$A:$A,0)),"kod topilmadi")</f>
        <v>17.7. Prostata bezi va transabdominal/transrektal tekshiruv asoslari.</v>
      </c>
      <c r="E189" s="6" t="s">
        <v>1742</v>
      </c>
      <c r="F189" s="11" t="s">
        <v>1743</v>
      </c>
      <c r="G189" s="6" t="s">
        <v>1254</v>
      </c>
      <c r="H189" s="6" t="s">
        <v>1576</v>
      </c>
      <c r="I189" s="6" t="s">
        <v>813</v>
      </c>
      <c r="J189" s="6" t="s">
        <v>813</v>
      </c>
      <c r="K189" s="6" t="s">
        <v>814</v>
      </c>
      <c r="L189" s="6" t="s">
        <v>815</v>
      </c>
      <c r="M189" s="6" t="s">
        <v>827</v>
      </c>
      <c r="N189" s="12" t="s">
        <v>817</v>
      </c>
      <c r="O189" s="6" t="s">
        <v>818</v>
      </c>
      <c r="P189" s="6" t="s">
        <v>2</v>
      </c>
      <c r="Q189" s="6" t="s">
        <v>20</v>
      </c>
      <c r="R189" s="12"/>
      <c r="S189" s="12"/>
      <c r="T189" s="12"/>
      <c r="U189" s="12"/>
      <c r="V189" s="12"/>
      <c r="W189" s="12"/>
      <c r="X189" s="6" t="str">
        <f aca="false">IF(COUNT(R189:W189)=6,SUM(R189:W189),"ko‘rilmagan")</f>
        <v>ko‘rilmagan</v>
      </c>
      <c r="Y189" s="12"/>
    </row>
    <row r="190" customFormat="false" ht="23.85" hidden="false" customHeight="false" outlineLevel="0" collapsed="false">
      <c r="A190" s="6" t="s">
        <v>1744</v>
      </c>
      <c r="B190" s="6" t="s">
        <v>307</v>
      </c>
      <c r="C190" s="6" t="s">
        <v>305</v>
      </c>
      <c r="D190" s="6" t="str">
        <f aca="false">IFERROR(INDEX(Mundarija!$D:$D,MATCH(B190,Mundarija!$A:$A,0)),"kod topilmadi")</f>
        <v>17.8. Prostata kattalashuvi, yallig‘lanishi va o‘smalardan shubhalanish.</v>
      </c>
      <c r="E190" s="6" t="s">
        <v>1745</v>
      </c>
      <c r="F190" s="11" t="s">
        <v>1746</v>
      </c>
      <c r="G190" s="6" t="s">
        <v>1195</v>
      </c>
      <c r="H190" s="6" t="s">
        <v>896</v>
      </c>
      <c r="I190" s="6" t="s">
        <v>813</v>
      </c>
      <c r="J190" s="6" t="s">
        <v>813</v>
      </c>
      <c r="K190" s="6" t="s">
        <v>814</v>
      </c>
      <c r="L190" s="6" t="s">
        <v>840</v>
      </c>
      <c r="M190" s="6" t="s">
        <v>898</v>
      </c>
      <c r="N190" s="12" t="s">
        <v>817</v>
      </c>
      <c r="O190" s="6" t="s">
        <v>818</v>
      </c>
      <c r="P190" s="6" t="s">
        <v>2</v>
      </c>
      <c r="Q190" s="6" t="s">
        <v>20</v>
      </c>
      <c r="R190" s="12"/>
      <c r="S190" s="12"/>
      <c r="T190" s="12"/>
      <c r="U190" s="12"/>
      <c r="V190" s="12"/>
      <c r="W190" s="12"/>
      <c r="X190" s="6" t="str">
        <f aca="false">IF(COUNT(R190:W190)=6,SUM(R190:W190),"ko‘rilmagan")</f>
        <v>ko‘rilmagan</v>
      </c>
      <c r="Y190" s="12"/>
    </row>
    <row r="191" customFormat="false" ht="23.85" hidden="false" customHeight="false" outlineLevel="0" collapsed="false">
      <c r="A191" s="6" t="s">
        <v>1747</v>
      </c>
      <c r="B191" s="6" t="s">
        <v>307</v>
      </c>
      <c r="C191" s="6" t="s">
        <v>247</v>
      </c>
      <c r="D191" s="6" t="str">
        <f aca="false">IFERROR(INDEX(Mundarija!$D:$D,MATCH(B191,Mundarija!$A:$A,0)),"kod topilmadi")</f>
        <v>17.8. Prostata kattalashuvi, yallig‘lanishi va o‘smalardan shubhalanish.</v>
      </c>
      <c r="E191" s="6" t="s">
        <v>1748</v>
      </c>
      <c r="F191" s="11" t="s">
        <v>1749</v>
      </c>
      <c r="G191" s="6" t="s">
        <v>1165</v>
      </c>
      <c r="H191" s="6" t="s">
        <v>1707</v>
      </c>
      <c r="I191" s="6" t="s">
        <v>813</v>
      </c>
      <c r="J191" s="6" t="s">
        <v>813</v>
      </c>
      <c r="K191" s="6" t="s">
        <v>814</v>
      </c>
      <c r="L191" s="6" t="s">
        <v>815</v>
      </c>
      <c r="M191" s="6" t="s">
        <v>827</v>
      </c>
      <c r="N191" s="12" t="s">
        <v>817</v>
      </c>
      <c r="O191" s="6" t="s">
        <v>818</v>
      </c>
      <c r="P191" s="6" t="s">
        <v>2</v>
      </c>
      <c r="Q191" s="6" t="s">
        <v>20</v>
      </c>
      <c r="R191" s="12"/>
      <c r="S191" s="12"/>
      <c r="T191" s="12"/>
      <c r="U191" s="12"/>
      <c r="V191" s="12"/>
      <c r="W191" s="12"/>
      <c r="X191" s="6" t="str">
        <f aca="false">IF(COUNT(R191:W191)=6,SUM(R191:W191),"ko‘rilmagan")</f>
        <v>ko‘rilmagan</v>
      </c>
      <c r="Y191" s="12"/>
    </row>
    <row r="192" customFormat="false" ht="23.85" hidden="false" customHeight="false" outlineLevel="0" collapsed="false">
      <c r="A192" s="6" t="s">
        <v>1750</v>
      </c>
      <c r="B192" s="6" t="s">
        <v>309</v>
      </c>
      <c r="C192" s="6"/>
      <c r="D192" s="6" t="str">
        <f aca="false">IFERROR(INDEX(Mundarija!$D:$D,MATCH(B192,Mundarija!$A:$A,0)),"kod topilmadi")</f>
        <v>17.9. Jinsiy olat ultratovushi va maxsus Doppler tekshiruvlariga kirish.</v>
      </c>
      <c r="E192" s="6" t="s">
        <v>1751</v>
      </c>
      <c r="F192" s="11" t="s">
        <v>1752</v>
      </c>
      <c r="G192" s="6" t="s">
        <v>1272</v>
      </c>
      <c r="H192" s="6" t="s">
        <v>1753</v>
      </c>
      <c r="I192" s="6" t="s">
        <v>813</v>
      </c>
      <c r="J192" s="6" t="s">
        <v>813</v>
      </c>
      <c r="K192" s="6" t="s">
        <v>814</v>
      </c>
      <c r="L192" s="6" t="s">
        <v>1684</v>
      </c>
      <c r="M192" s="6" t="s">
        <v>848</v>
      </c>
      <c r="N192" s="12" t="s">
        <v>817</v>
      </c>
      <c r="O192" s="6" t="s">
        <v>818</v>
      </c>
      <c r="P192" s="6" t="s">
        <v>2</v>
      </c>
      <c r="Q192" s="6" t="s">
        <v>20</v>
      </c>
      <c r="R192" s="12"/>
      <c r="S192" s="12"/>
      <c r="T192" s="12"/>
      <c r="U192" s="12"/>
      <c r="V192" s="12"/>
      <c r="W192" s="12"/>
      <c r="X192" s="6" t="str">
        <f aca="false">IF(COUNT(R192:W192)=6,SUM(R192:W192),"ko‘rilmagan")</f>
        <v>ko‘rilmagan</v>
      </c>
      <c r="Y192" s="12"/>
    </row>
    <row r="193" customFormat="false" ht="23.85" hidden="false" customHeight="false" outlineLevel="0" collapsed="false">
      <c r="A193" s="6" t="s">
        <v>1754</v>
      </c>
      <c r="B193" s="6" t="s">
        <v>309</v>
      </c>
      <c r="C193" s="6"/>
      <c r="D193" s="6" t="str">
        <f aca="false">IFERROR(INDEX(Mundarija!$D:$D,MATCH(B193,Mundarija!$A:$A,0)),"kod topilmadi")</f>
        <v>17.9. Jinsiy olat ultratovushi va maxsus Doppler tekshiruvlariga kirish.</v>
      </c>
      <c r="E193" s="6" t="s">
        <v>1755</v>
      </c>
      <c r="F193" s="11" t="s">
        <v>1756</v>
      </c>
      <c r="G193" s="6" t="s">
        <v>1757</v>
      </c>
      <c r="H193" s="6" t="s">
        <v>1758</v>
      </c>
      <c r="I193" s="6" t="s">
        <v>1759</v>
      </c>
      <c r="J193" s="6" t="s">
        <v>813</v>
      </c>
      <c r="K193" s="6" t="s">
        <v>814</v>
      </c>
      <c r="L193" s="6" t="s">
        <v>1684</v>
      </c>
      <c r="M193" s="6" t="s">
        <v>827</v>
      </c>
      <c r="N193" s="12" t="s">
        <v>817</v>
      </c>
      <c r="O193" s="6" t="s">
        <v>818</v>
      </c>
      <c r="P193" s="6" t="s">
        <v>2</v>
      </c>
      <c r="Q193" s="6" t="s">
        <v>20</v>
      </c>
      <c r="R193" s="12"/>
      <c r="S193" s="12"/>
      <c r="T193" s="12"/>
      <c r="U193" s="12"/>
      <c r="V193" s="12"/>
      <c r="W193" s="12"/>
      <c r="X193" s="6" t="str">
        <f aca="false">IF(COUNT(R193:W193)=6,SUM(R193:W193),"ko‘rilmagan")</f>
        <v>ko‘rilmagan</v>
      </c>
      <c r="Y193" s="12"/>
    </row>
    <row r="194" customFormat="false" ht="23.85" hidden="false" customHeight="false" outlineLevel="0" collapsed="false">
      <c r="A194" s="6" t="s">
        <v>1760</v>
      </c>
      <c r="B194" s="6" t="s">
        <v>311</v>
      </c>
      <c r="C194" s="6" t="s">
        <v>315</v>
      </c>
      <c r="D194" s="6" t="str">
        <f aca="false">IFERROR(INDEX(Mundarija!$D:$D,MATCH(B194,Mundarija!$A:$A,0)),"kod topilmadi")</f>
        <v>18.1. Bachadon ichidagi homiladorlikni tasdiqlash.</v>
      </c>
      <c r="E194" s="6" t="s">
        <v>1761</v>
      </c>
      <c r="F194" s="11" t="s">
        <v>1762</v>
      </c>
      <c r="G194" s="6" t="s">
        <v>1165</v>
      </c>
      <c r="H194" s="6" t="s">
        <v>1707</v>
      </c>
      <c r="I194" s="6" t="s">
        <v>813</v>
      </c>
      <c r="J194" s="6" t="s">
        <v>813</v>
      </c>
      <c r="K194" s="6" t="s">
        <v>814</v>
      </c>
      <c r="L194" s="6" t="s">
        <v>815</v>
      </c>
      <c r="M194" s="6" t="s">
        <v>848</v>
      </c>
      <c r="N194" s="12" t="s">
        <v>817</v>
      </c>
      <c r="O194" s="6" t="s">
        <v>818</v>
      </c>
      <c r="P194" s="6" t="s">
        <v>2</v>
      </c>
      <c r="Q194" s="6" t="s">
        <v>20</v>
      </c>
      <c r="R194" s="12"/>
      <c r="S194" s="12"/>
      <c r="T194" s="12"/>
      <c r="U194" s="12"/>
      <c r="V194" s="12"/>
      <c r="W194" s="12"/>
      <c r="X194" s="6" t="str">
        <f aca="false">IF(COUNT(R194:W194)=6,SUM(R194:W194),"ko‘rilmagan")</f>
        <v>ko‘rilmagan</v>
      </c>
      <c r="Y194" s="12"/>
    </row>
    <row r="195" customFormat="false" ht="23.85" hidden="false" customHeight="false" outlineLevel="0" collapsed="false">
      <c r="A195" s="6" t="s">
        <v>1763</v>
      </c>
      <c r="B195" s="6" t="s">
        <v>311</v>
      </c>
      <c r="C195" s="6"/>
      <c r="D195" s="6" t="str">
        <f aca="false">IFERROR(INDEX(Mundarija!$D:$D,MATCH(B195,Mundarija!$A:$A,0)),"kod topilmadi")</f>
        <v>18.1. Bachadon ichidagi homiladorlikni tasdiqlash.</v>
      </c>
      <c r="E195" s="6" t="s">
        <v>1764</v>
      </c>
      <c r="F195" s="11" t="s">
        <v>1765</v>
      </c>
      <c r="G195" s="6" t="s">
        <v>1057</v>
      </c>
      <c r="H195" s="6" t="s">
        <v>1766</v>
      </c>
      <c r="I195" s="6" t="s">
        <v>813</v>
      </c>
      <c r="J195" s="6" t="s">
        <v>813</v>
      </c>
      <c r="K195" s="6" t="s">
        <v>814</v>
      </c>
      <c r="L195" s="6" t="s">
        <v>815</v>
      </c>
      <c r="M195" s="6" t="s">
        <v>827</v>
      </c>
      <c r="N195" s="12" t="s">
        <v>817</v>
      </c>
      <c r="O195" s="6" t="s">
        <v>818</v>
      </c>
      <c r="P195" s="6" t="s">
        <v>2</v>
      </c>
      <c r="Q195" s="6" t="s">
        <v>20</v>
      </c>
      <c r="R195" s="12"/>
      <c r="S195" s="12"/>
      <c r="T195" s="12"/>
      <c r="U195" s="12"/>
      <c r="V195" s="12"/>
      <c r="W195" s="12"/>
      <c r="X195" s="6" t="str">
        <f aca="false">IF(COUNT(R195:W195)=6,SUM(R195:W195),"ko‘rilmagan")</f>
        <v>ko‘rilmagan</v>
      </c>
      <c r="Y195" s="12"/>
    </row>
    <row r="196" customFormat="false" ht="23.85" hidden="false" customHeight="false" outlineLevel="0" collapsed="false">
      <c r="A196" s="6" t="s">
        <v>1767</v>
      </c>
      <c r="B196" s="6" t="s">
        <v>315</v>
      </c>
      <c r="C196" s="6"/>
      <c r="D196" s="6" t="str">
        <f aca="false">IFERROR(INDEX(Mundarija!$D:$D,MATCH(B196,Mundarija!$A:$A,0)),"kod topilmadi")</f>
        <v>18.2. Gestatsion xalta, sariq xalta va embrion.</v>
      </c>
      <c r="E196" s="6" t="s">
        <v>1768</v>
      </c>
      <c r="F196" s="11" t="s">
        <v>1769</v>
      </c>
      <c r="G196" s="6" t="s">
        <v>1770</v>
      </c>
      <c r="H196" s="6" t="s">
        <v>846</v>
      </c>
      <c r="I196" s="6" t="s">
        <v>813</v>
      </c>
      <c r="J196" s="6" t="s">
        <v>813</v>
      </c>
      <c r="K196" s="6" t="s">
        <v>814</v>
      </c>
      <c r="L196" s="6" t="s">
        <v>815</v>
      </c>
      <c r="M196" s="6" t="s">
        <v>1649</v>
      </c>
      <c r="N196" s="12" t="s">
        <v>817</v>
      </c>
      <c r="O196" s="6" t="s">
        <v>818</v>
      </c>
      <c r="P196" s="6" t="s">
        <v>2</v>
      </c>
      <c r="Q196" s="6" t="s">
        <v>20</v>
      </c>
      <c r="R196" s="12"/>
      <c r="S196" s="12"/>
      <c r="T196" s="12"/>
      <c r="U196" s="12"/>
      <c r="V196" s="12"/>
      <c r="W196" s="12"/>
      <c r="X196" s="6" t="str">
        <f aca="false">IF(COUNT(R196:W196)=6,SUM(R196:W196),"ko‘rilmagan")</f>
        <v>ko‘rilmagan</v>
      </c>
      <c r="Y196" s="12"/>
    </row>
    <row r="197" customFormat="false" ht="23.85" hidden="false" customHeight="false" outlineLevel="0" collapsed="false">
      <c r="A197" s="6" t="s">
        <v>1771</v>
      </c>
      <c r="B197" s="6" t="s">
        <v>315</v>
      </c>
      <c r="C197" s="6"/>
      <c r="D197" s="6" t="str">
        <f aca="false">IFERROR(INDEX(Mundarija!$D:$D,MATCH(B197,Mundarija!$A:$A,0)),"kod topilmadi")</f>
        <v>18.2. Gestatsion xalta, sariq xalta va embrion.</v>
      </c>
      <c r="E197" s="6" t="s">
        <v>1772</v>
      </c>
      <c r="F197" s="11" t="s">
        <v>1773</v>
      </c>
      <c r="G197" s="6" t="s">
        <v>1774</v>
      </c>
      <c r="H197" s="6" t="s">
        <v>1662</v>
      </c>
      <c r="I197" s="6" t="s">
        <v>813</v>
      </c>
      <c r="J197" s="6" t="s">
        <v>813</v>
      </c>
      <c r="K197" s="6" t="s">
        <v>814</v>
      </c>
      <c r="L197" s="6" t="s">
        <v>815</v>
      </c>
      <c r="M197" s="6" t="s">
        <v>848</v>
      </c>
      <c r="N197" s="12" t="s">
        <v>817</v>
      </c>
      <c r="O197" s="6" t="s">
        <v>818</v>
      </c>
      <c r="P197" s="6" t="s">
        <v>2</v>
      </c>
      <c r="Q197" s="6" t="s">
        <v>20</v>
      </c>
      <c r="R197" s="12"/>
      <c r="S197" s="12"/>
      <c r="T197" s="12"/>
      <c r="U197" s="12"/>
      <c r="V197" s="12"/>
      <c r="W197" s="12"/>
      <c r="X197" s="6" t="str">
        <f aca="false">IF(COUNT(R197:W197)=6,SUM(R197:W197),"ko‘rilmagan")</f>
        <v>ko‘rilmagan</v>
      </c>
      <c r="Y197" s="12"/>
    </row>
    <row r="198" customFormat="false" ht="23.85" hidden="false" customHeight="false" outlineLevel="0" collapsed="false">
      <c r="A198" s="6" t="s">
        <v>1775</v>
      </c>
      <c r="B198" s="6" t="s">
        <v>317</v>
      </c>
      <c r="C198" s="6"/>
      <c r="D198" s="6" t="str">
        <f aca="false">IFERROR(INDEX(Mundarija!$D:$D,MATCH(B198,Mundarija!$A:$A,0)),"kod topilmadi")</f>
        <v>18.3. CRL va homiladorlik muddatini aniqlash.</v>
      </c>
      <c r="E198" s="6" t="s">
        <v>1776</v>
      </c>
      <c r="F198" s="11" t="s">
        <v>1777</v>
      </c>
      <c r="G198" s="6" t="s">
        <v>1159</v>
      </c>
      <c r="H198" s="6" t="s">
        <v>1778</v>
      </c>
      <c r="I198" s="6" t="s">
        <v>813</v>
      </c>
      <c r="J198" s="6" t="s">
        <v>813</v>
      </c>
      <c r="K198" s="6" t="s">
        <v>814</v>
      </c>
      <c r="L198" s="6" t="s">
        <v>815</v>
      </c>
      <c r="M198" s="6" t="s">
        <v>848</v>
      </c>
      <c r="N198" s="12" t="s">
        <v>817</v>
      </c>
      <c r="O198" s="6" t="s">
        <v>818</v>
      </c>
      <c r="P198" s="6" t="s">
        <v>2</v>
      </c>
      <c r="Q198" s="6" t="s">
        <v>20</v>
      </c>
      <c r="R198" s="12"/>
      <c r="S198" s="12"/>
      <c r="T198" s="12"/>
      <c r="U198" s="12"/>
      <c r="V198" s="12"/>
      <c r="W198" s="12"/>
      <c r="X198" s="6" t="str">
        <f aca="false">IF(COUNT(R198:W198)=6,SUM(R198:W198),"ko‘rilmagan")</f>
        <v>ko‘rilmagan</v>
      </c>
      <c r="Y198" s="12"/>
    </row>
    <row r="199" customFormat="false" ht="23.85" hidden="false" customHeight="false" outlineLevel="0" collapsed="false">
      <c r="A199" s="6" t="s">
        <v>1779</v>
      </c>
      <c r="B199" s="6" t="s">
        <v>317</v>
      </c>
      <c r="C199" s="6"/>
      <c r="D199" s="6" t="str">
        <f aca="false">IFERROR(INDEX(Mundarija!$D:$D,MATCH(B199,Mundarija!$A:$A,0)),"kod topilmadi")</f>
        <v>18.3. CRL va homiladorlik muddatini aniqlash.</v>
      </c>
      <c r="E199" s="6" t="s">
        <v>1780</v>
      </c>
      <c r="F199" s="11" t="s">
        <v>1781</v>
      </c>
      <c r="G199" s="6" t="s">
        <v>1195</v>
      </c>
      <c r="H199" s="6" t="s">
        <v>896</v>
      </c>
      <c r="I199" s="6" t="s">
        <v>813</v>
      </c>
      <c r="J199" s="6" t="s">
        <v>813</v>
      </c>
      <c r="K199" s="6" t="s">
        <v>814</v>
      </c>
      <c r="L199" s="6" t="s">
        <v>815</v>
      </c>
      <c r="M199" s="6" t="s">
        <v>827</v>
      </c>
      <c r="N199" s="12" t="s">
        <v>817</v>
      </c>
      <c r="O199" s="6" t="s">
        <v>818</v>
      </c>
      <c r="P199" s="6" t="s">
        <v>2</v>
      </c>
      <c r="Q199" s="6" t="s">
        <v>20</v>
      </c>
      <c r="R199" s="12"/>
      <c r="S199" s="12"/>
      <c r="T199" s="12"/>
      <c r="U199" s="12"/>
      <c r="V199" s="12"/>
      <c r="W199" s="12"/>
      <c r="X199" s="6" t="str">
        <f aca="false">IF(COUNT(R199:W199)=6,SUM(R199:W199),"ko‘rilmagan")</f>
        <v>ko‘rilmagan</v>
      </c>
      <c r="Y199" s="12"/>
    </row>
    <row r="200" customFormat="false" ht="23.85" hidden="false" customHeight="false" outlineLevel="0" collapsed="false">
      <c r="A200" s="6" t="s">
        <v>1782</v>
      </c>
      <c r="B200" s="6" t="s">
        <v>319</v>
      </c>
      <c r="C200" s="6" t="s">
        <v>311</v>
      </c>
      <c r="D200" s="6" t="str">
        <f aca="false">IFERROR(INDEX(Mundarija!$D:$D,MATCH(B200,Mundarija!$A:$A,0)),"kod topilmadi")</f>
        <v>18.4. Yurak faoliyati va erta rivojlanishni baholash.</v>
      </c>
      <c r="E200" s="6" t="s">
        <v>1783</v>
      </c>
      <c r="F200" s="11" t="s">
        <v>1784</v>
      </c>
      <c r="G200" s="6" t="s">
        <v>845</v>
      </c>
      <c r="H200" s="6" t="s">
        <v>1785</v>
      </c>
      <c r="I200" s="6" t="s">
        <v>813</v>
      </c>
      <c r="J200" s="6" t="s">
        <v>813</v>
      </c>
      <c r="K200" s="6" t="s">
        <v>814</v>
      </c>
      <c r="L200" s="6" t="s">
        <v>815</v>
      </c>
      <c r="M200" s="6" t="s">
        <v>848</v>
      </c>
      <c r="N200" s="12" t="s">
        <v>817</v>
      </c>
      <c r="O200" s="6" t="s">
        <v>818</v>
      </c>
      <c r="P200" s="6" t="s">
        <v>2</v>
      </c>
      <c r="Q200" s="6" t="s">
        <v>20</v>
      </c>
      <c r="R200" s="12"/>
      <c r="S200" s="12"/>
      <c r="T200" s="12"/>
      <c r="U200" s="12"/>
      <c r="V200" s="12"/>
      <c r="W200" s="12"/>
      <c r="X200" s="6" t="str">
        <f aca="false">IF(COUNT(R200:W200)=6,SUM(R200:W200),"ko‘rilmagan")</f>
        <v>ko‘rilmagan</v>
      </c>
      <c r="Y200" s="12"/>
    </row>
    <row r="201" customFormat="false" ht="23.85" hidden="false" customHeight="false" outlineLevel="0" collapsed="false">
      <c r="A201" s="6" t="s">
        <v>1786</v>
      </c>
      <c r="B201" s="6" t="s">
        <v>321</v>
      </c>
      <c r="C201" s="6"/>
      <c r="D201" s="6" t="str">
        <f aca="false">IFERROR(INDEX(Mundarija!$D:$D,MATCH(B201,Mundarija!$A:$A,0)),"kod topilmadi")</f>
        <v>18.5. Homila tushishi va rivojlanmay qolgan homiladorlik mezonlari.</v>
      </c>
      <c r="E201" s="6" t="s">
        <v>1787</v>
      </c>
      <c r="F201" s="11" t="s">
        <v>1788</v>
      </c>
      <c r="G201" s="6" t="s">
        <v>1165</v>
      </c>
      <c r="H201" s="6" t="s">
        <v>1707</v>
      </c>
      <c r="I201" s="6" t="s">
        <v>813</v>
      </c>
      <c r="J201" s="6" t="s">
        <v>813</v>
      </c>
      <c r="K201" s="6" t="s">
        <v>814</v>
      </c>
      <c r="L201" s="6" t="s">
        <v>840</v>
      </c>
      <c r="M201" s="6" t="s">
        <v>848</v>
      </c>
      <c r="N201" s="12" t="s">
        <v>817</v>
      </c>
      <c r="O201" s="6" t="s">
        <v>818</v>
      </c>
      <c r="P201" s="6" t="s">
        <v>2</v>
      </c>
      <c r="Q201" s="6" t="s">
        <v>20</v>
      </c>
      <c r="R201" s="12"/>
      <c r="S201" s="12"/>
      <c r="T201" s="12"/>
      <c r="U201" s="12"/>
      <c r="V201" s="12"/>
      <c r="W201" s="12"/>
      <c r="X201" s="6" t="str">
        <f aca="false">IF(COUNT(R201:W201)=6,SUM(R201:W201),"ko‘rilmagan")</f>
        <v>ko‘rilmagan</v>
      </c>
      <c r="Y201" s="12"/>
    </row>
    <row r="202" customFormat="false" ht="23.85" hidden="false" customHeight="false" outlineLevel="0" collapsed="false">
      <c r="A202" s="6" t="s">
        <v>1789</v>
      </c>
      <c r="B202" s="6" t="s">
        <v>321</v>
      </c>
      <c r="C202" s="6"/>
      <c r="D202" s="6" t="str">
        <f aca="false">IFERROR(INDEX(Mundarija!$D:$D,MATCH(B202,Mundarija!$A:$A,0)),"kod topilmadi")</f>
        <v>18.5. Homila tushishi va rivojlanmay qolgan homiladorlik mezonlari.</v>
      </c>
      <c r="E202" s="6" t="s">
        <v>1790</v>
      </c>
      <c r="F202" s="11" t="s">
        <v>1791</v>
      </c>
      <c r="G202" s="6" t="s">
        <v>1181</v>
      </c>
      <c r="H202" s="6" t="s">
        <v>1792</v>
      </c>
      <c r="I202" s="6" t="s">
        <v>813</v>
      </c>
      <c r="J202" s="6" t="s">
        <v>813</v>
      </c>
      <c r="K202" s="6" t="s">
        <v>814</v>
      </c>
      <c r="L202" s="6" t="s">
        <v>840</v>
      </c>
      <c r="M202" s="6" t="s">
        <v>848</v>
      </c>
      <c r="N202" s="12" t="s">
        <v>817</v>
      </c>
      <c r="O202" s="6" t="s">
        <v>818</v>
      </c>
      <c r="P202" s="6" t="s">
        <v>2</v>
      </c>
      <c r="Q202" s="6" t="s">
        <v>20</v>
      </c>
      <c r="R202" s="12"/>
      <c r="S202" s="12"/>
      <c r="T202" s="12"/>
      <c r="U202" s="12"/>
      <c r="V202" s="12"/>
      <c r="W202" s="12"/>
      <c r="X202" s="6" t="str">
        <f aca="false">IF(COUNT(R202:W202)=6,SUM(R202:W202),"ko‘rilmagan")</f>
        <v>ko‘rilmagan</v>
      </c>
      <c r="Y202" s="12"/>
    </row>
    <row r="203" customFormat="false" ht="23.85" hidden="false" customHeight="false" outlineLevel="0" collapsed="false">
      <c r="A203" s="6" t="s">
        <v>1793</v>
      </c>
      <c r="B203" s="6" t="s">
        <v>326</v>
      </c>
      <c r="C203" s="6"/>
      <c r="D203" s="6" t="str">
        <f aca="false">IFERROR(INDEX(Mundarija!$D:$D,MATCH(B203,Mundarija!$A:$A,0)),"kod topilmadi")</f>
        <v>18.7. Trofoblastik kasalliklardan shubhalanish.</v>
      </c>
      <c r="E203" s="6" t="s">
        <v>1794</v>
      </c>
      <c r="F203" s="11" t="s">
        <v>1795</v>
      </c>
      <c r="G203" s="6" t="s">
        <v>1205</v>
      </c>
      <c r="H203" s="6" t="s">
        <v>1669</v>
      </c>
      <c r="I203" s="6" t="s">
        <v>813</v>
      </c>
      <c r="J203" s="6" t="s">
        <v>813</v>
      </c>
      <c r="K203" s="6" t="s">
        <v>814</v>
      </c>
      <c r="L203" s="6" t="s">
        <v>840</v>
      </c>
      <c r="M203" s="6" t="s">
        <v>1649</v>
      </c>
      <c r="N203" s="12" t="s">
        <v>817</v>
      </c>
      <c r="O203" s="6" t="s">
        <v>818</v>
      </c>
      <c r="P203" s="6" t="s">
        <v>2</v>
      </c>
      <c r="Q203" s="6" t="s">
        <v>20</v>
      </c>
      <c r="R203" s="12"/>
      <c r="S203" s="12"/>
      <c r="T203" s="12"/>
      <c r="U203" s="12"/>
      <c r="V203" s="12"/>
      <c r="W203" s="12"/>
      <c r="X203" s="6" t="str">
        <f aca="false">IF(COUNT(R203:W203)=6,SUM(R203:W203),"ko‘rilmagan")</f>
        <v>ko‘rilmagan</v>
      </c>
      <c r="Y203" s="12"/>
    </row>
    <row r="204" customFormat="false" ht="23.85" hidden="false" customHeight="false" outlineLevel="0" collapsed="false">
      <c r="A204" s="6" t="s">
        <v>1796</v>
      </c>
      <c r="B204" s="6" t="s">
        <v>326</v>
      </c>
      <c r="C204" s="6"/>
      <c r="D204" s="6" t="str">
        <f aca="false">IFERROR(INDEX(Mundarija!$D:$D,MATCH(B204,Mundarija!$A:$A,0)),"kod topilmadi")</f>
        <v>18.7. Trofoblastik kasalliklardan shubhalanish.</v>
      </c>
      <c r="E204" s="6" t="s">
        <v>1797</v>
      </c>
      <c r="F204" s="11" t="s">
        <v>1798</v>
      </c>
      <c r="G204" s="6" t="s">
        <v>1799</v>
      </c>
      <c r="H204" s="6" t="s">
        <v>846</v>
      </c>
      <c r="I204" s="6" t="s">
        <v>813</v>
      </c>
      <c r="J204" s="6" t="s">
        <v>813</v>
      </c>
      <c r="K204" s="6" t="s">
        <v>814</v>
      </c>
      <c r="L204" s="6" t="s">
        <v>840</v>
      </c>
      <c r="M204" s="6" t="s">
        <v>1649</v>
      </c>
      <c r="N204" s="12" t="s">
        <v>817</v>
      </c>
      <c r="O204" s="6" t="s">
        <v>818</v>
      </c>
      <c r="P204" s="6" t="s">
        <v>2</v>
      </c>
      <c r="Q204" s="6" t="s">
        <v>20</v>
      </c>
      <c r="R204" s="12"/>
      <c r="S204" s="12"/>
      <c r="T204" s="12"/>
      <c r="U204" s="12"/>
      <c r="V204" s="12"/>
      <c r="W204" s="12"/>
      <c r="X204" s="6" t="str">
        <f aca="false">IF(COUNT(R204:W204)=6,SUM(R204:W204),"ko‘rilmagan")</f>
        <v>ko‘rilmagan</v>
      </c>
      <c r="Y204" s="12"/>
    </row>
    <row r="205" customFormat="false" ht="23.85" hidden="false" customHeight="false" outlineLevel="0" collapsed="false">
      <c r="A205" s="6" t="s">
        <v>1800</v>
      </c>
      <c r="B205" s="6" t="s">
        <v>328</v>
      </c>
      <c r="C205" s="6" t="s">
        <v>331</v>
      </c>
      <c r="D205" s="6" t="str">
        <f aca="false">IFERROR(INDEX(Mundarija!$D:$D,MATCH(B205,Mundarija!$A:$A,0)),"kod topilmadi")</f>
        <v>19.1. 11–14 haftalik tekshiruv protokoli.</v>
      </c>
      <c r="E205" s="6" t="s">
        <v>1801</v>
      </c>
      <c r="F205" s="11" t="s">
        <v>1802</v>
      </c>
      <c r="G205" s="6" t="s">
        <v>1682</v>
      </c>
      <c r="H205" s="6" t="s">
        <v>1683</v>
      </c>
      <c r="I205" s="6" t="s">
        <v>813</v>
      </c>
      <c r="J205" s="6" t="s">
        <v>813</v>
      </c>
      <c r="K205" s="6" t="s">
        <v>814</v>
      </c>
      <c r="L205" s="6" t="s">
        <v>840</v>
      </c>
      <c r="M205" s="6" t="s">
        <v>848</v>
      </c>
      <c r="N205" s="12" t="s">
        <v>817</v>
      </c>
      <c r="O205" s="6" t="s">
        <v>818</v>
      </c>
      <c r="P205" s="6" t="s">
        <v>2</v>
      </c>
      <c r="Q205" s="6" t="s">
        <v>20</v>
      </c>
      <c r="R205" s="12"/>
      <c r="S205" s="12"/>
      <c r="T205" s="12"/>
      <c r="U205" s="12"/>
      <c r="V205" s="12"/>
      <c r="W205" s="12"/>
      <c r="X205" s="6" t="str">
        <f aca="false">IF(COUNT(R205:W205)=6,SUM(R205:W205),"ko‘rilmagan")</f>
        <v>ko‘rilmagan</v>
      </c>
      <c r="Y205" s="12"/>
    </row>
    <row r="206" customFormat="false" ht="23.85" hidden="false" customHeight="false" outlineLevel="0" collapsed="false">
      <c r="A206" s="6" t="s">
        <v>1803</v>
      </c>
      <c r="B206" s="6" t="s">
        <v>328</v>
      </c>
      <c r="C206" s="6" t="s">
        <v>331</v>
      </c>
      <c r="D206" s="6" t="str">
        <f aca="false">IFERROR(INDEX(Mundarija!$D:$D,MATCH(B206,Mundarija!$A:$A,0)),"kod topilmadi")</f>
        <v>19.1. 11–14 haftalik tekshiruv protokoli.</v>
      </c>
      <c r="E206" s="6" t="s">
        <v>1804</v>
      </c>
      <c r="F206" s="11" t="s">
        <v>1805</v>
      </c>
      <c r="G206" s="6" t="s">
        <v>1564</v>
      </c>
      <c r="H206" s="6" t="s">
        <v>1116</v>
      </c>
      <c r="I206" s="6" t="s">
        <v>813</v>
      </c>
      <c r="J206" s="6" t="s">
        <v>813</v>
      </c>
      <c r="K206" s="6" t="s">
        <v>814</v>
      </c>
      <c r="L206" s="6" t="s">
        <v>840</v>
      </c>
      <c r="M206" s="6" t="s">
        <v>848</v>
      </c>
      <c r="N206" s="12" t="s">
        <v>817</v>
      </c>
      <c r="O206" s="6" t="s">
        <v>818</v>
      </c>
      <c r="P206" s="6" t="s">
        <v>2</v>
      </c>
      <c r="Q206" s="6" t="s">
        <v>20</v>
      </c>
      <c r="R206" s="12"/>
      <c r="S206" s="12"/>
      <c r="T206" s="12"/>
      <c r="U206" s="12"/>
      <c r="V206" s="12"/>
      <c r="W206" s="12"/>
      <c r="X206" s="6" t="str">
        <f aca="false">IF(COUNT(R206:W206)=6,SUM(R206:W206),"ko‘rilmagan")</f>
        <v>ko‘rilmagan</v>
      </c>
      <c r="Y206" s="12"/>
    </row>
    <row r="207" customFormat="false" ht="23.85" hidden="false" customHeight="false" outlineLevel="0" collapsed="false">
      <c r="A207" s="6" t="s">
        <v>1806</v>
      </c>
      <c r="B207" s="6" t="s">
        <v>333</v>
      </c>
      <c r="C207" s="6"/>
      <c r="D207" s="6" t="str">
        <f aca="false">IFERROR(INDEX(Mundarija!$D:$D,MATCH(B207,Mundarija!$A:$A,0)),"kod topilmadi")</f>
        <v>19.3. Burun suyagi, venoz kanal va trikuspid oqimi — ko‘rsatmalar bo‘yicha.</v>
      </c>
      <c r="E207" s="6" t="s">
        <v>1807</v>
      </c>
      <c r="F207" s="11" t="s">
        <v>1808</v>
      </c>
      <c r="G207" s="6" t="s">
        <v>1809</v>
      </c>
      <c r="H207" s="6" t="s">
        <v>1810</v>
      </c>
      <c r="I207" s="6" t="s">
        <v>813</v>
      </c>
      <c r="J207" s="6" t="s">
        <v>813</v>
      </c>
      <c r="K207" s="6" t="s">
        <v>814</v>
      </c>
      <c r="L207" s="6" t="s">
        <v>840</v>
      </c>
      <c r="M207" s="6" t="s">
        <v>827</v>
      </c>
      <c r="N207" s="12" t="s">
        <v>817</v>
      </c>
      <c r="O207" s="6" t="s">
        <v>818</v>
      </c>
      <c r="P207" s="6" t="s">
        <v>2</v>
      </c>
      <c r="Q207" s="6" t="s">
        <v>20</v>
      </c>
      <c r="R207" s="12"/>
      <c r="S207" s="12"/>
      <c r="T207" s="12"/>
      <c r="U207" s="12"/>
      <c r="V207" s="12"/>
      <c r="W207" s="12"/>
      <c r="X207" s="6" t="str">
        <f aca="false">IF(COUNT(R207:W207)=6,SUM(R207:W207),"ko‘rilmagan")</f>
        <v>ko‘rilmagan</v>
      </c>
      <c r="Y207" s="12"/>
    </row>
    <row r="208" customFormat="false" ht="23.85" hidden="false" customHeight="false" outlineLevel="0" collapsed="false">
      <c r="A208" s="6" t="s">
        <v>1811</v>
      </c>
      <c r="B208" s="6" t="s">
        <v>333</v>
      </c>
      <c r="C208" s="6"/>
      <c r="D208" s="6" t="str">
        <f aca="false">IFERROR(INDEX(Mundarija!$D:$D,MATCH(B208,Mundarija!$A:$A,0)),"kod topilmadi")</f>
        <v>19.3. Burun suyagi, venoz kanal va trikuspid oqimi — ko‘rsatmalar bo‘yicha.</v>
      </c>
      <c r="E208" s="6" t="s">
        <v>1812</v>
      </c>
      <c r="F208" s="11" t="s">
        <v>1813</v>
      </c>
      <c r="G208" s="6" t="s">
        <v>1814</v>
      </c>
      <c r="H208" s="6" t="s">
        <v>1815</v>
      </c>
      <c r="I208" s="6" t="s">
        <v>813</v>
      </c>
      <c r="J208" s="6" t="s">
        <v>813</v>
      </c>
      <c r="K208" s="6" t="s">
        <v>814</v>
      </c>
      <c r="L208" s="6" t="s">
        <v>840</v>
      </c>
      <c r="M208" s="6" t="s">
        <v>827</v>
      </c>
      <c r="N208" s="12" t="s">
        <v>817</v>
      </c>
      <c r="O208" s="6" t="s">
        <v>818</v>
      </c>
      <c r="P208" s="6" t="s">
        <v>2</v>
      </c>
      <c r="Q208" s="6" t="s">
        <v>20</v>
      </c>
      <c r="R208" s="12"/>
      <c r="S208" s="12"/>
      <c r="T208" s="12"/>
      <c r="U208" s="12"/>
      <c r="V208" s="12"/>
      <c r="W208" s="12"/>
      <c r="X208" s="6" t="str">
        <f aca="false">IF(COUNT(R208:W208)=6,SUM(R208:W208),"ko‘rilmagan")</f>
        <v>ko‘rilmagan</v>
      </c>
      <c r="Y208" s="12"/>
    </row>
    <row r="209" customFormat="false" ht="23.85" hidden="false" customHeight="false" outlineLevel="0" collapsed="false">
      <c r="A209" s="6" t="s">
        <v>1816</v>
      </c>
      <c r="B209" s="6" t="s">
        <v>333</v>
      </c>
      <c r="C209" s="6"/>
      <c r="D209" s="6" t="str">
        <f aca="false">IFERROR(INDEX(Mundarija!$D:$D,MATCH(B209,Mundarija!$A:$A,0)),"kod topilmadi")</f>
        <v>19.3. Burun suyagi, venoz kanal va trikuspid oqimi — ko‘rsatmalar bo‘yicha.</v>
      </c>
      <c r="E209" s="6" t="s">
        <v>1817</v>
      </c>
      <c r="F209" s="11" t="s">
        <v>1818</v>
      </c>
      <c r="G209" s="6" t="s">
        <v>1819</v>
      </c>
      <c r="H209" s="6" t="s">
        <v>1820</v>
      </c>
      <c r="I209" s="6" t="s">
        <v>813</v>
      </c>
      <c r="J209" s="6" t="s">
        <v>813</v>
      </c>
      <c r="K209" s="6" t="s">
        <v>814</v>
      </c>
      <c r="L209" s="6" t="s">
        <v>1684</v>
      </c>
      <c r="M209" s="6" t="s">
        <v>1649</v>
      </c>
      <c r="N209" s="12" t="s">
        <v>817</v>
      </c>
      <c r="O209" s="6" t="s">
        <v>818</v>
      </c>
      <c r="P209" s="6" t="s">
        <v>2</v>
      </c>
      <c r="Q209" s="6" t="s">
        <v>20</v>
      </c>
      <c r="R209" s="12"/>
      <c r="S209" s="12"/>
      <c r="T209" s="12"/>
      <c r="U209" s="12"/>
      <c r="V209" s="12"/>
      <c r="W209" s="12"/>
      <c r="X209" s="6" t="str">
        <f aca="false">IF(COUNT(R209:W209)=6,SUM(R209:W209),"ko‘rilmagan")</f>
        <v>ko‘rilmagan</v>
      </c>
      <c r="Y209" s="12"/>
    </row>
    <row r="210" customFormat="false" ht="23.85" hidden="false" customHeight="false" outlineLevel="0" collapsed="false">
      <c r="A210" s="6" t="s">
        <v>1821</v>
      </c>
      <c r="B210" s="6" t="s">
        <v>335</v>
      </c>
      <c r="C210" s="6"/>
      <c r="D210" s="6" t="str">
        <f aca="false">IFERROR(INDEX(Mundarija!$D:$D,MATCH(B210,Mundarija!$A:$A,0)),"kod topilmadi")</f>
        <v>19.4. Aneuploidiyalar xavfini sonografik baholash.</v>
      </c>
      <c r="E210" s="6" t="s">
        <v>1822</v>
      </c>
      <c r="F210" s="11" t="s">
        <v>1823</v>
      </c>
      <c r="G210" s="6" t="s">
        <v>1824</v>
      </c>
      <c r="H210" s="6" t="s">
        <v>1825</v>
      </c>
      <c r="I210" s="6" t="s">
        <v>813</v>
      </c>
      <c r="J210" s="6" t="s">
        <v>813</v>
      </c>
      <c r="K210" s="6" t="s">
        <v>814</v>
      </c>
      <c r="L210" s="6" t="s">
        <v>1684</v>
      </c>
      <c r="M210" s="6" t="s">
        <v>848</v>
      </c>
      <c r="N210" s="12" t="s">
        <v>817</v>
      </c>
      <c r="O210" s="6" t="s">
        <v>818</v>
      </c>
      <c r="P210" s="6" t="s">
        <v>2</v>
      </c>
      <c r="Q210" s="6" t="s">
        <v>20</v>
      </c>
      <c r="R210" s="12"/>
      <c r="S210" s="12"/>
      <c r="T210" s="12"/>
      <c r="U210" s="12"/>
      <c r="V210" s="12"/>
      <c r="W210" s="12"/>
      <c r="X210" s="6" t="str">
        <f aca="false">IF(COUNT(R210:W210)=6,SUM(R210:W210),"ko‘rilmagan")</f>
        <v>ko‘rilmagan</v>
      </c>
      <c r="Y210" s="12"/>
    </row>
    <row r="211" customFormat="false" ht="35.05" hidden="false" customHeight="false" outlineLevel="0" collapsed="false">
      <c r="A211" s="6" t="s">
        <v>1826</v>
      </c>
      <c r="B211" s="6" t="s">
        <v>335</v>
      </c>
      <c r="C211" s="6" t="s">
        <v>328</v>
      </c>
      <c r="D211" s="6" t="str">
        <f aca="false">IFERROR(INDEX(Mundarija!$D:$D,MATCH(B211,Mundarija!$A:$A,0)),"kod topilmadi")</f>
        <v>19.4. Aneuploidiyalar xavfini sonografik baholash.</v>
      </c>
      <c r="E211" s="6" t="s">
        <v>1827</v>
      </c>
      <c r="F211" s="11" t="s">
        <v>1828</v>
      </c>
      <c r="G211" s="6" t="s">
        <v>1809</v>
      </c>
      <c r="H211" s="6" t="s">
        <v>1829</v>
      </c>
      <c r="I211" s="6" t="s">
        <v>813</v>
      </c>
      <c r="J211" s="6" t="s">
        <v>813</v>
      </c>
      <c r="K211" s="6" t="s">
        <v>814</v>
      </c>
      <c r="L211" s="6" t="s">
        <v>1684</v>
      </c>
      <c r="M211" s="6" t="s">
        <v>848</v>
      </c>
      <c r="N211" s="12" t="s">
        <v>817</v>
      </c>
      <c r="O211" s="6" t="s">
        <v>818</v>
      </c>
      <c r="P211" s="6" t="s">
        <v>2</v>
      </c>
      <c r="Q211" s="6" t="s">
        <v>20</v>
      </c>
      <c r="R211" s="12"/>
      <c r="S211" s="12"/>
      <c r="T211" s="12"/>
      <c r="U211" s="12"/>
      <c r="V211" s="12"/>
      <c r="W211" s="12"/>
      <c r="X211" s="6" t="str">
        <f aca="false">IF(COUNT(R211:W211)=6,SUM(R211:W211),"ko‘rilmagan")</f>
        <v>ko‘rilmagan</v>
      </c>
      <c r="Y211" s="12"/>
    </row>
    <row r="212" customFormat="false" ht="23.85" hidden="false" customHeight="false" outlineLevel="0" collapsed="false">
      <c r="A212" s="6" t="s">
        <v>1830</v>
      </c>
      <c r="B212" s="6" t="s">
        <v>335</v>
      </c>
      <c r="C212" s="6"/>
      <c r="D212" s="6" t="str">
        <f aca="false">IFERROR(INDEX(Mundarija!$D:$D,MATCH(B212,Mundarija!$A:$A,0)),"kod topilmadi")</f>
        <v>19.4. Aneuploidiyalar xavfini sonografik baholash.</v>
      </c>
      <c r="E212" s="6" t="s">
        <v>1831</v>
      </c>
      <c r="F212" s="11" t="s">
        <v>1832</v>
      </c>
      <c r="G212" s="6" t="s">
        <v>1682</v>
      </c>
      <c r="H212" s="6" t="s">
        <v>1683</v>
      </c>
      <c r="I212" s="6" t="s">
        <v>813</v>
      </c>
      <c r="J212" s="6" t="s">
        <v>813</v>
      </c>
      <c r="K212" s="6" t="s">
        <v>814</v>
      </c>
      <c r="L212" s="6" t="s">
        <v>1684</v>
      </c>
      <c r="M212" s="6" t="s">
        <v>848</v>
      </c>
      <c r="N212" s="12" t="s">
        <v>817</v>
      </c>
      <c r="O212" s="6" t="s">
        <v>818</v>
      </c>
      <c r="P212" s="6" t="s">
        <v>2</v>
      </c>
      <c r="Q212" s="6" t="s">
        <v>20</v>
      </c>
      <c r="R212" s="12"/>
      <c r="S212" s="12"/>
      <c r="T212" s="12"/>
      <c r="U212" s="12"/>
      <c r="V212" s="12"/>
      <c r="W212" s="12"/>
      <c r="X212" s="6" t="str">
        <f aca="false">IF(COUNT(R212:W212)=6,SUM(R212:W212),"ko‘rilmagan")</f>
        <v>ko‘rilmagan</v>
      </c>
      <c r="Y212" s="12"/>
    </row>
    <row r="213" customFormat="false" ht="23.85" hidden="false" customHeight="false" outlineLevel="0" collapsed="false">
      <c r="A213" s="6" t="s">
        <v>1833</v>
      </c>
      <c r="B213" s="6" t="s">
        <v>339</v>
      </c>
      <c r="C213" s="6"/>
      <c r="D213" s="6" t="str">
        <f aca="false">IFERROR(INDEX(Mundarija!$D:$D,MATCH(B213,Mundarija!$A:$A,0)),"kod topilmadi")</f>
        <v>20.1. Homila anatomiyasini tizimli tekshirish.</v>
      </c>
      <c r="E213" s="6" t="s">
        <v>1834</v>
      </c>
      <c r="F213" s="11" t="s">
        <v>1835</v>
      </c>
      <c r="G213" s="6" t="s">
        <v>1585</v>
      </c>
      <c r="H213" s="6" t="s">
        <v>1586</v>
      </c>
      <c r="I213" s="6" t="s">
        <v>813</v>
      </c>
      <c r="J213" s="6" t="s">
        <v>813</v>
      </c>
      <c r="K213" s="6" t="s">
        <v>814</v>
      </c>
      <c r="L213" s="6" t="s">
        <v>815</v>
      </c>
      <c r="M213" s="6" t="s">
        <v>848</v>
      </c>
      <c r="N213" s="12" t="s">
        <v>817</v>
      </c>
      <c r="O213" s="6" t="s">
        <v>818</v>
      </c>
      <c r="P213" s="6" t="s">
        <v>2</v>
      </c>
      <c r="Q213" s="6" t="s">
        <v>20</v>
      </c>
      <c r="R213" s="12"/>
      <c r="S213" s="12"/>
      <c r="T213" s="12"/>
      <c r="U213" s="12"/>
      <c r="V213" s="12"/>
      <c r="W213" s="12"/>
      <c r="X213" s="6" t="str">
        <f aca="false">IF(COUNT(R213:W213)=6,SUM(R213:W213),"ko‘rilmagan")</f>
        <v>ko‘rilmagan</v>
      </c>
      <c r="Y213" s="12"/>
    </row>
    <row r="214" customFormat="false" ht="23.85" hidden="false" customHeight="false" outlineLevel="0" collapsed="false">
      <c r="A214" s="6" t="s">
        <v>1836</v>
      </c>
      <c r="B214" s="6" t="s">
        <v>344</v>
      </c>
      <c r="C214" s="6" t="s">
        <v>342</v>
      </c>
      <c r="D214" s="6" t="str">
        <f aca="false">IFERROR(INDEX(Mundarija!$D:$D,MATCH(B214,Mundarija!$A:$A,0)),"kod topilmadi")</f>
        <v>20.3. Homila vaznini hisoblash va gestatsion yoshga moslik.</v>
      </c>
      <c r="E214" s="6" t="s">
        <v>1837</v>
      </c>
      <c r="F214" s="11" t="s">
        <v>1838</v>
      </c>
      <c r="G214" s="6" t="s">
        <v>1839</v>
      </c>
      <c r="H214" s="6" t="s">
        <v>846</v>
      </c>
      <c r="I214" s="6" t="s">
        <v>813</v>
      </c>
      <c r="J214" s="6" t="s">
        <v>813</v>
      </c>
      <c r="K214" s="6" t="s">
        <v>814</v>
      </c>
      <c r="L214" s="6" t="s">
        <v>840</v>
      </c>
      <c r="M214" s="6" t="s">
        <v>827</v>
      </c>
      <c r="N214" s="12" t="s">
        <v>817</v>
      </c>
      <c r="O214" s="6" t="s">
        <v>818</v>
      </c>
      <c r="P214" s="6" t="s">
        <v>2</v>
      </c>
      <c r="Q214" s="6" t="s">
        <v>20</v>
      </c>
      <c r="R214" s="12"/>
      <c r="S214" s="12"/>
      <c r="T214" s="12"/>
      <c r="U214" s="12"/>
      <c r="V214" s="12"/>
      <c r="W214" s="12"/>
      <c r="X214" s="6" t="str">
        <f aca="false">IF(COUNT(R214:W214)=6,SUM(R214:W214),"ko‘rilmagan")</f>
        <v>ko‘rilmagan</v>
      </c>
      <c r="Y214" s="12"/>
    </row>
    <row r="215" customFormat="false" ht="23.85" hidden="false" customHeight="false" outlineLevel="0" collapsed="false">
      <c r="A215" s="6" t="s">
        <v>1840</v>
      </c>
      <c r="B215" s="6" t="s">
        <v>346</v>
      </c>
      <c r="C215" s="6"/>
      <c r="D215" s="6" t="str">
        <f aca="false">IFERROR(INDEX(Mundarija!$D:$D,MATCH(B215,Mundarija!$A:$A,0)),"kod topilmadi")</f>
        <v>20.4. Bosh miya, umurtqa va yuz anatomiyasi.</v>
      </c>
      <c r="E215" s="6" t="s">
        <v>1841</v>
      </c>
      <c r="F215" s="11" t="s">
        <v>1842</v>
      </c>
      <c r="G215" s="6" t="s">
        <v>1195</v>
      </c>
      <c r="H215" s="6" t="s">
        <v>896</v>
      </c>
      <c r="I215" s="6" t="s">
        <v>813</v>
      </c>
      <c r="J215" s="6" t="s">
        <v>813</v>
      </c>
      <c r="K215" s="6" t="s">
        <v>814</v>
      </c>
      <c r="L215" s="6" t="s">
        <v>840</v>
      </c>
      <c r="M215" s="6" t="s">
        <v>898</v>
      </c>
      <c r="N215" s="12" t="s">
        <v>817</v>
      </c>
      <c r="O215" s="6" t="s">
        <v>818</v>
      </c>
      <c r="P215" s="6" t="s">
        <v>2</v>
      </c>
      <c r="Q215" s="6" t="s">
        <v>20</v>
      </c>
      <c r="R215" s="12"/>
      <c r="S215" s="12"/>
      <c r="T215" s="12"/>
      <c r="U215" s="12"/>
      <c r="V215" s="12"/>
      <c r="W215" s="12"/>
      <c r="X215" s="6" t="str">
        <f aca="false">IF(COUNT(R215:W215)=6,SUM(R215:W215),"ko‘rilmagan")</f>
        <v>ko‘rilmagan</v>
      </c>
      <c r="Y215" s="12"/>
    </row>
    <row r="216" customFormat="false" ht="23.85" hidden="false" customHeight="false" outlineLevel="0" collapsed="false">
      <c r="A216" s="6" t="s">
        <v>1843</v>
      </c>
      <c r="B216" s="6" t="s">
        <v>346</v>
      </c>
      <c r="C216" s="6"/>
      <c r="D216" s="6" t="str">
        <f aca="false">IFERROR(INDEX(Mundarija!$D:$D,MATCH(B216,Mundarija!$A:$A,0)),"kod topilmadi")</f>
        <v>20.4. Bosh miya, umurtqa va yuz anatomiyasi.</v>
      </c>
      <c r="E216" s="6" t="s">
        <v>1844</v>
      </c>
      <c r="F216" s="11" t="s">
        <v>1845</v>
      </c>
      <c r="G216" s="6" t="s">
        <v>1195</v>
      </c>
      <c r="H216" s="6" t="s">
        <v>896</v>
      </c>
      <c r="I216" s="6" t="s">
        <v>813</v>
      </c>
      <c r="J216" s="6" t="s">
        <v>813</v>
      </c>
      <c r="K216" s="6" t="s">
        <v>814</v>
      </c>
      <c r="L216" s="6" t="s">
        <v>840</v>
      </c>
      <c r="M216" s="6" t="s">
        <v>898</v>
      </c>
      <c r="N216" s="12" t="s">
        <v>817</v>
      </c>
      <c r="O216" s="6" t="s">
        <v>818</v>
      </c>
      <c r="P216" s="6" t="s">
        <v>2</v>
      </c>
      <c r="Q216" s="6" t="s">
        <v>20</v>
      </c>
      <c r="R216" s="12"/>
      <c r="S216" s="12"/>
      <c r="T216" s="12"/>
      <c r="U216" s="12"/>
      <c r="V216" s="12"/>
      <c r="W216" s="12"/>
      <c r="X216" s="6" t="str">
        <f aca="false">IF(COUNT(R216:W216)=6,SUM(R216:W216),"ko‘rilmagan")</f>
        <v>ko‘rilmagan</v>
      </c>
      <c r="Y216" s="12"/>
    </row>
    <row r="217" customFormat="false" ht="23.85" hidden="false" customHeight="false" outlineLevel="0" collapsed="false">
      <c r="A217" s="6" t="s">
        <v>1846</v>
      </c>
      <c r="B217" s="6" t="s">
        <v>346</v>
      </c>
      <c r="C217" s="6"/>
      <c r="D217" s="6" t="str">
        <f aca="false">IFERROR(INDEX(Mundarija!$D:$D,MATCH(B217,Mundarija!$A:$A,0)),"kod topilmadi")</f>
        <v>20.4. Bosh miya, umurtqa va yuz anatomiyasi.</v>
      </c>
      <c r="E217" s="6" t="s">
        <v>1847</v>
      </c>
      <c r="F217" s="11" t="s">
        <v>1848</v>
      </c>
      <c r="G217" s="6" t="s">
        <v>1195</v>
      </c>
      <c r="H217" s="6" t="s">
        <v>896</v>
      </c>
      <c r="I217" s="6" t="s">
        <v>813</v>
      </c>
      <c r="J217" s="6" t="s">
        <v>813</v>
      </c>
      <c r="K217" s="6" t="s">
        <v>814</v>
      </c>
      <c r="L217" s="6" t="s">
        <v>840</v>
      </c>
      <c r="M217" s="6" t="s">
        <v>898</v>
      </c>
      <c r="N217" s="12" t="s">
        <v>817</v>
      </c>
      <c r="O217" s="6" t="s">
        <v>818</v>
      </c>
      <c r="P217" s="6" t="s">
        <v>2</v>
      </c>
      <c r="Q217" s="6" t="s">
        <v>20</v>
      </c>
      <c r="R217" s="12"/>
      <c r="S217" s="12"/>
      <c r="T217" s="12"/>
      <c r="U217" s="12"/>
      <c r="V217" s="12"/>
      <c r="W217" s="12"/>
      <c r="X217" s="6" t="str">
        <f aca="false">IF(COUNT(R217:W217)=6,SUM(R217:W217),"ko‘rilmagan")</f>
        <v>ko‘rilmagan</v>
      </c>
      <c r="Y217" s="12"/>
    </row>
    <row r="218" customFormat="false" ht="23.85" hidden="false" customHeight="false" outlineLevel="0" collapsed="false">
      <c r="A218" s="6" t="s">
        <v>1849</v>
      </c>
      <c r="B218" s="6" t="s">
        <v>350</v>
      </c>
      <c r="C218" s="6"/>
      <c r="D218" s="6" t="str">
        <f aca="false">IFERROR(INDEX(Mundarija!$D:$D,MATCH(B218,Mundarija!$A:$A,0)),"kod topilmadi")</f>
        <v>20.6. Qorin a’zolari, buyraklar va siydik pufagi.</v>
      </c>
      <c r="E218" s="6" t="s">
        <v>1850</v>
      </c>
      <c r="F218" s="11" t="s">
        <v>1851</v>
      </c>
      <c r="G218" s="6" t="s">
        <v>1195</v>
      </c>
      <c r="H218" s="6" t="s">
        <v>896</v>
      </c>
      <c r="I218" s="6" t="s">
        <v>813</v>
      </c>
      <c r="J218" s="6" t="s">
        <v>813</v>
      </c>
      <c r="K218" s="6" t="s">
        <v>814</v>
      </c>
      <c r="L218" s="6" t="s">
        <v>840</v>
      </c>
      <c r="M218" s="6" t="s">
        <v>898</v>
      </c>
      <c r="N218" s="12" t="s">
        <v>817</v>
      </c>
      <c r="O218" s="6" t="s">
        <v>818</v>
      </c>
      <c r="P218" s="6" t="s">
        <v>2</v>
      </c>
      <c r="Q218" s="6" t="s">
        <v>20</v>
      </c>
      <c r="R218" s="12"/>
      <c r="S218" s="12"/>
      <c r="T218" s="12"/>
      <c r="U218" s="12"/>
      <c r="V218" s="12"/>
      <c r="W218" s="12"/>
      <c r="X218" s="6" t="str">
        <f aca="false">IF(COUNT(R218:W218)=6,SUM(R218:W218),"ko‘rilmagan")</f>
        <v>ko‘rilmagan</v>
      </c>
      <c r="Y218" s="12"/>
    </row>
    <row r="219" customFormat="false" ht="23.85" hidden="false" customHeight="false" outlineLevel="0" collapsed="false">
      <c r="A219" s="6" t="s">
        <v>1852</v>
      </c>
      <c r="B219" s="6" t="s">
        <v>350</v>
      </c>
      <c r="C219" s="6"/>
      <c r="D219" s="6" t="str">
        <f aca="false">IFERROR(INDEX(Mundarija!$D:$D,MATCH(B219,Mundarija!$A:$A,0)),"kod topilmadi")</f>
        <v>20.6. Qorin a’zolari, buyraklar va siydik pufagi.</v>
      </c>
      <c r="E219" s="6" t="s">
        <v>1853</v>
      </c>
      <c r="F219" s="11" t="s">
        <v>1854</v>
      </c>
      <c r="G219" s="6" t="s">
        <v>1195</v>
      </c>
      <c r="H219" s="6" t="s">
        <v>896</v>
      </c>
      <c r="I219" s="6" t="s">
        <v>813</v>
      </c>
      <c r="J219" s="6" t="s">
        <v>813</v>
      </c>
      <c r="K219" s="6" t="s">
        <v>814</v>
      </c>
      <c r="L219" s="6" t="s">
        <v>840</v>
      </c>
      <c r="M219" s="6" t="s">
        <v>898</v>
      </c>
      <c r="N219" s="12" t="s">
        <v>817</v>
      </c>
      <c r="O219" s="6" t="s">
        <v>818</v>
      </c>
      <c r="P219" s="6" t="s">
        <v>2</v>
      </c>
      <c r="Q219" s="6" t="s">
        <v>20</v>
      </c>
      <c r="R219" s="12"/>
      <c r="S219" s="12"/>
      <c r="T219" s="12"/>
      <c r="U219" s="12"/>
      <c r="V219" s="12"/>
      <c r="W219" s="12"/>
      <c r="X219" s="6" t="str">
        <f aca="false">IF(COUNT(R219:W219)=6,SUM(R219:W219),"ko‘rilmagan")</f>
        <v>ko‘rilmagan</v>
      </c>
      <c r="Y219" s="12"/>
    </row>
    <row r="220" customFormat="false" ht="23.85" hidden="false" customHeight="false" outlineLevel="0" collapsed="false">
      <c r="A220" s="6" t="s">
        <v>1855</v>
      </c>
      <c r="B220" s="6" t="s">
        <v>354</v>
      </c>
      <c r="C220" s="6" t="s">
        <v>376</v>
      </c>
      <c r="D220" s="6" t="str">
        <f aca="false">IFERROR(INDEX(Mundarija!$D:$D,MATCH(B220,Mundarija!$A:$A,0)),"kod topilmadi")</f>
        <v>20.8. Yo‘ldosh, kindik tizimi va amniotik suyuqlik.</v>
      </c>
      <c r="E220" s="6" t="s">
        <v>1856</v>
      </c>
      <c r="F220" s="11" t="s">
        <v>1857</v>
      </c>
      <c r="G220" s="6" t="s">
        <v>1165</v>
      </c>
      <c r="H220" s="6" t="s">
        <v>1707</v>
      </c>
      <c r="I220" s="6" t="s">
        <v>813</v>
      </c>
      <c r="J220" s="6" t="s">
        <v>813</v>
      </c>
      <c r="K220" s="6" t="s">
        <v>814</v>
      </c>
      <c r="L220" s="6" t="s">
        <v>815</v>
      </c>
      <c r="M220" s="6" t="s">
        <v>848</v>
      </c>
      <c r="N220" s="12" t="s">
        <v>817</v>
      </c>
      <c r="O220" s="6" t="s">
        <v>818</v>
      </c>
      <c r="P220" s="6" t="s">
        <v>2</v>
      </c>
      <c r="Q220" s="6" t="s">
        <v>20</v>
      </c>
      <c r="R220" s="12"/>
      <c r="S220" s="12"/>
      <c r="T220" s="12"/>
      <c r="U220" s="12"/>
      <c r="V220" s="12"/>
      <c r="W220" s="12"/>
      <c r="X220" s="6" t="str">
        <f aca="false">IF(COUNT(R220:W220)=6,SUM(R220:W220),"ko‘rilmagan")</f>
        <v>ko‘rilmagan</v>
      </c>
      <c r="Y220" s="12"/>
    </row>
    <row r="221" customFormat="false" ht="23.85" hidden="false" customHeight="false" outlineLevel="0" collapsed="false">
      <c r="A221" s="6" t="s">
        <v>1858</v>
      </c>
      <c r="B221" s="6" t="s">
        <v>357</v>
      </c>
      <c r="C221" s="6"/>
      <c r="D221" s="6" t="str">
        <f aca="false">IFERROR(INDEX(Mundarija!$D:$D,MATCH(B221,Mundarija!$A:$A,0)),"kod topilmadi")</f>
        <v>20.9. Bachadon bo‘yni va muddatidan oldin tug‘ruq xavfi.</v>
      </c>
      <c r="E221" s="6" t="s">
        <v>1859</v>
      </c>
      <c r="F221" s="11" t="s">
        <v>1860</v>
      </c>
      <c r="G221" s="6" t="s">
        <v>1814</v>
      </c>
      <c r="H221" s="6" t="s">
        <v>1815</v>
      </c>
      <c r="I221" s="6" t="s">
        <v>813</v>
      </c>
      <c r="J221" s="6" t="s">
        <v>813</v>
      </c>
      <c r="K221" s="6" t="s">
        <v>814</v>
      </c>
      <c r="L221" s="6" t="s">
        <v>840</v>
      </c>
      <c r="M221" s="6" t="s">
        <v>827</v>
      </c>
      <c r="N221" s="12" t="s">
        <v>817</v>
      </c>
      <c r="O221" s="6" t="s">
        <v>818</v>
      </c>
      <c r="P221" s="6" t="s">
        <v>2</v>
      </c>
      <c r="Q221" s="6" t="s">
        <v>20</v>
      </c>
      <c r="R221" s="12"/>
      <c r="S221" s="12"/>
      <c r="T221" s="12"/>
      <c r="U221" s="12"/>
      <c r="V221" s="12"/>
      <c r="W221" s="12"/>
      <c r="X221" s="6" t="str">
        <f aca="false">IF(COUNT(R221:W221)=6,SUM(R221:W221),"ko‘rilmagan")</f>
        <v>ko‘rilmagan</v>
      </c>
      <c r="Y221" s="12"/>
    </row>
    <row r="222" customFormat="false" ht="35.05" hidden="false" customHeight="false" outlineLevel="0" collapsed="false">
      <c r="A222" s="6" t="s">
        <v>1861</v>
      </c>
      <c r="B222" s="6" t="s">
        <v>357</v>
      </c>
      <c r="C222" s="6"/>
      <c r="D222" s="6" t="str">
        <f aca="false">IFERROR(INDEX(Mundarija!$D:$D,MATCH(B222,Mundarija!$A:$A,0)),"kod topilmadi")</f>
        <v>20.9. Bachadon bo‘yni va muddatidan oldin tug‘ruq xavfi.</v>
      </c>
      <c r="E222" s="6" t="s">
        <v>1862</v>
      </c>
      <c r="F222" s="11" t="s">
        <v>1863</v>
      </c>
      <c r="G222" s="6" t="s">
        <v>1864</v>
      </c>
      <c r="H222" s="6" t="s">
        <v>846</v>
      </c>
      <c r="I222" s="6" t="s">
        <v>813</v>
      </c>
      <c r="J222" s="6" t="s">
        <v>813</v>
      </c>
      <c r="K222" s="6" t="s">
        <v>814</v>
      </c>
      <c r="L222" s="6" t="s">
        <v>840</v>
      </c>
      <c r="M222" s="6" t="s">
        <v>848</v>
      </c>
      <c r="N222" s="12" t="s">
        <v>817</v>
      </c>
      <c r="O222" s="6" t="s">
        <v>818</v>
      </c>
      <c r="P222" s="6" t="s">
        <v>2</v>
      </c>
      <c r="Q222" s="6" t="s">
        <v>20</v>
      </c>
      <c r="R222" s="12"/>
      <c r="S222" s="12"/>
      <c r="T222" s="12"/>
      <c r="U222" s="12"/>
      <c r="V222" s="12"/>
      <c r="W222" s="12"/>
      <c r="X222" s="6" t="str">
        <f aca="false">IF(COUNT(R222:W222)=6,SUM(R222:W222),"ko‘rilmagan")</f>
        <v>ko‘rilmagan</v>
      </c>
      <c r="Y222" s="12"/>
    </row>
    <row r="223" customFormat="false" ht="23.85" hidden="false" customHeight="false" outlineLevel="0" collapsed="false">
      <c r="A223" s="6" t="s">
        <v>1865</v>
      </c>
      <c r="B223" s="6" t="s">
        <v>359</v>
      </c>
      <c r="C223" s="6"/>
      <c r="D223" s="6" t="str">
        <f aca="false">IFERROR(INDEX(Mundarija!$D:$D,MATCH(B223,Mundarija!$A:$A,0)),"kod topilmadi")</f>
        <v>20.10. Ko‘p homilali homiladorlik.</v>
      </c>
      <c r="E223" s="6" t="s">
        <v>1866</v>
      </c>
      <c r="F223" s="11" t="s">
        <v>1867</v>
      </c>
      <c r="G223" s="6" t="s">
        <v>1868</v>
      </c>
      <c r="H223" s="6" t="s">
        <v>1869</v>
      </c>
      <c r="I223" s="6" t="s">
        <v>813</v>
      </c>
      <c r="J223" s="6" t="s">
        <v>813</v>
      </c>
      <c r="K223" s="6" t="s">
        <v>814</v>
      </c>
      <c r="L223" s="6" t="s">
        <v>815</v>
      </c>
      <c r="M223" s="6" t="s">
        <v>848</v>
      </c>
      <c r="N223" s="12" t="s">
        <v>817</v>
      </c>
      <c r="O223" s="6" t="s">
        <v>818</v>
      </c>
      <c r="P223" s="6" t="s">
        <v>2</v>
      </c>
      <c r="Q223" s="6" t="s">
        <v>20</v>
      </c>
      <c r="R223" s="12"/>
      <c r="S223" s="12"/>
      <c r="T223" s="12"/>
      <c r="U223" s="12"/>
      <c r="V223" s="12"/>
      <c r="W223" s="12"/>
      <c r="X223" s="6" t="str">
        <f aca="false">IF(COUNT(R223:W223)=6,SUM(R223:W223),"ko‘rilmagan")</f>
        <v>ko‘rilmagan</v>
      </c>
      <c r="Y223" s="12"/>
    </row>
    <row r="224" customFormat="false" ht="23.85" hidden="false" customHeight="false" outlineLevel="0" collapsed="false">
      <c r="A224" s="6" t="s">
        <v>1870</v>
      </c>
      <c r="B224" s="6" t="s">
        <v>361</v>
      </c>
      <c r="C224" s="6" t="s">
        <v>344</v>
      </c>
      <c r="D224" s="6" t="str">
        <f aca="false">IFERROR(INDEX(Mundarija!$D:$D,MATCH(B224,Mundarija!$A:$A,0)),"kod topilmadi")</f>
        <v>20.11. Homila o‘sishining cheklanishi (FGR) va makrosomiya.</v>
      </c>
      <c r="E224" s="6" t="s">
        <v>1871</v>
      </c>
      <c r="F224" s="11" t="s">
        <v>1872</v>
      </c>
      <c r="G224" s="6" t="s">
        <v>1682</v>
      </c>
      <c r="H224" s="6" t="s">
        <v>1683</v>
      </c>
      <c r="I224" s="6" t="s">
        <v>813</v>
      </c>
      <c r="J224" s="6" t="s">
        <v>813</v>
      </c>
      <c r="K224" s="6" t="s">
        <v>814</v>
      </c>
      <c r="L224" s="6" t="s">
        <v>1684</v>
      </c>
      <c r="M224" s="6" t="s">
        <v>848</v>
      </c>
      <c r="N224" s="12" t="s">
        <v>817</v>
      </c>
      <c r="O224" s="6" t="s">
        <v>818</v>
      </c>
      <c r="P224" s="6" t="s">
        <v>2</v>
      </c>
      <c r="Q224" s="6" t="s">
        <v>20</v>
      </c>
      <c r="R224" s="12"/>
      <c r="S224" s="12"/>
      <c r="T224" s="12"/>
      <c r="U224" s="12"/>
      <c r="V224" s="12"/>
      <c r="W224" s="12"/>
      <c r="X224" s="6" t="str">
        <f aca="false">IF(COUNT(R224:W224)=6,SUM(R224:W224),"ko‘rilmagan")</f>
        <v>ko‘rilmagan</v>
      </c>
      <c r="Y224" s="12"/>
    </row>
    <row r="225" customFormat="false" ht="23.85" hidden="false" customHeight="false" outlineLevel="0" collapsed="false">
      <c r="A225" s="6" t="s">
        <v>1873</v>
      </c>
      <c r="B225" s="6" t="s">
        <v>361</v>
      </c>
      <c r="C225" s="6"/>
      <c r="D225" s="6" t="str">
        <f aca="false">IFERROR(INDEX(Mundarija!$D:$D,MATCH(B225,Mundarija!$A:$A,0)),"kod topilmadi")</f>
        <v>20.11. Homila o‘sishining cheklanishi (FGR) va makrosomiya.</v>
      </c>
      <c r="E225" s="6" t="s">
        <v>1874</v>
      </c>
      <c r="F225" s="11" t="s">
        <v>1875</v>
      </c>
      <c r="G225" s="6" t="s">
        <v>1876</v>
      </c>
      <c r="H225" s="6" t="s">
        <v>1877</v>
      </c>
      <c r="I225" s="6" t="s">
        <v>813</v>
      </c>
      <c r="J225" s="6" t="s">
        <v>813</v>
      </c>
      <c r="K225" s="6" t="s">
        <v>814</v>
      </c>
      <c r="L225" s="6" t="s">
        <v>1684</v>
      </c>
      <c r="M225" s="6" t="s">
        <v>848</v>
      </c>
      <c r="N225" s="12" t="s">
        <v>817</v>
      </c>
      <c r="O225" s="6" t="s">
        <v>818</v>
      </c>
      <c r="P225" s="6" t="s">
        <v>2</v>
      </c>
      <c r="Q225" s="6" t="s">
        <v>20</v>
      </c>
      <c r="R225" s="12"/>
      <c r="S225" s="12"/>
      <c r="T225" s="12"/>
      <c r="U225" s="12"/>
      <c r="V225" s="12"/>
      <c r="W225" s="12"/>
      <c r="X225" s="6" t="str">
        <f aca="false">IF(COUNT(R225:W225)=6,SUM(R225:W225),"ko‘rilmagan")</f>
        <v>ko‘rilmagan</v>
      </c>
      <c r="Y225" s="12"/>
    </row>
    <row r="226" customFormat="false" ht="23.85" hidden="false" customHeight="false" outlineLevel="0" collapsed="false">
      <c r="A226" s="6" t="s">
        <v>1878</v>
      </c>
      <c r="B226" s="6" t="s">
        <v>363</v>
      </c>
      <c r="C226" s="6" t="s">
        <v>354</v>
      </c>
      <c r="D226" s="6" t="str">
        <f aca="false">IFERROR(INDEX(Mundarija!$D:$D,MATCH(B226,Mundarija!$A:$A,0)),"kod topilmadi")</f>
        <v>20.12. Homila anomaliyalarini aniqlash va yo‘naltirish.</v>
      </c>
      <c r="E226" s="6" t="s">
        <v>1879</v>
      </c>
      <c r="F226" s="11" t="s">
        <v>1880</v>
      </c>
      <c r="G226" s="6" t="s">
        <v>1195</v>
      </c>
      <c r="H226" s="6" t="s">
        <v>896</v>
      </c>
      <c r="I226" s="6" t="s">
        <v>813</v>
      </c>
      <c r="J226" s="6" t="s">
        <v>813</v>
      </c>
      <c r="K226" s="6" t="s">
        <v>814</v>
      </c>
      <c r="L226" s="6" t="s">
        <v>840</v>
      </c>
      <c r="M226" s="6" t="s">
        <v>898</v>
      </c>
      <c r="N226" s="12" t="s">
        <v>817</v>
      </c>
      <c r="O226" s="6" t="s">
        <v>818</v>
      </c>
      <c r="P226" s="6" t="s">
        <v>2</v>
      </c>
      <c r="Q226" s="6" t="s">
        <v>20</v>
      </c>
      <c r="R226" s="12"/>
      <c r="S226" s="12"/>
      <c r="T226" s="12"/>
      <c r="U226" s="12"/>
      <c r="V226" s="12"/>
      <c r="W226" s="12"/>
      <c r="X226" s="6" t="str">
        <f aca="false">IF(COUNT(R226:W226)=6,SUM(R226:W226),"ko‘rilmagan")</f>
        <v>ko‘rilmagan</v>
      </c>
      <c r="Y226" s="12"/>
    </row>
    <row r="227" customFormat="false" ht="23.85" hidden="false" customHeight="false" outlineLevel="0" collapsed="false">
      <c r="A227" s="6" t="s">
        <v>1881</v>
      </c>
      <c r="B227" s="6" t="s">
        <v>365</v>
      </c>
      <c r="C227" s="6" t="s">
        <v>374</v>
      </c>
      <c r="D227" s="6" t="str">
        <f aca="false">IFERROR(INDEX(Mundarija!$D:$D,MATCH(B227,Mundarija!$A:$A,0)),"kod topilmadi")</f>
        <v>21.1. Bachadon arteriyalari Doppleri.</v>
      </c>
      <c r="E227" s="6" t="s">
        <v>1882</v>
      </c>
      <c r="F227" s="11" t="s">
        <v>1883</v>
      </c>
      <c r="G227" s="6" t="s">
        <v>1824</v>
      </c>
      <c r="H227" s="6" t="s">
        <v>1825</v>
      </c>
      <c r="I227" s="6" t="s">
        <v>813</v>
      </c>
      <c r="J227" s="6" t="s">
        <v>813</v>
      </c>
      <c r="K227" s="6" t="s">
        <v>814</v>
      </c>
      <c r="L227" s="6" t="s">
        <v>1684</v>
      </c>
      <c r="M227" s="6" t="s">
        <v>827</v>
      </c>
      <c r="N227" s="12" t="s">
        <v>817</v>
      </c>
      <c r="O227" s="6" t="s">
        <v>818</v>
      </c>
      <c r="P227" s="6" t="s">
        <v>2</v>
      </c>
      <c r="Q227" s="6" t="s">
        <v>20</v>
      </c>
      <c r="R227" s="12"/>
      <c r="S227" s="12"/>
      <c r="T227" s="12"/>
      <c r="U227" s="12"/>
      <c r="V227" s="12"/>
      <c r="W227" s="12"/>
      <c r="X227" s="6" t="str">
        <f aca="false">IF(COUNT(R227:W227)=6,SUM(R227:W227),"ko‘rilmagan")</f>
        <v>ko‘rilmagan</v>
      </c>
      <c r="Y227" s="12"/>
    </row>
    <row r="228" customFormat="false" ht="23.85" hidden="false" customHeight="false" outlineLevel="0" collapsed="false">
      <c r="A228" s="6" t="s">
        <v>1884</v>
      </c>
      <c r="B228" s="6" t="s">
        <v>365</v>
      </c>
      <c r="C228" s="6"/>
      <c r="D228" s="6" t="str">
        <f aca="false">IFERROR(INDEX(Mundarija!$D:$D,MATCH(B228,Mundarija!$A:$A,0)),"kod topilmadi")</f>
        <v>21.1. Bachadon arteriyalari Doppleri.</v>
      </c>
      <c r="E228" s="6" t="s">
        <v>1885</v>
      </c>
      <c r="F228" s="11" t="s">
        <v>1886</v>
      </c>
      <c r="G228" s="6" t="s">
        <v>1195</v>
      </c>
      <c r="H228" s="6" t="s">
        <v>896</v>
      </c>
      <c r="I228" s="6" t="s">
        <v>813</v>
      </c>
      <c r="J228" s="6" t="s">
        <v>813</v>
      </c>
      <c r="K228" s="6" t="s">
        <v>814</v>
      </c>
      <c r="L228" s="6" t="s">
        <v>840</v>
      </c>
      <c r="M228" s="6" t="s">
        <v>827</v>
      </c>
      <c r="N228" s="12" t="s">
        <v>817</v>
      </c>
      <c r="O228" s="6" t="s">
        <v>818</v>
      </c>
      <c r="P228" s="6" t="s">
        <v>2</v>
      </c>
      <c r="Q228" s="6" t="s">
        <v>20</v>
      </c>
      <c r="R228" s="12"/>
      <c r="S228" s="12"/>
      <c r="T228" s="12"/>
      <c r="U228" s="12"/>
      <c r="V228" s="12"/>
      <c r="W228" s="12"/>
      <c r="X228" s="6" t="str">
        <f aca="false">IF(COUNT(R228:W228)=6,SUM(R228:W228),"ko‘rilmagan")</f>
        <v>ko‘rilmagan</v>
      </c>
      <c r="Y228" s="12"/>
    </row>
    <row r="229" customFormat="false" ht="23.85" hidden="false" customHeight="false" outlineLevel="0" collapsed="false">
      <c r="A229" s="6" t="s">
        <v>1887</v>
      </c>
      <c r="B229" s="6" t="s">
        <v>365</v>
      </c>
      <c r="C229" s="6"/>
      <c r="D229" s="6" t="str">
        <f aca="false">IFERROR(INDEX(Mundarija!$D:$D,MATCH(B229,Mundarija!$A:$A,0)),"kod topilmadi")</f>
        <v>21.1. Bachadon arteriyalari Doppleri.</v>
      </c>
      <c r="E229" s="6" t="s">
        <v>1888</v>
      </c>
      <c r="F229" s="11" t="s">
        <v>1889</v>
      </c>
      <c r="G229" s="6" t="s">
        <v>1195</v>
      </c>
      <c r="H229" s="6" t="s">
        <v>896</v>
      </c>
      <c r="I229" s="6" t="s">
        <v>813</v>
      </c>
      <c r="J229" s="6" t="s">
        <v>813</v>
      </c>
      <c r="K229" s="6" t="s">
        <v>814</v>
      </c>
      <c r="L229" s="6" t="s">
        <v>840</v>
      </c>
      <c r="M229" s="6" t="s">
        <v>898</v>
      </c>
      <c r="N229" s="12" t="s">
        <v>817</v>
      </c>
      <c r="O229" s="6" t="s">
        <v>818</v>
      </c>
      <c r="P229" s="6" t="s">
        <v>2</v>
      </c>
      <c r="Q229" s="6" t="s">
        <v>20</v>
      </c>
      <c r="R229" s="12"/>
      <c r="S229" s="12"/>
      <c r="T229" s="12"/>
      <c r="U229" s="12"/>
      <c r="V229" s="12"/>
      <c r="W229" s="12"/>
      <c r="X229" s="6" t="str">
        <f aca="false">IF(COUNT(R229:W229)=6,SUM(R229:W229),"ko‘rilmagan")</f>
        <v>ko‘rilmagan</v>
      </c>
      <c r="Y229" s="12"/>
    </row>
    <row r="230" customFormat="false" ht="23.85" hidden="false" customHeight="false" outlineLevel="0" collapsed="false">
      <c r="A230" s="6" t="s">
        <v>1890</v>
      </c>
      <c r="B230" s="6" t="s">
        <v>368</v>
      </c>
      <c r="C230" s="6"/>
      <c r="D230" s="6" t="str">
        <f aca="false">IFERROR(INDEX(Mundarija!$D:$D,MATCH(B230,Mundarija!$A:$A,0)),"kod topilmadi")</f>
        <v>21.2. Kindik arteriyasi Doppleri.</v>
      </c>
      <c r="E230" s="6" t="s">
        <v>1891</v>
      </c>
      <c r="F230" s="11" t="s">
        <v>1892</v>
      </c>
      <c r="G230" s="6" t="s">
        <v>1195</v>
      </c>
      <c r="H230" s="6" t="s">
        <v>896</v>
      </c>
      <c r="I230" s="6" t="s">
        <v>813</v>
      </c>
      <c r="J230" s="6" t="s">
        <v>813</v>
      </c>
      <c r="K230" s="6" t="s">
        <v>814</v>
      </c>
      <c r="L230" s="6" t="s">
        <v>840</v>
      </c>
      <c r="M230" s="6" t="s">
        <v>898</v>
      </c>
      <c r="N230" s="12" t="s">
        <v>817</v>
      </c>
      <c r="O230" s="6" t="s">
        <v>818</v>
      </c>
      <c r="P230" s="6" t="s">
        <v>2</v>
      </c>
      <c r="Q230" s="6" t="s">
        <v>20</v>
      </c>
      <c r="R230" s="12"/>
      <c r="S230" s="12"/>
      <c r="T230" s="12"/>
      <c r="U230" s="12"/>
      <c r="V230" s="12"/>
      <c r="W230" s="12"/>
      <c r="X230" s="6" t="str">
        <f aca="false">IF(COUNT(R230:W230)=6,SUM(R230:W230),"ko‘rilmagan")</f>
        <v>ko‘rilmagan</v>
      </c>
      <c r="Y230" s="12"/>
    </row>
    <row r="231" customFormat="false" ht="23.85" hidden="false" customHeight="false" outlineLevel="0" collapsed="false">
      <c r="A231" s="6" t="s">
        <v>1893</v>
      </c>
      <c r="B231" s="6" t="s">
        <v>368</v>
      </c>
      <c r="C231" s="6"/>
      <c r="D231" s="6" t="str">
        <f aca="false">IFERROR(INDEX(Mundarija!$D:$D,MATCH(B231,Mundarija!$A:$A,0)),"kod topilmadi")</f>
        <v>21.2. Kindik arteriyasi Doppleri.</v>
      </c>
      <c r="E231" s="6" t="s">
        <v>1894</v>
      </c>
      <c r="F231" s="11" t="s">
        <v>1895</v>
      </c>
      <c r="G231" s="6" t="s">
        <v>1774</v>
      </c>
      <c r="H231" s="6" t="s">
        <v>1662</v>
      </c>
      <c r="I231" s="6" t="s">
        <v>813</v>
      </c>
      <c r="J231" s="6" t="s">
        <v>813</v>
      </c>
      <c r="K231" s="6" t="s">
        <v>814</v>
      </c>
      <c r="L231" s="6" t="s">
        <v>840</v>
      </c>
      <c r="M231" s="6" t="s">
        <v>848</v>
      </c>
      <c r="N231" s="12" t="s">
        <v>817</v>
      </c>
      <c r="O231" s="6" t="s">
        <v>818</v>
      </c>
      <c r="P231" s="6" t="s">
        <v>2</v>
      </c>
      <c r="Q231" s="6" t="s">
        <v>20</v>
      </c>
      <c r="R231" s="12"/>
      <c r="S231" s="12"/>
      <c r="T231" s="12"/>
      <c r="U231" s="12"/>
      <c r="V231" s="12"/>
      <c r="W231" s="12"/>
      <c r="X231" s="6" t="str">
        <f aca="false">IF(COUNT(R231:W231)=6,SUM(R231:W231),"ko‘rilmagan")</f>
        <v>ko‘rilmagan</v>
      </c>
      <c r="Y231" s="12"/>
    </row>
    <row r="232" customFormat="false" ht="23.85" hidden="false" customHeight="false" outlineLevel="0" collapsed="false">
      <c r="A232" s="6" t="s">
        <v>1896</v>
      </c>
      <c r="B232" s="6" t="s">
        <v>370</v>
      </c>
      <c r="C232" s="6"/>
      <c r="D232" s="6" t="str">
        <f aca="false">IFERROR(INDEX(Mundarija!$D:$D,MATCH(B232,Mundarija!$A:$A,0)),"kod topilmadi")</f>
        <v>21.3. O‘rta miya arteriyasi (MCA) va klinik ko‘rsatmalar.</v>
      </c>
      <c r="E232" s="6" t="s">
        <v>1897</v>
      </c>
      <c r="F232" s="11" t="s">
        <v>1898</v>
      </c>
      <c r="G232" s="6" t="s">
        <v>1195</v>
      </c>
      <c r="H232" s="6" t="s">
        <v>896</v>
      </c>
      <c r="I232" s="6" t="s">
        <v>813</v>
      </c>
      <c r="J232" s="6" t="s">
        <v>813</v>
      </c>
      <c r="K232" s="6" t="s">
        <v>814</v>
      </c>
      <c r="L232" s="6" t="s">
        <v>840</v>
      </c>
      <c r="M232" s="6" t="s">
        <v>898</v>
      </c>
      <c r="N232" s="12" t="s">
        <v>817</v>
      </c>
      <c r="O232" s="6" t="s">
        <v>818</v>
      </c>
      <c r="P232" s="6" t="s">
        <v>2</v>
      </c>
      <c r="Q232" s="6" t="s">
        <v>20</v>
      </c>
      <c r="R232" s="12"/>
      <c r="S232" s="12"/>
      <c r="T232" s="12"/>
      <c r="U232" s="12"/>
      <c r="V232" s="12"/>
      <c r="W232" s="12"/>
      <c r="X232" s="6" t="str">
        <f aca="false">IF(COUNT(R232:W232)=6,SUM(R232:W232),"ko‘rilmagan")</f>
        <v>ko‘rilmagan</v>
      </c>
      <c r="Y232" s="12"/>
    </row>
    <row r="233" customFormat="false" ht="23.85" hidden="false" customHeight="false" outlineLevel="0" collapsed="false">
      <c r="A233" s="6" t="s">
        <v>1899</v>
      </c>
      <c r="B233" s="6" t="s">
        <v>370</v>
      </c>
      <c r="C233" s="6" t="s">
        <v>372</v>
      </c>
      <c r="D233" s="6" t="str">
        <f aca="false">IFERROR(INDEX(Mundarija!$D:$D,MATCH(B233,Mundarija!$A:$A,0)),"kod topilmadi")</f>
        <v>21.3. O‘rta miya arteriyasi (MCA) va klinik ko‘rsatmalar.</v>
      </c>
      <c r="E233" s="6" t="s">
        <v>1900</v>
      </c>
      <c r="F233" s="11" t="s">
        <v>1901</v>
      </c>
      <c r="G233" s="6" t="s">
        <v>1814</v>
      </c>
      <c r="H233" s="6" t="s">
        <v>1815</v>
      </c>
      <c r="I233" s="6" t="s">
        <v>813</v>
      </c>
      <c r="J233" s="6" t="s">
        <v>813</v>
      </c>
      <c r="K233" s="6" t="s">
        <v>814</v>
      </c>
      <c r="L233" s="6" t="s">
        <v>840</v>
      </c>
      <c r="M233" s="6" t="s">
        <v>848</v>
      </c>
      <c r="N233" s="12" t="s">
        <v>817</v>
      </c>
      <c r="O233" s="6" t="s">
        <v>818</v>
      </c>
      <c r="P233" s="6" t="s">
        <v>2</v>
      </c>
      <c r="Q233" s="6" t="s">
        <v>20</v>
      </c>
      <c r="R233" s="12"/>
      <c r="S233" s="12"/>
      <c r="T233" s="12"/>
      <c r="U233" s="12"/>
      <c r="V233" s="12"/>
      <c r="W233" s="12"/>
      <c r="X233" s="6" t="str">
        <f aca="false">IF(COUNT(R233:W233)=6,SUM(R233:W233),"ko‘rilmagan")</f>
        <v>ko‘rilmagan</v>
      </c>
      <c r="Y233" s="12"/>
    </row>
    <row r="234" customFormat="false" ht="23.85" hidden="false" customHeight="false" outlineLevel="0" collapsed="false">
      <c r="A234" s="6" t="s">
        <v>1902</v>
      </c>
      <c r="B234" s="6" t="s">
        <v>372</v>
      </c>
      <c r="C234" s="6"/>
      <c r="D234" s="6" t="str">
        <f aca="false">IFERROR(INDEX(Mundarija!$D:$D,MATCH(B234,Mundarija!$A:$A,0)),"kod topilmadi")</f>
        <v>21.4. Serebroplatsentar nisbat va gemodinamik baholash.</v>
      </c>
      <c r="E234" s="6" t="s">
        <v>1903</v>
      </c>
      <c r="F234" s="11" t="s">
        <v>1904</v>
      </c>
      <c r="G234" s="6" t="s">
        <v>1905</v>
      </c>
      <c r="H234" s="6" t="s">
        <v>1906</v>
      </c>
      <c r="I234" s="6" t="s">
        <v>813</v>
      </c>
      <c r="J234" s="6" t="s">
        <v>813</v>
      </c>
      <c r="K234" s="6" t="s">
        <v>814</v>
      </c>
      <c r="L234" s="6" t="s">
        <v>840</v>
      </c>
      <c r="M234" s="6" t="s">
        <v>848</v>
      </c>
      <c r="N234" s="12" t="s">
        <v>817</v>
      </c>
      <c r="O234" s="6" t="s">
        <v>818</v>
      </c>
      <c r="P234" s="6" t="s">
        <v>2</v>
      </c>
      <c r="Q234" s="6" t="s">
        <v>20</v>
      </c>
      <c r="R234" s="12"/>
      <c r="S234" s="12"/>
      <c r="T234" s="12"/>
      <c r="U234" s="12"/>
      <c r="V234" s="12"/>
      <c r="W234" s="12"/>
      <c r="X234" s="6" t="str">
        <f aca="false">IF(COUNT(R234:W234)=6,SUM(R234:W234),"ko‘rilmagan")</f>
        <v>ko‘rilmagan</v>
      </c>
      <c r="Y234" s="12"/>
    </row>
    <row r="235" customFormat="false" ht="23.85" hidden="false" customHeight="false" outlineLevel="0" collapsed="false">
      <c r="A235" s="6" t="s">
        <v>1907</v>
      </c>
      <c r="B235" s="6" t="s">
        <v>374</v>
      </c>
      <c r="C235" s="6" t="s">
        <v>361</v>
      </c>
      <c r="D235" s="6" t="str">
        <f aca="false">IFERROR(INDEX(Mundarija!$D:$D,MATCH(B235,Mundarija!$A:$A,0)),"kod topilmadi")</f>
        <v>21.5. FGR va preeklampsiya xavfini baholashda Doppler.</v>
      </c>
      <c r="E235" s="6" t="s">
        <v>1908</v>
      </c>
      <c r="F235" s="11" t="s">
        <v>1909</v>
      </c>
      <c r="G235" s="6" t="s">
        <v>1910</v>
      </c>
      <c r="H235" s="6" t="s">
        <v>1911</v>
      </c>
      <c r="I235" s="6" t="s">
        <v>813</v>
      </c>
      <c r="J235" s="6" t="s">
        <v>813</v>
      </c>
      <c r="K235" s="6" t="s">
        <v>814</v>
      </c>
      <c r="L235" s="6" t="s">
        <v>1684</v>
      </c>
      <c r="M235" s="6" t="s">
        <v>848</v>
      </c>
      <c r="N235" s="12" t="s">
        <v>817</v>
      </c>
      <c r="O235" s="6" t="s">
        <v>818</v>
      </c>
      <c r="P235" s="6" t="s">
        <v>2</v>
      </c>
      <c r="Q235" s="6" t="s">
        <v>20</v>
      </c>
      <c r="R235" s="12"/>
      <c r="S235" s="12"/>
      <c r="T235" s="12"/>
      <c r="U235" s="12"/>
      <c r="V235" s="12"/>
      <c r="W235" s="12"/>
      <c r="X235" s="6" t="str">
        <f aca="false">IF(COUNT(R235:W235)=6,SUM(R235:W235),"ko‘rilmagan")</f>
        <v>ko‘rilmagan</v>
      </c>
      <c r="Y235" s="12"/>
    </row>
    <row r="236" customFormat="false" ht="23.85" hidden="false" customHeight="false" outlineLevel="0" collapsed="false">
      <c r="A236" s="6" t="s">
        <v>1912</v>
      </c>
      <c r="B236" s="6" t="s">
        <v>374</v>
      </c>
      <c r="C236" s="6" t="s">
        <v>1913</v>
      </c>
      <c r="D236" s="6" t="str">
        <f aca="false">IFERROR(INDEX(Mundarija!$D:$D,MATCH(B236,Mundarija!$A:$A,0)),"kod topilmadi")</f>
        <v>21.5. FGR va preeklampsiya xavfini baholashda Doppler.</v>
      </c>
      <c r="E236" s="6" t="s">
        <v>1914</v>
      </c>
      <c r="F236" s="11" t="s">
        <v>1915</v>
      </c>
      <c r="G236" s="6" t="s">
        <v>1165</v>
      </c>
      <c r="H236" s="6" t="s">
        <v>1707</v>
      </c>
      <c r="I236" s="6" t="s">
        <v>813</v>
      </c>
      <c r="J236" s="6" t="s">
        <v>813</v>
      </c>
      <c r="K236" s="6" t="s">
        <v>814</v>
      </c>
      <c r="L236" s="6" t="s">
        <v>840</v>
      </c>
      <c r="M236" s="6" t="s">
        <v>848</v>
      </c>
      <c r="N236" s="12" t="s">
        <v>817</v>
      </c>
      <c r="O236" s="6" t="s">
        <v>818</v>
      </c>
      <c r="P236" s="6" t="s">
        <v>2</v>
      </c>
      <c r="Q236" s="6" t="s">
        <v>20</v>
      </c>
      <c r="R236" s="12"/>
      <c r="S236" s="12"/>
      <c r="T236" s="12"/>
      <c r="U236" s="12"/>
      <c r="V236" s="12"/>
      <c r="W236" s="12"/>
      <c r="X236" s="6" t="str">
        <f aca="false">IF(COUNT(R236:W236)=6,SUM(R236:W236),"ko‘rilmagan")</f>
        <v>ko‘rilmagan</v>
      </c>
      <c r="Y236" s="12"/>
    </row>
    <row r="237" customFormat="false" ht="23.85" hidden="false" customHeight="false" outlineLevel="0" collapsed="false">
      <c r="A237" s="6" t="s">
        <v>1916</v>
      </c>
      <c r="B237" s="6" t="s">
        <v>374</v>
      </c>
      <c r="C237" s="6"/>
      <c r="D237" s="6" t="str">
        <f aca="false">IFERROR(INDEX(Mundarija!$D:$D,MATCH(B237,Mundarija!$A:$A,0)),"kod topilmadi")</f>
        <v>21.5. FGR va preeklampsiya xavfini baholashda Doppler.</v>
      </c>
      <c r="E237" s="6" t="s">
        <v>1917</v>
      </c>
      <c r="F237" s="11" t="s">
        <v>1918</v>
      </c>
      <c r="G237" s="6" t="s">
        <v>1440</v>
      </c>
      <c r="H237" s="6" t="s">
        <v>1715</v>
      </c>
      <c r="I237" s="6" t="s">
        <v>813</v>
      </c>
      <c r="J237" s="6" t="s">
        <v>813</v>
      </c>
      <c r="K237" s="6" t="s">
        <v>814</v>
      </c>
      <c r="L237" s="6" t="s">
        <v>840</v>
      </c>
      <c r="M237" s="6" t="s">
        <v>827</v>
      </c>
      <c r="N237" s="12" t="s">
        <v>817</v>
      </c>
      <c r="O237" s="6" t="s">
        <v>818</v>
      </c>
      <c r="P237" s="6" t="s">
        <v>2</v>
      </c>
      <c r="Q237" s="6" t="s">
        <v>20</v>
      </c>
      <c r="R237" s="12"/>
      <c r="S237" s="12"/>
      <c r="T237" s="12"/>
      <c r="U237" s="12"/>
      <c r="V237" s="12"/>
      <c r="W237" s="12"/>
      <c r="X237" s="6" t="str">
        <f aca="false">IF(COUNT(R237:W237)=6,SUM(R237:W237),"ko‘rilmagan")</f>
        <v>ko‘rilmagan</v>
      </c>
      <c r="Y237" s="12"/>
    </row>
    <row r="238" customFormat="false" ht="23.85" hidden="false" customHeight="false" outlineLevel="0" collapsed="false">
      <c r="A238" s="6" t="s">
        <v>1919</v>
      </c>
      <c r="B238" s="6" t="s">
        <v>376</v>
      </c>
      <c r="C238" s="6"/>
      <c r="D238" s="6" t="str">
        <f aca="false">IFERROR(INDEX(Mundarija!$D:$D,MATCH(B238,Mundarija!$A:$A,0)),"kod topilmadi")</f>
        <v>21.6. Biofizik profil va amniotik suyuqlikni baholash.</v>
      </c>
      <c r="E238" s="6" t="s">
        <v>1920</v>
      </c>
      <c r="F238" s="11" t="s">
        <v>1921</v>
      </c>
      <c r="G238" s="6" t="s">
        <v>1254</v>
      </c>
      <c r="H238" s="6" t="s">
        <v>1576</v>
      </c>
      <c r="I238" s="6" t="s">
        <v>813</v>
      </c>
      <c r="J238" s="6" t="s">
        <v>813</v>
      </c>
      <c r="K238" s="6" t="s">
        <v>814</v>
      </c>
      <c r="L238" s="6" t="s">
        <v>815</v>
      </c>
      <c r="M238" s="6" t="s">
        <v>827</v>
      </c>
      <c r="N238" s="12" t="s">
        <v>817</v>
      </c>
      <c r="O238" s="6" t="s">
        <v>818</v>
      </c>
      <c r="P238" s="6" t="s">
        <v>2</v>
      </c>
      <c r="Q238" s="6" t="s">
        <v>20</v>
      </c>
      <c r="R238" s="12"/>
      <c r="S238" s="12"/>
      <c r="T238" s="12"/>
      <c r="U238" s="12"/>
      <c r="V238" s="12"/>
      <c r="W238" s="12"/>
      <c r="X238" s="6" t="str">
        <f aca="false">IF(COUNT(R238:W238)=6,SUM(R238:W238),"ko‘rilmagan")</f>
        <v>ko‘rilmagan</v>
      </c>
      <c r="Y238" s="12"/>
    </row>
    <row r="239" customFormat="false" ht="23.85" hidden="false" customHeight="false" outlineLevel="0" collapsed="false">
      <c r="A239" s="6" t="s">
        <v>1922</v>
      </c>
      <c r="B239" s="6" t="s">
        <v>376</v>
      </c>
      <c r="C239" s="6"/>
      <c r="D239" s="6" t="str">
        <f aca="false">IFERROR(INDEX(Mundarija!$D:$D,MATCH(B239,Mundarija!$A:$A,0)),"kod topilmadi")</f>
        <v>21.6. Biofizik profil va amniotik suyuqlikni baholash.</v>
      </c>
      <c r="E239" s="6" t="s">
        <v>1923</v>
      </c>
      <c r="F239" s="11" t="s">
        <v>1924</v>
      </c>
      <c r="G239" s="6" t="s">
        <v>1254</v>
      </c>
      <c r="H239" s="6" t="s">
        <v>1576</v>
      </c>
      <c r="I239" s="6" t="s">
        <v>813</v>
      </c>
      <c r="J239" s="6" t="s">
        <v>813</v>
      </c>
      <c r="K239" s="6" t="s">
        <v>814</v>
      </c>
      <c r="L239" s="6" t="s">
        <v>815</v>
      </c>
      <c r="M239" s="6" t="s">
        <v>827</v>
      </c>
      <c r="N239" s="12" t="s">
        <v>817</v>
      </c>
      <c r="O239" s="6" t="s">
        <v>818</v>
      </c>
      <c r="P239" s="6" t="s">
        <v>2</v>
      </c>
      <c r="Q239" s="6" t="s">
        <v>20</v>
      </c>
      <c r="R239" s="12"/>
      <c r="S239" s="12"/>
      <c r="T239" s="12"/>
      <c r="U239" s="12"/>
      <c r="V239" s="12"/>
      <c r="W239" s="12"/>
      <c r="X239" s="6" t="str">
        <f aca="false">IF(COUNT(R239:W239)=6,SUM(R239:W239),"ko‘rilmagan")</f>
        <v>ko‘rilmagan</v>
      </c>
      <c r="Y239" s="12"/>
    </row>
    <row r="240" customFormat="false" ht="23.85" hidden="false" customHeight="false" outlineLevel="0" collapsed="false">
      <c r="A240" s="6" t="s">
        <v>1925</v>
      </c>
      <c r="B240" s="6" t="s">
        <v>376</v>
      </c>
      <c r="C240" s="6"/>
      <c r="D240" s="6" t="str">
        <f aca="false">IFERROR(INDEX(Mundarija!$D:$D,MATCH(B240,Mundarija!$A:$A,0)),"kod topilmadi")</f>
        <v>21.6. Biofizik profil va amniotik suyuqlikni baholash.</v>
      </c>
      <c r="E240" s="6" t="s">
        <v>1926</v>
      </c>
      <c r="F240" s="11" t="s">
        <v>1927</v>
      </c>
      <c r="G240" s="6" t="s">
        <v>1928</v>
      </c>
      <c r="H240" s="6" t="s">
        <v>1929</v>
      </c>
      <c r="I240" s="6" t="s">
        <v>813</v>
      </c>
      <c r="J240" s="6" t="s">
        <v>813</v>
      </c>
      <c r="K240" s="6" t="s">
        <v>814</v>
      </c>
      <c r="L240" s="6" t="s">
        <v>815</v>
      </c>
      <c r="M240" s="6" t="s">
        <v>848</v>
      </c>
      <c r="N240" s="12" t="s">
        <v>817</v>
      </c>
      <c r="O240" s="6" t="s">
        <v>818</v>
      </c>
      <c r="P240" s="6" t="s">
        <v>2</v>
      </c>
      <c r="Q240" s="6" t="s">
        <v>20</v>
      </c>
      <c r="R240" s="12"/>
      <c r="S240" s="12"/>
      <c r="T240" s="12"/>
      <c r="U240" s="12"/>
      <c r="V240" s="12"/>
      <c r="W240" s="12"/>
      <c r="X240" s="6" t="str">
        <f aca="false">IF(COUNT(R240:W240)=6,SUM(R240:W240),"ko‘rilmagan")</f>
        <v>ko‘rilmagan</v>
      </c>
      <c r="Y240" s="12"/>
    </row>
    <row r="241" customFormat="false" ht="23.85" hidden="false" customHeight="false" outlineLevel="0" collapsed="false">
      <c r="A241" s="6" t="s">
        <v>1930</v>
      </c>
      <c r="B241" s="6" t="s">
        <v>378</v>
      </c>
      <c r="C241" s="6"/>
      <c r="D241" s="6" t="str">
        <f aca="false">IFERROR(INDEX(Mundarija!$D:$D,MATCH(B241,Mundarija!$A:$A,0)),"kod topilmadi")</f>
        <v>21.7. Egizak homiladorlik asoratlari.</v>
      </c>
      <c r="E241" s="6" t="s">
        <v>1931</v>
      </c>
      <c r="F241" s="11" t="s">
        <v>1932</v>
      </c>
      <c r="G241" s="6" t="s">
        <v>1933</v>
      </c>
      <c r="H241" s="6" t="s">
        <v>1934</v>
      </c>
      <c r="I241" s="6" t="s">
        <v>813</v>
      </c>
      <c r="J241" s="6" t="s">
        <v>813</v>
      </c>
      <c r="K241" s="6" t="s">
        <v>814</v>
      </c>
      <c r="L241" s="6" t="s">
        <v>1684</v>
      </c>
      <c r="M241" s="6" t="s">
        <v>848</v>
      </c>
      <c r="N241" s="12" t="s">
        <v>817</v>
      </c>
      <c r="O241" s="6" t="s">
        <v>818</v>
      </c>
      <c r="P241" s="6" t="s">
        <v>2</v>
      </c>
      <c r="Q241" s="6" t="s">
        <v>20</v>
      </c>
      <c r="R241" s="12"/>
      <c r="S241" s="12"/>
      <c r="T241" s="12"/>
      <c r="U241" s="12"/>
      <c r="V241" s="12"/>
      <c r="W241" s="12"/>
      <c r="X241" s="6" t="str">
        <f aca="false">IF(COUNT(R241:W241)=6,SUM(R241:W241),"ko‘rilmagan")</f>
        <v>ko‘rilmagan</v>
      </c>
      <c r="Y241" s="12"/>
    </row>
    <row r="242" customFormat="false" ht="23.85" hidden="false" customHeight="false" outlineLevel="0" collapsed="false">
      <c r="A242" s="6" t="s">
        <v>1935</v>
      </c>
      <c r="B242" s="6" t="s">
        <v>378</v>
      </c>
      <c r="C242" s="6"/>
      <c r="D242" s="6" t="str">
        <f aca="false">IFERROR(INDEX(Mundarija!$D:$D,MATCH(B242,Mundarija!$A:$A,0)),"kod topilmadi")</f>
        <v>21.7. Egizak homiladorlik asoratlari.</v>
      </c>
      <c r="E242" s="6" t="s">
        <v>1936</v>
      </c>
      <c r="F242" s="11" t="s">
        <v>1937</v>
      </c>
      <c r="G242" s="6" t="s">
        <v>1938</v>
      </c>
      <c r="H242" s="6" t="s">
        <v>1939</v>
      </c>
      <c r="I242" s="6" t="s">
        <v>813</v>
      </c>
      <c r="J242" s="6" t="s">
        <v>813</v>
      </c>
      <c r="K242" s="6" t="s">
        <v>814</v>
      </c>
      <c r="L242" s="6" t="s">
        <v>840</v>
      </c>
      <c r="M242" s="6" t="s">
        <v>848</v>
      </c>
      <c r="N242" s="12" t="s">
        <v>817</v>
      </c>
      <c r="O242" s="6" t="s">
        <v>818</v>
      </c>
      <c r="P242" s="6" t="s">
        <v>2</v>
      </c>
      <c r="Q242" s="6" t="s">
        <v>20</v>
      </c>
      <c r="R242" s="12"/>
      <c r="S242" s="12"/>
      <c r="T242" s="12"/>
      <c r="U242" s="12"/>
      <c r="V242" s="12"/>
      <c r="W242" s="12"/>
      <c r="X242" s="6" t="str">
        <f aca="false">IF(COUNT(R242:W242)=6,SUM(R242:W242),"ko‘rilmagan")</f>
        <v>ko‘rilmagan</v>
      </c>
      <c r="Y242" s="12"/>
    </row>
    <row r="243" customFormat="false" ht="23.85" hidden="false" customHeight="false" outlineLevel="0" collapsed="false">
      <c r="A243" s="6" t="s">
        <v>1940</v>
      </c>
      <c r="B243" s="6" t="s">
        <v>378</v>
      </c>
      <c r="C243" s="6"/>
      <c r="D243" s="6" t="str">
        <f aca="false">IFERROR(INDEX(Mundarija!$D:$D,MATCH(B243,Mundarija!$A:$A,0)),"kod topilmadi")</f>
        <v>21.7. Egizak homiladorlik asoratlari.</v>
      </c>
      <c r="E243" s="6" t="s">
        <v>1941</v>
      </c>
      <c r="F243" s="11" t="s">
        <v>1942</v>
      </c>
      <c r="G243" s="6" t="s">
        <v>1943</v>
      </c>
      <c r="H243" s="6" t="s">
        <v>1944</v>
      </c>
      <c r="I243" s="6" t="s">
        <v>813</v>
      </c>
      <c r="J243" s="6" t="s">
        <v>813</v>
      </c>
      <c r="K243" s="6" t="s">
        <v>814</v>
      </c>
      <c r="L243" s="6" t="s">
        <v>1684</v>
      </c>
      <c r="M243" s="6" t="s">
        <v>848</v>
      </c>
      <c r="N243" s="12" t="s">
        <v>817</v>
      </c>
      <c r="O243" s="6" t="s">
        <v>818</v>
      </c>
      <c r="P243" s="6" t="s">
        <v>2</v>
      </c>
      <c r="Q243" s="6" t="s">
        <v>20</v>
      </c>
      <c r="R243" s="12"/>
      <c r="S243" s="12"/>
      <c r="T243" s="12"/>
      <c r="U243" s="12"/>
      <c r="V243" s="12"/>
      <c r="W243" s="12"/>
      <c r="X243" s="6" t="str">
        <f aca="false">IF(COUNT(R243:W243)=6,SUM(R243:W243),"ko‘rilmagan")</f>
        <v>ko‘rilmagan</v>
      </c>
      <c r="Y243" s="12"/>
    </row>
    <row r="244" customFormat="false" ht="23.85" hidden="false" customHeight="false" outlineLevel="0" collapsed="false">
      <c r="A244" s="6" t="s">
        <v>1945</v>
      </c>
      <c r="B244" s="6" t="s">
        <v>382</v>
      </c>
      <c r="C244" s="6"/>
      <c r="D244" s="6" t="str">
        <f aca="false">IFERROR(INDEX(Mundarija!$D:$D,MATCH(B244,Mundarija!$A:$A,0)),"kod topilmadi")</f>
        <v>21.9. 3D/4D akusherlik tekshiruvi va uning cheklovlari.</v>
      </c>
      <c r="E244" s="6" t="s">
        <v>1946</v>
      </c>
      <c r="F244" s="11" t="s">
        <v>1947</v>
      </c>
      <c r="G244" s="6" t="s">
        <v>1948</v>
      </c>
      <c r="H244" s="6" t="s">
        <v>1949</v>
      </c>
      <c r="I244" s="6" t="s">
        <v>813</v>
      </c>
      <c r="J244" s="6" t="s">
        <v>813</v>
      </c>
      <c r="K244" s="6" t="s">
        <v>814</v>
      </c>
      <c r="L244" s="6" t="s">
        <v>1684</v>
      </c>
      <c r="M244" s="6" t="s">
        <v>827</v>
      </c>
      <c r="N244" s="12" t="s">
        <v>817</v>
      </c>
      <c r="O244" s="6" t="s">
        <v>818</v>
      </c>
      <c r="P244" s="6" t="s">
        <v>2</v>
      </c>
      <c r="Q244" s="6" t="s">
        <v>20</v>
      </c>
      <c r="R244" s="12"/>
      <c r="S244" s="12"/>
      <c r="T244" s="12"/>
      <c r="U244" s="12"/>
      <c r="V244" s="12"/>
      <c r="W244" s="12"/>
      <c r="X244" s="6" t="str">
        <f aca="false">IF(COUNT(R244:W244)=6,SUM(R244:W244),"ko‘rilmagan")</f>
        <v>ko‘rilmagan</v>
      </c>
      <c r="Y244" s="12"/>
    </row>
    <row r="245" customFormat="false" ht="23.85" hidden="false" customHeight="false" outlineLevel="0" collapsed="false">
      <c r="A245" s="6" t="s">
        <v>1950</v>
      </c>
      <c r="B245" s="6" t="s">
        <v>398</v>
      </c>
      <c r="C245" s="6"/>
      <c r="D245" s="6" t="str">
        <f aca="false">IFERROR(INDEX(Mundarija!$D:$D,MATCH(B245,Mundarija!$A:$A,0)),"kod topilmadi")</f>
        <v>22.7. UZI nazoratida biopsiyaga nazariy kirish.</v>
      </c>
      <c r="E245" s="6" t="s">
        <v>1951</v>
      </c>
      <c r="F245" s="11" t="s">
        <v>1952</v>
      </c>
      <c r="G245" s="6" t="s">
        <v>1953</v>
      </c>
      <c r="H245" s="6" t="s">
        <v>1954</v>
      </c>
      <c r="I245" s="6" t="s">
        <v>813</v>
      </c>
      <c r="J245" s="6" t="s">
        <v>813</v>
      </c>
      <c r="K245" s="6" t="s">
        <v>814</v>
      </c>
      <c r="L245" s="6" t="s">
        <v>1684</v>
      </c>
      <c r="M245" s="6" t="s">
        <v>827</v>
      </c>
      <c r="N245" s="12" t="s">
        <v>817</v>
      </c>
      <c r="O245" s="6" t="s">
        <v>818</v>
      </c>
      <c r="P245" s="6" t="s">
        <v>2</v>
      </c>
      <c r="Q245" s="6" t="s">
        <v>20</v>
      </c>
      <c r="R245" s="12"/>
      <c r="S245" s="12"/>
      <c r="T245" s="12"/>
      <c r="U245" s="12"/>
      <c r="V245" s="12"/>
      <c r="W245" s="12"/>
      <c r="X245" s="6" t="str">
        <f aca="false">IF(COUNT(R245:W245)=6,SUM(R245:W245),"ko‘rilmagan")</f>
        <v>ko‘rilmagan</v>
      </c>
      <c r="Y245" s="12"/>
    </row>
    <row r="246" customFormat="false" ht="23.85" hidden="false" customHeight="false" outlineLevel="0" collapsed="false">
      <c r="A246" s="6" t="s">
        <v>1955</v>
      </c>
      <c r="B246" s="6" t="s">
        <v>398</v>
      </c>
      <c r="C246" s="6"/>
      <c r="D246" s="6" t="str">
        <f aca="false">IFERROR(INDEX(Mundarija!$D:$D,MATCH(B246,Mundarija!$A:$A,0)),"kod topilmadi")</f>
        <v>22.7. UZI nazoratida biopsiyaga nazariy kirish.</v>
      </c>
      <c r="E246" s="6" t="s">
        <v>1956</v>
      </c>
      <c r="F246" s="11" t="s">
        <v>1957</v>
      </c>
      <c r="G246" s="6" t="s">
        <v>1958</v>
      </c>
      <c r="H246" s="6" t="s">
        <v>1959</v>
      </c>
      <c r="I246" s="6" t="s">
        <v>813</v>
      </c>
      <c r="J246" s="6" t="s">
        <v>813</v>
      </c>
      <c r="K246" s="6" t="s">
        <v>814</v>
      </c>
      <c r="L246" s="6" t="s">
        <v>1684</v>
      </c>
      <c r="M246" s="6" t="s">
        <v>827</v>
      </c>
      <c r="N246" s="12" t="s">
        <v>817</v>
      </c>
      <c r="O246" s="6" t="s">
        <v>818</v>
      </c>
      <c r="P246" s="6" t="s">
        <v>2</v>
      </c>
      <c r="Q246" s="6" t="s">
        <v>20</v>
      </c>
      <c r="R246" s="12"/>
      <c r="S246" s="12"/>
      <c r="T246" s="12"/>
      <c r="U246" s="12"/>
      <c r="V246" s="12"/>
      <c r="W246" s="12"/>
      <c r="X246" s="6" t="str">
        <f aca="false">IF(COUNT(R246:W246)=6,SUM(R246:W246),"ko‘rilmagan")</f>
        <v>ko‘rilmagan</v>
      </c>
      <c r="Y246" s="12"/>
    </row>
    <row r="247" customFormat="false" ht="23.85" hidden="false" customHeight="false" outlineLevel="0" collapsed="false">
      <c r="A247" s="6" t="s">
        <v>1960</v>
      </c>
      <c r="B247" s="6" t="s">
        <v>400</v>
      </c>
      <c r="C247" s="6"/>
      <c r="D247" s="6" t="str">
        <f aca="false">IFERROR(INDEX(Mundarija!$D:$D,MATCH(B247,Mundarija!$A:$A,0)),"kod topilmadi")</f>
        <v>23.1. Normal anatomiya va yoshga bog‘liq o‘zgarishlar.</v>
      </c>
      <c r="E247" s="6" t="s">
        <v>1961</v>
      </c>
      <c r="F247" s="11" t="s">
        <v>1962</v>
      </c>
      <c r="G247" s="6" t="s">
        <v>1963</v>
      </c>
      <c r="H247" s="6" t="s">
        <v>1964</v>
      </c>
      <c r="I247" s="6" t="s">
        <v>813</v>
      </c>
      <c r="J247" s="6" t="s">
        <v>813</v>
      </c>
      <c r="K247" s="6" t="s">
        <v>814</v>
      </c>
      <c r="L247" s="6" t="s">
        <v>815</v>
      </c>
      <c r="M247" s="6" t="s">
        <v>848</v>
      </c>
      <c r="N247" s="12" t="s">
        <v>817</v>
      </c>
      <c r="O247" s="6" t="s">
        <v>818</v>
      </c>
      <c r="P247" s="6" t="s">
        <v>2</v>
      </c>
      <c r="Q247" s="6" t="s">
        <v>20</v>
      </c>
      <c r="R247" s="12"/>
      <c r="S247" s="12"/>
      <c r="T247" s="12"/>
      <c r="U247" s="12"/>
      <c r="V247" s="12"/>
      <c r="W247" s="12"/>
      <c r="X247" s="6" t="str">
        <f aca="false">IF(COUNT(R247:W247)=6,SUM(R247:W247),"ko‘rilmagan")</f>
        <v>ko‘rilmagan</v>
      </c>
      <c r="Y247" s="12"/>
    </row>
    <row r="248" customFormat="false" ht="23.85" hidden="false" customHeight="false" outlineLevel="0" collapsed="false">
      <c r="A248" s="6" t="s">
        <v>1965</v>
      </c>
      <c r="B248" s="6" t="s">
        <v>400</v>
      </c>
      <c r="C248" s="6" t="s">
        <v>403</v>
      </c>
      <c r="D248" s="6" t="str">
        <f aca="false">IFERROR(INDEX(Mundarija!$D:$D,MATCH(B248,Mundarija!$A:$A,0)),"kod topilmadi")</f>
        <v>23.1. Normal anatomiya va yoshga bog‘liq o‘zgarishlar.</v>
      </c>
      <c r="E248" s="6" t="s">
        <v>1966</v>
      </c>
      <c r="F248" s="11" t="s">
        <v>1967</v>
      </c>
      <c r="G248" s="6" t="s">
        <v>1171</v>
      </c>
      <c r="H248" s="6" t="s">
        <v>846</v>
      </c>
      <c r="I248" s="6" t="s">
        <v>813</v>
      </c>
      <c r="J248" s="6" t="s">
        <v>813</v>
      </c>
      <c r="K248" s="6" t="s">
        <v>814</v>
      </c>
      <c r="L248" s="6" t="s">
        <v>815</v>
      </c>
      <c r="M248" s="6" t="s">
        <v>848</v>
      </c>
      <c r="N248" s="12" t="s">
        <v>817</v>
      </c>
      <c r="O248" s="6" t="s">
        <v>818</v>
      </c>
      <c r="P248" s="6" t="s">
        <v>2</v>
      </c>
      <c r="Q248" s="6" t="s">
        <v>20</v>
      </c>
      <c r="R248" s="12"/>
      <c r="S248" s="12"/>
      <c r="T248" s="12"/>
      <c r="U248" s="12"/>
      <c r="V248" s="12"/>
      <c r="W248" s="12"/>
      <c r="X248" s="6" t="str">
        <f aca="false">IF(COUNT(R248:W248)=6,SUM(R248:W248),"ko‘rilmagan")</f>
        <v>ko‘rilmagan</v>
      </c>
      <c r="Y248" s="12"/>
    </row>
    <row r="249" customFormat="false" ht="23.85" hidden="false" customHeight="false" outlineLevel="0" collapsed="false">
      <c r="A249" s="6" t="s">
        <v>1968</v>
      </c>
      <c r="B249" s="6" t="s">
        <v>403</v>
      </c>
      <c r="C249" s="6"/>
      <c r="D249" s="6" t="str">
        <f aca="false">IFERROR(INDEX(Mundarija!$D:$D,MATCH(B249,Mundarija!$A:$A,0)),"kod topilmadi")</f>
        <v>23.2. Tekshiruv texnikasi va standart tekisliklar.</v>
      </c>
      <c r="E249" s="6" t="s">
        <v>1969</v>
      </c>
      <c r="F249" s="11" t="s">
        <v>1970</v>
      </c>
      <c r="G249" s="6" t="s">
        <v>1195</v>
      </c>
      <c r="H249" s="6" t="s">
        <v>896</v>
      </c>
      <c r="I249" s="6" t="s">
        <v>813</v>
      </c>
      <c r="J249" s="6" t="s">
        <v>813</v>
      </c>
      <c r="K249" s="6" t="s">
        <v>814</v>
      </c>
      <c r="L249" s="6" t="s">
        <v>815</v>
      </c>
      <c r="M249" s="6" t="s">
        <v>827</v>
      </c>
      <c r="N249" s="12" t="s">
        <v>817</v>
      </c>
      <c r="O249" s="6" t="s">
        <v>818</v>
      </c>
      <c r="P249" s="6" t="s">
        <v>2</v>
      </c>
      <c r="Q249" s="6" t="s">
        <v>20</v>
      </c>
      <c r="R249" s="12"/>
      <c r="S249" s="12"/>
      <c r="T249" s="12"/>
      <c r="U249" s="12"/>
      <c r="V249" s="12"/>
      <c r="W249" s="12"/>
      <c r="X249" s="6" t="str">
        <f aca="false">IF(COUNT(R249:W249)=6,SUM(R249:W249),"ko‘rilmagan")</f>
        <v>ko‘rilmagan</v>
      </c>
      <c r="Y249" s="12"/>
    </row>
    <row r="250" customFormat="false" ht="23.85" hidden="false" customHeight="false" outlineLevel="0" collapsed="false">
      <c r="A250" s="6" t="s">
        <v>1971</v>
      </c>
      <c r="B250" s="6" t="s">
        <v>407</v>
      </c>
      <c r="C250" s="6" t="s">
        <v>1972</v>
      </c>
      <c r="D250" s="6" t="str">
        <f aca="false">IFERROR(INDEX(Mundarija!$D:$D,MATCH(B250,Mundarija!$A:$A,0)),"kod topilmadi")</f>
        <v>23.4. Malign o‘smalarning sonografik belgilari.</v>
      </c>
      <c r="E250" s="6" t="s">
        <v>1973</v>
      </c>
      <c r="F250" s="11" t="s">
        <v>1974</v>
      </c>
      <c r="G250" s="6" t="s">
        <v>1195</v>
      </c>
      <c r="H250" s="6" t="s">
        <v>896</v>
      </c>
      <c r="I250" s="6" t="s">
        <v>813</v>
      </c>
      <c r="J250" s="6" t="s">
        <v>813</v>
      </c>
      <c r="K250" s="6" t="s">
        <v>814</v>
      </c>
      <c r="L250" s="6" t="s">
        <v>840</v>
      </c>
      <c r="M250" s="6" t="s">
        <v>898</v>
      </c>
      <c r="N250" s="12" t="s">
        <v>817</v>
      </c>
      <c r="O250" s="6" t="s">
        <v>818</v>
      </c>
      <c r="P250" s="6" t="s">
        <v>2</v>
      </c>
      <c r="Q250" s="6" t="s">
        <v>20</v>
      </c>
      <c r="R250" s="12"/>
      <c r="S250" s="12"/>
      <c r="T250" s="12"/>
      <c r="U250" s="12"/>
      <c r="V250" s="12"/>
      <c r="W250" s="12"/>
      <c r="X250" s="6" t="str">
        <f aca="false">IF(COUNT(R250:W250)=6,SUM(R250:W250),"ko‘rilmagan")</f>
        <v>ko‘rilmagan</v>
      </c>
      <c r="Y250" s="12"/>
    </row>
    <row r="251" customFormat="false" ht="23.85" hidden="false" customHeight="false" outlineLevel="0" collapsed="false">
      <c r="A251" s="6" t="s">
        <v>1975</v>
      </c>
      <c r="B251" s="6" t="s">
        <v>411</v>
      </c>
      <c r="C251" s="6"/>
      <c r="D251" s="6" t="str">
        <f aca="false">IFERROR(INDEX(Mundarija!$D:$D,MATCH(B251,Mundarija!$A:$A,0)),"kod topilmadi")</f>
        <v>23.6. Sut bezi yallig‘lanishi va abssess.</v>
      </c>
      <c r="E251" s="6" t="s">
        <v>1976</v>
      </c>
      <c r="F251" s="11" t="s">
        <v>1977</v>
      </c>
      <c r="G251" s="6" t="s">
        <v>1978</v>
      </c>
      <c r="H251" s="6" t="s">
        <v>1979</v>
      </c>
      <c r="I251" s="6" t="s">
        <v>813</v>
      </c>
      <c r="J251" s="6" t="s">
        <v>813</v>
      </c>
      <c r="K251" s="6" t="s">
        <v>814</v>
      </c>
      <c r="L251" s="6" t="s">
        <v>840</v>
      </c>
      <c r="M251" s="6" t="s">
        <v>1649</v>
      </c>
      <c r="N251" s="12" t="s">
        <v>817</v>
      </c>
      <c r="O251" s="6" t="s">
        <v>818</v>
      </c>
      <c r="P251" s="6" t="s">
        <v>2</v>
      </c>
      <c r="Q251" s="6" t="s">
        <v>20</v>
      </c>
      <c r="R251" s="12"/>
      <c r="S251" s="12"/>
      <c r="T251" s="12"/>
      <c r="U251" s="12"/>
      <c r="V251" s="12"/>
      <c r="W251" s="12"/>
      <c r="X251" s="6" t="str">
        <f aca="false">IF(COUNT(R251:W251)=6,SUM(R251:W251),"ko‘rilmagan")</f>
        <v>ko‘rilmagan</v>
      </c>
      <c r="Y251" s="12"/>
    </row>
    <row r="252" customFormat="false" ht="23.85" hidden="false" customHeight="false" outlineLevel="0" collapsed="false">
      <c r="A252" s="6" t="s">
        <v>1980</v>
      </c>
      <c r="B252" s="6" t="s">
        <v>411</v>
      </c>
      <c r="C252" s="6"/>
      <c r="D252" s="6" t="str">
        <f aca="false">IFERROR(INDEX(Mundarija!$D:$D,MATCH(B252,Mundarija!$A:$A,0)),"kod topilmadi")</f>
        <v>23.6. Sut bezi yallig‘lanishi va abssess.</v>
      </c>
      <c r="E252" s="6" t="s">
        <v>1981</v>
      </c>
      <c r="F252" s="11" t="s">
        <v>1982</v>
      </c>
      <c r="G252" s="6" t="s">
        <v>1983</v>
      </c>
      <c r="H252" s="6" t="s">
        <v>966</v>
      </c>
      <c r="I252" s="6" t="s">
        <v>1984</v>
      </c>
      <c r="J252" s="6" t="s">
        <v>813</v>
      </c>
      <c r="K252" s="6" t="s">
        <v>814</v>
      </c>
      <c r="L252" s="6" t="s">
        <v>815</v>
      </c>
      <c r="M252" s="6" t="s">
        <v>848</v>
      </c>
      <c r="N252" s="12" t="s">
        <v>817</v>
      </c>
      <c r="O252" s="6" t="s">
        <v>818</v>
      </c>
      <c r="P252" s="6" t="s">
        <v>2</v>
      </c>
      <c r="Q252" s="6" t="s">
        <v>20</v>
      </c>
      <c r="R252" s="12"/>
      <c r="S252" s="12"/>
      <c r="T252" s="12"/>
      <c r="U252" s="12"/>
      <c r="V252" s="12"/>
      <c r="W252" s="12"/>
      <c r="X252" s="6" t="str">
        <f aca="false">IF(COUNT(R252:W252)=6,SUM(R252:W252),"ko‘rilmagan")</f>
        <v>ko‘rilmagan</v>
      </c>
      <c r="Y252" s="12"/>
    </row>
    <row r="253" customFormat="false" ht="23.85" hidden="false" customHeight="false" outlineLevel="0" collapsed="false">
      <c r="A253" s="6" t="s">
        <v>1985</v>
      </c>
      <c r="B253" s="6" t="s">
        <v>415</v>
      </c>
      <c r="C253" s="6"/>
      <c r="D253" s="6" t="str">
        <f aca="false">IFERROR(INDEX(Mundarija!$D:$D,MATCH(B253,Mundarija!$A:$A,0)),"kod topilmadi")</f>
        <v>23.8. Implantlar va maxsus klinik vaziyatlar.</v>
      </c>
      <c r="E253" s="6" t="s">
        <v>1986</v>
      </c>
      <c r="F253" s="11" t="s">
        <v>1987</v>
      </c>
      <c r="G253" s="6" t="s">
        <v>1254</v>
      </c>
      <c r="H253" s="6" t="s">
        <v>1576</v>
      </c>
      <c r="I253" s="6" t="s">
        <v>1988</v>
      </c>
      <c r="J253" s="6" t="s">
        <v>813</v>
      </c>
      <c r="K253" s="6" t="s">
        <v>814</v>
      </c>
      <c r="L253" s="6" t="s">
        <v>840</v>
      </c>
      <c r="M253" s="6" t="s">
        <v>827</v>
      </c>
      <c r="N253" s="12" t="s">
        <v>817</v>
      </c>
      <c r="O253" s="6" t="s">
        <v>818</v>
      </c>
      <c r="P253" s="6" t="s">
        <v>2</v>
      </c>
      <c r="Q253" s="6" t="s">
        <v>20</v>
      </c>
      <c r="R253" s="12"/>
      <c r="S253" s="12"/>
      <c r="T253" s="12"/>
      <c r="U253" s="12"/>
      <c r="V253" s="12"/>
      <c r="W253" s="12"/>
      <c r="X253" s="6" t="str">
        <f aca="false">IF(COUNT(R253:W253)=6,SUM(R253:W253),"ko‘rilmagan")</f>
        <v>ko‘rilmagan</v>
      </c>
      <c r="Y253" s="12"/>
    </row>
    <row r="254" customFormat="false" ht="23.85" hidden="false" customHeight="false" outlineLevel="0" collapsed="false">
      <c r="A254" s="6" t="s">
        <v>1989</v>
      </c>
      <c r="B254" s="6" t="s">
        <v>417</v>
      </c>
      <c r="C254" s="6"/>
      <c r="D254" s="6" t="str">
        <f aca="false">IFERROR(INDEX(Mundarija!$D:$D,MATCH(B254,Mundarija!$A:$A,0)),"kod topilmadi")</f>
        <v>24.1. So‘lak bezlari va sialolitiaz.</v>
      </c>
      <c r="E254" s="6" t="s">
        <v>1990</v>
      </c>
      <c r="F254" s="11" t="s">
        <v>1991</v>
      </c>
      <c r="G254" s="6" t="s">
        <v>1992</v>
      </c>
      <c r="H254" s="6" t="s">
        <v>1993</v>
      </c>
      <c r="I254" s="6" t="s">
        <v>813</v>
      </c>
      <c r="J254" s="6" t="s">
        <v>813</v>
      </c>
      <c r="K254" s="6" t="s">
        <v>814</v>
      </c>
      <c r="L254" s="6" t="s">
        <v>815</v>
      </c>
      <c r="M254" s="6" t="s">
        <v>848</v>
      </c>
      <c r="N254" s="12" t="s">
        <v>817</v>
      </c>
      <c r="O254" s="6" t="s">
        <v>818</v>
      </c>
      <c r="P254" s="6" t="s">
        <v>2</v>
      </c>
      <c r="Q254" s="6" t="s">
        <v>20</v>
      </c>
      <c r="R254" s="12"/>
      <c r="S254" s="12"/>
      <c r="T254" s="12"/>
      <c r="U254" s="12"/>
      <c r="V254" s="12"/>
      <c r="W254" s="12"/>
      <c r="X254" s="6" t="str">
        <f aca="false">IF(COUNT(R254:W254)=6,SUM(R254:W254),"ko‘rilmagan")</f>
        <v>ko‘rilmagan</v>
      </c>
      <c r="Y254" s="12"/>
    </row>
    <row r="255" customFormat="false" ht="23.85" hidden="false" customHeight="false" outlineLevel="0" collapsed="false">
      <c r="A255" s="6" t="s">
        <v>1994</v>
      </c>
      <c r="B255" s="6" t="s">
        <v>417</v>
      </c>
      <c r="C255" s="6"/>
      <c r="D255" s="6" t="str">
        <f aca="false">IFERROR(INDEX(Mundarija!$D:$D,MATCH(B255,Mundarija!$A:$A,0)),"kod topilmadi")</f>
        <v>24.1. So‘lak bezlari va sialolitiaz.</v>
      </c>
      <c r="E255" s="6" t="s">
        <v>1995</v>
      </c>
      <c r="F255" s="11" t="s">
        <v>1996</v>
      </c>
      <c r="G255" s="6" t="s">
        <v>1205</v>
      </c>
      <c r="H255" s="6" t="s">
        <v>1669</v>
      </c>
      <c r="I255" s="6" t="s">
        <v>813</v>
      </c>
      <c r="J255" s="6" t="s">
        <v>813</v>
      </c>
      <c r="K255" s="6" t="s">
        <v>814</v>
      </c>
      <c r="L255" s="6" t="s">
        <v>840</v>
      </c>
      <c r="M255" s="6" t="s">
        <v>1649</v>
      </c>
      <c r="N255" s="12" t="s">
        <v>817</v>
      </c>
      <c r="O255" s="6" t="s">
        <v>818</v>
      </c>
      <c r="P255" s="6" t="s">
        <v>2</v>
      </c>
      <c r="Q255" s="6" t="s">
        <v>20</v>
      </c>
      <c r="R255" s="12"/>
      <c r="S255" s="12"/>
      <c r="T255" s="12"/>
      <c r="U255" s="12"/>
      <c r="V255" s="12"/>
      <c r="W255" s="12"/>
      <c r="X255" s="6" t="str">
        <f aca="false">IF(COUNT(R255:W255)=6,SUM(R255:W255),"ko‘rilmagan")</f>
        <v>ko‘rilmagan</v>
      </c>
      <c r="Y255" s="12"/>
    </row>
    <row r="256" customFormat="false" ht="23.85" hidden="false" customHeight="false" outlineLevel="0" collapsed="false">
      <c r="A256" s="6" t="s">
        <v>1997</v>
      </c>
      <c r="B256" s="6" t="s">
        <v>417</v>
      </c>
      <c r="C256" s="6"/>
      <c r="D256" s="6" t="str">
        <f aca="false">IFERROR(INDEX(Mundarija!$D:$D,MATCH(B256,Mundarija!$A:$A,0)),"kod topilmadi")</f>
        <v>24.1. So‘lak bezlari va sialolitiaz.</v>
      </c>
      <c r="E256" s="6" t="s">
        <v>1998</v>
      </c>
      <c r="F256" s="11" t="s">
        <v>1999</v>
      </c>
      <c r="G256" s="6" t="s">
        <v>1205</v>
      </c>
      <c r="H256" s="6" t="s">
        <v>1669</v>
      </c>
      <c r="I256" s="6" t="s">
        <v>813</v>
      </c>
      <c r="J256" s="6" t="s">
        <v>813</v>
      </c>
      <c r="K256" s="6" t="s">
        <v>814</v>
      </c>
      <c r="L256" s="6" t="s">
        <v>840</v>
      </c>
      <c r="M256" s="6" t="s">
        <v>1649</v>
      </c>
      <c r="N256" s="12" t="s">
        <v>817</v>
      </c>
      <c r="O256" s="6" t="s">
        <v>818</v>
      </c>
      <c r="P256" s="6" t="s">
        <v>2</v>
      </c>
      <c r="Q256" s="6" t="s">
        <v>20</v>
      </c>
      <c r="R256" s="12"/>
      <c r="S256" s="12"/>
      <c r="T256" s="12"/>
      <c r="U256" s="12"/>
      <c r="V256" s="12"/>
      <c r="W256" s="12"/>
      <c r="X256" s="6" t="str">
        <f aca="false">IF(COUNT(R256:W256)=6,SUM(R256:W256),"ko‘rilmagan")</f>
        <v>ko‘rilmagan</v>
      </c>
      <c r="Y256" s="12"/>
    </row>
    <row r="257" customFormat="false" ht="23.85" hidden="false" customHeight="false" outlineLevel="0" collapsed="false">
      <c r="A257" s="6" t="s">
        <v>2000</v>
      </c>
      <c r="B257" s="6" t="s">
        <v>420</v>
      </c>
      <c r="C257" s="6"/>
      <c r="D257" s="6" t="str">
        <f aca="false">IFERROR(INDEX(Mundarija!$D:$D,MATCH(B257,Mundarija!$A:$A,0)),"kod topilmadi")</f>
        <v>24.2. Yuzaki va periferik limfa tugunlari.</v>
      </c>
      <c r="E257" s="6" t="s">
        <v>2001</v>
      </c>
      <c r="F257" s="11" t="s">
        <v>2002</v>
      </c>
      <c r="G257" s="6" t="s">
        <v>810</v>
      </c>
      <c r="H257" s="6" t="s">
        <v>2003</v>
      </c>
      <c r="I257" s="6" t="s">
        <v>813</v>
      </c>
      <c r="J257" s="6" t="s">
        <v>813</v>
      </c>
      <c r="K257" s="6" t="s">
        <v>814</v>
      </c>
      <c r="L257" s="6" t="s">
        <v>815</v>
      </c>
      <c r="M257" s="6" t="s">
        <v>848</v>
      </c>
      <c r="N257" s="12" t="s">
        <v>817</v>
      </c>
      <c r="O257" s="6" t="s">
        <v>818</v>
      </c>
      <c r="P257" s="6" t="s">
        <v>2</v>
      </c>
      <c r="Q257" s="6" t="s">
        <v>20</v>
      </c>
      <c r="R257" s="12"/>
      <c r="S257" s="12"/>
      <c r="T257" s="12"/>
      <c r="U257" s="12"/>
      <c r="V257" s="12"/>
      <c r="W257" s="12"/>
      <c r="X257" s="6" t="str">
        <f aca="false">IF(COUNT(R257:W257)=6,SUM(R257:W257),"ko‘rilmagan")</f>
        <v>ko‘rilmagan</v>
      </c>
      <c r="Y257" s="12"/>
    </row>
    <row r="258" customFormat="false" ht="23.85" hidden="false" customHeight="false" outlineLevel="0" collapsed="false">
      <c r="A258" s="6" t="s">
        <v>2004</v>
      </c>
      <c r="B258" s="6" t="s">
        <v>420</v>
      </c>
      <c r="C258" s="6" t="s">
        <v>394</v>
      </c>
      <c r="D258" s="6" t="str">
        <f aca="false">IFERROR(INDEX(Mundarija!$D:$D,MATCH(B258,Mundarija!$A:$A,0)),"kod topilmadi")</f>
        <v>24.2. Yuzaki va periferik limfa tugunlari.</v>
      </c>
      <c r="E258" s="6" t="s">
        <v>2005</v>
      </c>
      <c r="F258" s="11" t="s">
        <v>2006</v>
      </c>
      <c r="G258" s="6" t="s">
        <v>1682</v>
      </c>
      <c r="H258" s="6" t="s">
        <v>1683</v>
      </c>
      <c r="I258" s="6" t="s">
        <v>813</v>
      </c>
      <c r="J258" s="6" t="s">
        <v>813</v>
      </c>
      <c r="K258" s="6" t="s">
        <v>814</v>
      </c>
      <c r="L258" s="6" t="s">
        <v>840</v>
      </c>
      <c r="M258" s="6" t="s">
        <v>848</v>
      </c>
      <c r="N258" s="12" t="s">
        <v>817</v>
      </c>
      <c r="O258" s="6" t="s">
        <v>818</v>
      </c>
      <c r="P258" s="6" t="s">
        <v>2</v>
      </c>
      <c r="Q258" s="6" t="s">
        <v>20</v>
      </c>
      <c r="R258" s="12"/>
      <c r="S258" s="12"/>
      <c r="T258" s="12"/>
      <c r="U258" s="12"/>
      <c r="V258" s="12"/>
      <c r="W258" s="12"/>
      <c r="X258" s="6" t="str">
        <f aca="false">IF(COUNT(R258:W258)=6,SUM(R258:W258),"ko‘rilmagan")</f>
        <v>ko‘rilmagan</v>
      </c>
      <c r="Y258" s="12"/>
    </row>
    <row r="259" customFormat="false" ht="23.85" hidden="false" customHeight="false" outlineLevel="0" collapsed="false">
      <c r="A259" s="6" t="s">
        <v>2007</v>
      </c>
      <c r="B259" s="6" t="s">
        <v>420</v>
      </c>
      <c r="C259" s="6" t="s">
        <v>394</v>
      </c>
      <c r="D259" s="6" t="str">
        <f aca="false">IFERROR(INDEX(Mundarija!$D:$D,MATCH(B259,Mundarija!$A:$A,0)),"kod topilmadi")</f>
        <v>24.2. Yuzaki va periferik limfa tugunlari.</v>
      </c>
      <c r="E259" s="6" t="s">
        <v>2008</v>
      </c>
      <c r="F259" s="11" t="s">
        <v>2009</v>
      </c>
      <c r="G259" s="6" t="s">
        <v>1171</v>
      </c>
      <c r="H259" s="6" t="s">
        <v>846</v>
      </c>
      <c r="I259" s="6" t="s">
        <v>813</v>
      </c>
      <c r="J259" s="6" t="s">
        <v>813</v>
      </c>
      <c r="K259" s="6" t="s">
        <v>814</v>
      </c>
      <c r="L259" s="6" t="s">
        <v>840</v>
      </c>
      <c r="M259" s="6" t="s">
        <v>848</v>
      </c>
      <c r="N259" s="12" t="s">
        <v>817</v>
      </c>
      <c r="O259" s="6" t="s">
        <v>818</v>
      </c>
      <c r="P259" s="6" t="s">
        <v>2</v>
      </c>
      <c r="Q259" s="6" t="s">
        <v>20</v>
      </c>
      <c r="R259" s="12"/>
      <c r="S259" s="12"/>
      <c r="T259" s="12"/>
      <c r="U259" s="12"/>
      <c r="V259" s="12"/>
      <c r="W259" s="12"/>
      <c r="X259" s="6" t="str">
        <f aca="false">IF(COUNT(R259:W259)=6,SUM(R259:W259),"ko‘rilmagan")</f>
        <v>ko‘rilmagan</v>
      </c>
      <c r="Y259" s="12"/>
    </row>
    <row r="260" customFormat="false" ht="23.85" hidden="false" customHeight="false" outlineLevel="0" collapsed="false">
      <c r="A260" s="6" t="s">
        <v>2010</v>
      </c>
      <c r="B260" s="6" t="s">
        <v>422</v>
      </c>
      <c r="C260" s="6"/>
      <c r="D260" s="6" t="str">
        <f aca="false">IFERROR(INDEX(Mundarija!$D:$D,MATCH(B260,Mundarija!$A:$A,0)),"kod topilmadi")</f>
        <v>24.3. Teri osti va yumshoq to‘qima hosilalari.</v>
      </c>
      <c r="E260" s="6" t="s">
        <v>2011</v>
      </c>
      <c r="F260" s="11" t="s">
        <v>2012</v>
      </c>
      <c r="G260" s="6" t="s">
        <v>1181</v>
      </c>
      <c r="H260" s="6" t="s">
        <v>1792</v>
      </c>
      <c r="I260" s="6" t="s">
        <v>813</v>
      </c>
      <c r="J260" s="6" t="s">
        <v>813</v>
      </c>
      <c r="K260" s="6" t="s">
        <v>814</v>
      </c>
      <c r="L260" s="6" t="s">
        <v>815</v>
      </c>
      <c r="M260" s="6" t="s">
        <v>848</v>
      </c>
      <c r="N260" s="12" t="s">
        <v>817</v>
      </c>
      <c r="O260" s="6" t="s">
        <v>818</v>
      </c>
      <c r="P260" s="6" t="s">
        <v>2</v>
      </c>
      <c r="Q260" s="6" t="s">
        <v>20</v>
      </c>
      <c r="R260" s="12"/>
      <c r="S260" s="12"/>
      <c r="T260" s="12"/>
      <c r="U260" s="12"/>
      <c r="V260" s="12"/>
      <c r="W260" s="12"/>
      <c r="X260" s="6" t="str">
        <f aca="false">IF(COUNT(R260:W260)=6,SUM(R260:W260),"ko‘rilmagan")</f>
        <v>ko‘rilmagan</v>
      </c>
      <c r="Y260" s="12"/>
    </row>
    <row r="261" customFormat="false" ht="23.85" hidden="false" customHeight="false" outlineLevel="0" collapsed="false">
      <c r="A261" s="6" t="s">
        <v>2013</v>
      </c>
      <c r="B261" s="6" t="s">
        <v>422</v>
      </c>
      <c r="C261" s="6"/>
      <c r="D261" s="6" t="str">
        <f aca="false">IFERROR(INDEX(Mundarija!$D:$D,MATCH(B261,Mundarija!$A:$A,0)),"kod topilmadi")</f>
        <v>24.3. Teri osti va yumshoq to‘qima hosilalari.</v>
      </c>
      <c r="E261" s="6" t="s">
        <v>2014</v>
      </c>
      <c r="F261" s="11" t="s">
        <v>2015</v>
      </c>
      <c r="G261" s="6" t="s">
        <v>1181</v>
      </c>
      <c r="H261" s="6" t="s">
        <v>1792</v>
      </c>
      <c r="I261" s="6" t="s">
        <v>813</v>
      </c>
      <c r="J261" s="6" t="s">
        <v>813</v>
      </c>
      <c r="K261" s="6" t="s">
        <v>814</v>
      </c>
      <c r="L261" s="6" t="s">
        <v>840</v>
      </c>
      <c r="M261" s="6" t="s">
        <v>1649</v>
      </c>
      <c r="N261" s="12" t="s">
        <v>817</v>
      </c>
      <c r="O261" s="6" t="s">
        <v>818</v>
      </c>
      <c r="P261" s="6" t="s">
        <v>2</v>
      </c>
      <c r="Q261" s="6" t="s">
        <v>20</v>
      </c>
      <c r="R261" s="12"/>
      <c r="S261" s="12"/>
      <c r="T261" s="12"/>
      <c r="U261" s="12"/>
      <c r="V261" s="12"/>
      <c r="W261" s="12"/>
      <c r="X261" s="6" t="str">
        <f aca="false">IF(COUNT(R261:W261)=6,SUM(R261:W261),"ko‘rilmagan")</f>
        <v>ko‘rilmagan</v>
      </c>
      <c r="Y261" s="12"/>
    </row>
    <row r="262" customFormat="false" ht="23.85" hidden="false" customHeight="false" outlineLevel="0" collapsed="false">
      <c r="A262" s="6" t="s">
        <v>2016</v>
      </c>
      <c r="B262" s="6" t="s">
        <v>422</v>
      </c>
      <c r="C262" s="6"/>
      <c r="D262" s="6" t="str">
        <f aca="false">IFERROR(INDEX(Mundarija!$D:$D,MATCH(B262,Mundarija!$A:$A,0)),"kod topilmadi")</f>
        <v>24.3. Teri osti va yumshoq to‘qima hosilalari.</v>
      </c>
      <c r="E262" s="6" t="s">
        <v>2017</v>
      </c>
      <c r="F262" s="11" t="s">
        <v>2018</v>
      </c>
      <c r="G262" s="6" t="s">
        <v>1205</v>
      </c>
      <c r="H262" s="6" t="s">
        <v>1669</v>
      </c>
      <c r="I262" s="6" t="s">
        <v>813</v>
      </c>
      <c r="J262" s="6" t="s">
        <v>813</v>
      </c>
      <c r="K262" s="6" t="s">
        <v>814</v>
      </c>
      <c r="L262" s="6" t="s">
        <v>840</v>
      </c>
      <c r="M262" s="6" t="s">
        <v>1649</v>
      </c>
      <c r="N262" s="12" t="s">
        <v>817</v>
      </c>
      <c r="O262" s="6" t="s">
        <v>818</v>
      </c>
      <c r="P262" s="6" t="s">
        <v>2</v>
      </c>
      <c r="Q262" s="6" t="s">
        <v>20</v>
      </c>
      <c r="R262" s="12"/>
      <c r="S262" s="12"/>
      <c r="T262" s="12"/>
      <c r="U262" s="12"/>
      <c r="V262" s="12"/>
      <c r="W262" s="12"/>
      <c r="X262" s="6" t="str">
        <f aca="false">IF(COUNT(R262:W262)=6,SUM(R262:W262),"ko‘rilmagan")</f>
        <v>ko‘rilmagan</v>
      </c>
      <c r="Y262" s="12"/>
    </row>
    <row r="263" customFormat="false" ht="23.85" hidden="false" customHeight="false" outlineLevel="0" collapsed="false">
      <c r="A263" s="6" t="s">
        <v>2019</v>
      </c>
      <c r="B263" s="6" t="s">
        <v>424</v>
      </c>
      <c r="C263" s="6"/>
      <c r="D263" s="6" t="str">
        <f aca="false">IFERROR(INDEX(Mundarija!$D:$D,MATCH(B263,Mundarija!$A:$A,0)),"kod topilmadi")</f>
        <v>24.4. Ko‘z va retrobulbar sohaning maxsus tekshiruvlariga kirish.</v>
      </c>
      <c r="E263" s="6" t="s">
        <v>2020</v>
      </c>
      <c r="F263" s="11" t="s">
        <v>2021</v>
      </c>
      <c r="G263" s="6" t="s">
        <v>1200</v>
      </c>
      <c r="H263" s="6" t="s">
        <v>2022</v>
      </c>
      <c r="I263" s="6" t="s">
        <v>813</v>
      </c>
      <c r="J263" s="6" t="s">
        <v>813</v>
      </c>
      <c r="K263" s="6" t="s">
        <v>814</v>
      </c>
      <c r="L263" s="6" t="s">
        <v>840</v>
      </c>
      <c r="M263" s="6" t="s">
        <v>827</v>
      </c>
      <c r="N263" s="12" t="s">
        <v>817</v>
      </c>
      <c r="O263" s="6" t="s">
        <v>818</v>
      </c>
      <c r="P263" s="6" t="s">
        <v>2</v>
      </c>
      <c r="Q263" s="6" t="s">
        <v>20</v>
      </c>
      <c r="R263" s="12"/>
      <c r="S263" s="12"/>
      <c r="T263" s="12"/>
      <c r="U263" s="12"/>
      <c r="V263" s="12"/>
      <c r="W263" s="12"/>
      <c r="X263" s="6" t="str">
        <f aca="false">IF(COUNT(R263:W263)=6,SUM(R263:W263),"ko‘rilmagan")</f>
        <v>ko‘rilmagan</v>
      </c>
      <c r="Y263" s="12"/>
    </row>
    <row r="264" customFormat="false" ht="23.85" hidden="false" customHeight="false" outlineLevel="0" collapsed="false">
      <c r="A264" s="6" t="s">
        <v>2023</v>
      </c>
      <c r="B264" s="6" t="s">
        <v>424</v>
      </c>
      <c r="C264" s="6"/>
      <c r="D264" s="6" t="str">
        <f aca="false">IFERROR(INDEX(Mundarija!$D:$D,MATCH(B264,Mundarija!$A:$A,0)),"kod topilmadi")</f>
        <v>24.4. Ko‘z va retrobulbar sohaning maxsus tekshiruvlariga kirish.</v>
      </c>
      <c r="E264" s="6" t="s">
        <v>2024</v>
      </c>
      <c r="F264" s="11" t="s">
        <v>2025</v>
      </c>
      <c r="G264" s="6" t="s">
        <v>2026</v>
      </c>
      <c r="H264" s="6" t="s">
        <v>2027</v>
      </c>
      <c r="I264" s="6" t="s">
        <v>813</v>
      </c>
      <c r="J264" s="6" t="s">
        <v>813</v>
      </c>
      <c r="K264" s="6" t="s">
        <v>814</v>
      </c>
      <c r="L264" s="6" t="s">
        <v>815</v>
      </c>
      <c r="M264" s="6" t="s">
        <v>827</v>
      </c>
      <c r="N264" s="12" t="s">
        <v>817</v>
      </c>
      <c r="O264" s="6" t="s">
        <v>818</v>
      </c>
      <c r="P264" s="6" t="s">
        <v>2</v>
      </c>
      <c r="Q264" s="6" t="s">
        <v>20</v>
      </c>
      <c r="R264" s="12"/>
      <c r="S264" s="12"/>
      <c r="T264" s="12"/>
      <c r="U264" s="12"/>
      <c r="V264" s="12"/>
      <c r="W264" s="12"/>
      <c r="X264" s="6" t="str">
        <f aca="false">IF(COUNT(R264:W264)=6,SUM(R264:W264),"ko‘rilmagan")</f>
        <v>ko‘rilmagan</v>
      </c>
      <c r="Y264" s="12"/>
    </row>
    <row r="265" customFormat="false" ht="23.85" hidden="false" customHeight="false" outlineLevel="0" collapsed="false">
      <c r="A265" s="6" t="s">
        <v>2028</v>
      </c>
      <c r="B265" s="6" t="s">
        <v>424</v>
      </c>
      <c r="C265" s="6"/>
      <c r="D265" s="6" t="str">
        <f aca="false">IFERROR(INDEX(Mundarija!$D:$D,MATCH(B265,Mundarija!$A:$A,0)),"kod topilmadi")</f>
        <v>24.4. Ko‘z va retrobulbar sohaning maxsus tekshiruvlariga kirish.</v>
      </c>
      <c r="E265" s="6" t="s">
        <v>2029</v>
      </c>
      <c r="F265" s="11" t="s">
        <v>2030</v>
      </c>
      <c r="G265" s="6" t="s">
        <v>1554</v>
      </c>
      <c r="H265" s="6" t="s">
        <v>1555</v>
      </c>
      <c r="I265" s="6" t="s">
        <v>813</v>
      </c>
      <c r="J265" s="6" t="s">
        <v>813</v>
      </c>
      <c r="K265" s="6" t="s">
        <v>814</v>
      </c>
      <c r="L265" s="6" t="s">
        <v>815</v>
      </c>
      <c r="M265" s="6" t="s">
        <v>827</v>
      </c>
      <c r="N265" s="12" t="s">
        <v>817</v>
      </c>
      <c r="O265" s="6" t="s">
        <v>818</v>
      </c>
      <c r="P265" s="6" t="s">
        <v>2</v>
      </c>
      <c r="Q265" s="6" t="s">
        <v>20</v>
      </c>
      <c r="R265" s="12"/>
      <c r="S265" s="12"/>
      <c r="T265" s="12"/>
      <c r="U265" s="12"/>
      <c r="V265" s="12"/>
      <c r="W265" s="12"/>
      <c r="X265" s="6" t="str">
        <f aca="false">IF(COUNT(R265:W265)=6,SUM(R265:W265),"ko‘rilmagan")</f>
        <v>ko‘rilmagan</v>
      </c>
      <c r="Y265" s="12"/>
    </row>
    <row r="266" customFormat="false" ht="23.85" hidden="false" customHeight="false" outlineLevel="0" collapsed="false">
      <c r="A266" s="6" t="s">
        <v>2031</v>
      </c>
      <c r="B266" s="6" t="s">
        <v>426</v>
      </c>
      <c r="C266" s="6" t="s">
        <v>440</v>
      </c>
      <c r="D266" s="6" t="str">
        <f aca="false">IFERROR(INDEX(Mundarija!$D:$D,MATCH(B266,Mundarija!$A:$A,0)),"kod topilmadi")</f>
        <v>24.5. Yuzaki tomirlar va fistulalar.</v>
      </c>
      <c r="E266" s="6" t="s">
        <v>2032</v>
      </c>
      <c r="F266" s="11" t="s">
        <v>2033</v>
      </c>
      <c r="G266" s="6" t="s">
        <v>2034</v>
      </c>
      <c r="H266" s="6" t="s">
        <v>846</v>
      </c>
      <c r="I266" s="6" t="s">
        <v>813</v>
      </c>
      <c r="J266" s="6" t="s">
        <v>813</v>
      </c>
      <c r="K266" s="6" t="s">
        <v>814</v>
      </c>
      <c r="L266" s="6" t="s">
        <v>840</v>
      </c>
      <c r="M266" s="6" t="s">
        <v>1649</v>
      </c>
      <c r="N266" s="12" t="s">
        <v>817</v>
      </c>
      <c r="O266" s="6" t="s">
        <v>818</v>
      </c>
      <c r="P266" s="6" t="s">
        <v>2</v>
      </c>
      <c r="Q266" s="6" t="s">
        <v>20</v>
      </c>
      <c r="R266" s="12"/>
      <c r="S266" s="12"/>
      <c r="T266" s="12"/>
      <c r="U266" s="12"/>
      <c r="V266" s="12"/>
      <c r="W266" s="12"/>
      <c r="X266" s="6" t="str">
        <f aca="false">IF(COUNT(R266:W266)=6,SUM(R266:W266),"ko‘rilmagan")</f>
        <v>ko‘rilmagan</v>
      </c>
      <c r="Y266" s="12"/>
    </row>
    <row r="267" customFormat="false" ht="23.85" hidden="false" customHeight="false" outlineLevel="0" collapsed="false">
      <c r="A267" s="6" t="s">
        <v>2035</v>
      </c>
      <c r="B267" s="6" t="s">
        <v>426</v>
      </c>
      <c r="C267" s="6"/>
      <c r="D267" s="6" t="str">
        <f aca="false">IFERROR(INDEX(Mundarija!$D:$D,MATCH(B267,Mundarija!$A:$A,0)),"kod topilmadi")</f>
        <v>24.5. Yuzaki tomirlar va fistulalar.</v>
      </c>
      <c r="E267" s="6" t="s">
        <v>2036</v>
      </c>
      <c r="F267" s="11" t="s">
        <v>2037</v>
      </c>
      <c r="G267" s="6" t="s">
        <v>823</v>
      </c>
      <c r="H267" s="6" t="s">
        <v>2038</v>
      </c>
      <c r="I267" s="6" t="s">
        <v>813</v>
      </c>
      <c r="J267" s="6" t="s">
        <v>813</v>
      </c>
      <c r="K267" s="6" t="s">
        <v>814</v>
      </c>
      <c r="L267" s="6" t="s">
        <v>840</v>
      </c>
      <c r="M267" s="6" t="s">
        <v>827</v>
      </c>
      <c r="N267" s="12" t="s">
        <v>817</v>
      </c>
      <c r="O267" s="6" t="s">
        <v>818</v>
      </c>
      <c r="P267" s="6" t="s">
        <v>2</v>
      </c>
      <c r="Q267" s="6" t="s">
        <v>20</v>
      </c>
      <c r="R267" s="12"/>
      <c r="S267" s="12"/>
      <c r="T267" s="12"/>
      <c r="U267" s="12"/>
      <c r="V267" s="12"/>
      <c r="W267" s="12"/>
      <c r="X267" s="6" t="str">
        <f aca="false">IF(COUNT(R267:W267)=6,SUM(R267:W267),"ko‘rilmagan")</f>
        <v>ko‘rilmagan</v>
      </c>
      <c r="Y267" s="12"/>
    </row>
    <row r="268" customFormat="false" ht="23.85" hidden="false" customHeight="false" outlineLevel="0" collapsed="false">
      <c r="A268" s="6" t="s">
        <v>2039</v>
      </c>
      <c r="B268" s="6" t="s">
        <v>444</v>
      </c>
      <c r="C268" s="6" t="s">
        <v>426</v>
      </c>
      <c r="D268" s="6" t="str">
        <f aca="false">IFERROR(INDEX(Mundarija!$D:$D,MATCH(B268,Mundarija!$A:$A,0)),"kod topilmadi")</f>
        <v>25.8. Gemodializ arteriovenoz kirish yo‘llari.</v>
      </c>
      <c r="E268" s="6" t="s">
        <v>2040</v>
      </c>
      <c r="F268" s="11" t="s">
        <v>2041</v>
      </c>
      <c r="G268" s="6" t="s">
        <v>1159</v>
      </c>
      <c r="H268" s="6" t="s">
        <v>1778</v>
      </c>
      <c r="I268" s="6" t="s">
        <v>813</v>
      </c>
      <c r="J268" s="6" t="s">
        <v>813</v>
      </c>
      <c r="K268" s="6" t="s">
        <v>814</v>
      </c>
      <c r="L268" s="6" t="s">
        <v>840</v>
      </c>
      <c r="M268" s="6" t="s">
        <v>827</v>
      </c>
      <c r="N268" s="12" t="s">
        <v>817</v>
      </c>
      <c r="O268" s="6" t="s">
        <v>818</v>
      </c>
      <c r="P268" s="6" t="s">
        <v>2</v>
      </c>
      <c r="Q268" s="6" t="s">
        <v>20</v>
      </c>
      <c r="R268" s="12"/>
      <c r="S268" s="12"/>
      <c r="T268" s="12"/>
      <c r="U268" s="12"/>
      <c r="V268" s="12"/>
      <c r="W268" s="12"/>
      <c r="X268" s="6" t="str">
        <f aca="false">IF(COUNT(R268:W268)=6,SUM(R268:W268),"ko‘rilmagan")</f>
        <v>ko‘rilmagan</v>
      </c>
      <c r="Y268" s="12"/>
    </row>
    <row r="269" customFormat="false" ht="23.85" hidden="false" customHeight="false" outlineLevel="0" collapsed="false">
      <c r="A269" s="6" t="s">
        <v>2042</v>
      </c>
      <c r="B269" s="6" t="s">
        <v>428</v>
      </c>
      <c r="C269" s="6"/>
      <c r="D269" s="6" t="str">
        <f aca="false">IFERROR(INDEX(Mundarija!$D:$D,MATCH(B269,Mundarija!$A:$A,0)),"kod topilmadi")</f>
        <v>25.1. Qon tomirlarning normal sonografik anatomiyasi.</v>
      </c>
      <c r="E269" s="6" t="s">
        <v>2043</v>
      </c>
      <c r="F269" s="11" t="s">
        <v>2044</v>
      </c>
      <c r="G269" s="6" t="s">
        <v>2045</v>
      </c>
      <c r="H269" s="6" t="s">
        <v>2046</v>
      </c>
      <c r="I269" s="6" t="s">
        <v>813</v>
      </c>
      <c r="J269" s="6" t="s">
        <v>813</v>
      </c>
      <c r="K269" s="6" t="s">
        <v>814</v>
      </c>
      <c r="L269" s="6" t="s">
        <v>815</v>
      </c>
      <c r="M269" s="6" t="s">
        <v>848</v>
      </c>
      <c r="N269" s="12" t="s">
        <v>817</v>
      </c>
      <c r="O269" s="6" t="s">
        <v>818</v>
      </c>
      <c r="P269" s="6" t="s">
        <v>2</v>
      </c>
      <c r="Q269" s="6" t="s">
        <v>20</v>
      </c>
      <c r="R269" s="12"/>
      <c r="S269" s="12"/>
      <c r="T269" s="12"/>
      <c r="U269" s="12"/>
      <c r="V269" s="12"/>
      <c r="W269" s="12"/>
      <c r="X269" s="6" t="str">
        <f aca="false">IF(COUNT(R269:W269)=6,SUM(R269:W269),"ko‘rilmagan")</f>
        <v>ko‘rilmagan</v>
      </c>
      <c r="Y269" s="12"/>
    </row>
    <row r="270" customFormat="false" ht="23.85" hidden="false" customHeight="false" outlineLevel="0" collapsed="false">
      <c r="A270" s="6" t="s">
        <v>2047</v>
      </c>
      <c r="B270" s="6" t="s">
        <v>428</v>
      </c>
      <c r="C270" s="6" t="s">
        <v>111</v>
      </c>
      <c r="D270" s="6" t="str">
        <f aca="false">IFERROR(INDEX(Mundarija!$D:$D,MATCH(B270,Mundarija!$A:$A,0)),"kod topilmadi")</f>
        <v>25.1. Qon tomirlarning normal sonografik anatomiyasi.</v>
      </c>
      <c r="E270" s="6" t="s">
        <v>2048</v>
      </c>
      <c r="F270" s="11" t="s">
        <v>2049</v>
      </c>
      <c r="G270" s="6" t="s">
        <v>2050</v>
      </c>
      <c r="H270" s="6" t="s">
        <v>2051</v>
      </c>
      <c r="I270" s="6" t="s">
        <v>813</v>
      </c>
      <c r="J270" s="6" t="s">
        <v>813</v>
      </c>
      <c r="K270" s="6" t="s">
        <v>814</v>
      </c>
      <c r="L270" s="6" t="s">
        <v>840</v>
      </c>
      <c r="M270" s="6" t="s">
        <v>848</v>
      </c>
      <c r="N270" s="12" t="s">
        <v>817</v>
      </c>
      <c r="O270" s="6" t="s">
        <v>818</v>
      </c>
      <c r="P270" s="6" t="s">
        <v>2</v>
      </c>
      <c r="Q270" s="6" t="s">
        <v>20</v>
      </c>
      <c r="R270" s="12"/>
      <c r="S270" s="12"/>
      <c r="T270" s="12"/>
      <c r="U270" s="12"/>
      <c r="V270" s="12"/>
      <c r="W270" s="12"/>
      <c r="X270" s="6" t="str">
        <f aca="false">IF(COUNT(R270:W270)=6,SUM(R270:W270),"ko‘rilmagan")</f>
        <v>ko‘rilmagan</v>
      </c>
      <c r="Y270" s="12"/>
    </row>
    <row r="271" customFormat="false" ht="23.85" hidden="false" customHeight="false" outlineLevel="0" collapsed="false">
      <c r="A271" s="6" t="s">
        <v>2052</v>
      </c>
      <c r="B271" s="6" t="s">
        <v>428</v>
      </c>
      <c r="C271" s="6"/>
      <c r="D271" s="6" t="str">
        <f aca="false">IFERROR(INDEX(Mundarija!$D:$D,MATCH(B271,Mundarija!$A:$A,0)),"kod topilmadi")</f>
        <v>25.1. Qon tomirlarning normal sonografik anatomiyasi.</v>
      </c>
      <c r="E271" s="6" t="s">
        <v>2053</v>
      </c>
      <c r="F271" s="11" t="s">
        <v>2054</v>
      </c>
      <c r="G271" s="6" t="s">
        <v>1195</v>
      </c>
      <c r="H271" s="6" t="s">
        <v>896</v>
      </c>
      <c r="I271" s="6" t="s">
        <v>813</v>
      </c>
      <c r="J271" s="6" t="s">
        <v>813</v>
      </c>
      <c r="K271" s="6" t="s">
        <v>814</v>
      </c>
      <c r="L271" s="6" t="s">
        <v>815</v>
      </c>
      <c r="M271" s="6" t="s">
        <v>898</v>
      </c>
      <c r="N271" s="12" t="s">
        <v>817</v>
      </c>
      <c r="O271" s="6" t="s">
        <v>818</v>
      </c>
      <c r="P271" s="6" t="s">
        <v>2</v>
      </c>
      <c r="Q271" s="6" t="s">
        <v>20</v>
      </c>
      <c r="R271" s="12"/>
      <c r="S271" s="12"/>
      <c r="T271" s="12"/>
      <c r="U271" s="12"/>
      <c r="V271" s="12"/>
      <c r="W271" s="12"/>
      <c r="X271" s="6" t="str">
        <f aca="false">IF(COUNT(R271:W271)=6,SUM(R271:W271),"ko‘rilmagan")</f>
        <v>ko‘rilmagan</v>
      </c>
      <c r="Y271" s="12"/>
    </row>
    <row r="272" customFormat="false" ht="23.85" hidden="false" customHeight="false" outlineLevel="0" collapsed="false">
      <c r="A272" s="6" t="s">
        <v>2055</v>
      </c>
      <c r="B272" s="6" t="s">
        <v>432</v>
      </c>
      <c r="C272" s="6"/>
      <c r="D272" s="6" t="str">
        <f aca="false">IFERROR(INDEX(Mundarija!$D:$D,MATCH(B272,Mundarija!$A:$A,0)),"kod topilmadi")</f>
        <v>25.2. Karotid va vertebral arteriyalar.</v>
      </c>
      <c r="E272" s="6" t="s">
        <v>2056</v>
      </c>
      <c r="F272" s="11" t="s">
        <v>2057</v>
      </c>
      <c r="G272" s="6" t="s">
        <v>2058</v>
      </c>
      <c r="H272" s="6" t="s">
        <v>824</v>
      </c>
      <c r="I272" s="6" t="s">
        <v>813</v>
      </c>
      <c r="J272" s="6" t="s">
        <v>813</v>
      </c>
      <c r="K272" s="6" t="s">
        <v>814</v>
      </c>
      <c r="L272" s="6" t="s">
        <v>840</v>
      </c>
      <c r="M272" s="6" t="s">
        <v>848</v>
      </c>
      <c r="N272" s="12" t="s">
        <v>817</v>
      </c>
      <c r="O272" s="6" t="s">
        <v>818</v>
      </c>
      <c r="P272" s="6" t="s">
        <v>2</v>
      </c>
      <c r="Q272" s="6" t="s">
        <v>20</v>
      </c>
      <c r="R272" s="12"/>
      <c r="S272" s="12"/>
      <c r="T272" s="12"/>
      <c r="U272" s="12"/>
      <c r="V272" s="12"/>
      <c r="W272" s="12"/>
      <c r="X272" s="6" t="str">
        <f aca="false">IF(COUNT(R272:W272)=6,SUM(R272:W272),"ko‘rilmagan")</f>
        <v>ko‘rilmagan</v>
      </c>
      <c r="Y272" s="12"/>
    </row>
    <row r="273" customFormat="false" ht="23.85" hidden="false" customHeight="false" outlineLevel="0" collapsed="false">
      <c r="A273" s="6" t="s">
        <v>2059</v>
      </c>
      <c r="B273" s="6" t="s">
        <v>432</v>
      </c>
      <c r="C273" s="6"/>
      <c r="D273" s="6" t="str">
        <f aca="false">IFERROR(INDEX(Mundarija!$D:$D,MATCH(B273,Mundarija!$A:$A,0)),"kod topilmadi")</f>
        <v>25.2. Karotid va vertebral arteriyalar.</v>
      </c>
      <c r="E273" s="6" t="s">
        <v>2060</v>
      </c>
      <c r="F273" s="11" t="s">
        <v>2061</v>
      </c>
      <c r="G273" s="6" t="s">
        <v>2062</v>
      </c>
      <c r="H273" s="6" t="s">
        <v>2063</v>
      </c>
      <c r="I273" s="6" t="s">
        <v>813</v>
      </c>
      <c r="J273" s="6" t="s">
        <v>813</v>
      </c>
      <c r="K273" s="6" t="s">
        <v>814</v>
      </c>
      <c r="L273" s="6" t="s">
        <v>840</v>
      </c>
      <c r="M273" s="6" t="s">
        <v>848</v>
      </c>
      <c r="N273" s="12" t="s">
        <v>817</v>
      </c>
      <c r="O273" s="6" t="s">
        <v>818</v>
      </c>
      <c r="P273" s="6" t="s">
        <v>2</v>
      </c>
      <c r="Q273" s="6" t="s">
        <v>20</v>
      </c>
      <c r="R273" s="12"/>
      <c r="S273" s="12"/>
      <c r="T273" s="12"/>
      <c r="U273" s="12"/>
      <c r="V273" s="12"/>
      <c r="W273" s="12"/>
      <c r="X273" s="6" t="str">
        <f aca="false">IF(COUNT(R273:W273)=6,SUM(R273:W273),"ko‘rilmagan")</f>
        <v>ko‘rilmagan</v>
      </c>
      <c r="Y273" s="12"/>
    </row>
    <row r="274" customFormat="false" ht="23.85" hidden="false" customHeight="false" outlineLevel="0" collapsed="false">
      <c r="A274" s="6" t="s">
        <v>2064</v>
      </c>
      <c r="B274" s="6" t="s">
        <v>434</v>
      </c>
      <c r="C274" s="6"/>
      <c r="D274" s="6" t="str">
        <f aca="false">IFERROR(INDEX(Mundarija!$D:$D,MATCH(B274,Mundarija!$A:$A,0)),"kod topilmadi")</f>
        <v>25.3. Aterosklerotik blyashkalar, stenoz va okklyuziya.</v>
      </c>
      <c r="E274" s="6" t="s">
        <v>2065</v>
      </c>
      <c r="F274" s="11" t="s">
        <v>2066</v>
      </c>
      <c r="G274" s="6" t="s">
        <v>2062</v>
      </c>
      <c r="H274" s="6" t="s">
        <v>2063</v>
      </c>
      <c r="I274" s="6" t="s">
        <v>813</v>
      </c>
      <c r="J274" s="6" t="s">
        <v>813</v>
      </c>
      <c r="K274" s="6" t="s">
        <v>814</v>
      </c>
      <c r="L274" s="6" t="s">
        <v>1684</v>
      </c>
      <c r="M274" s="6" t="s">
        <v>848</v>
      </c>
      <c r="N274" s="12" t="s">
        <v>817</v>
      </c>
      <c r="O274" s="6" t="s">
        <v>818</v>
      </c>
      <c r="P274" s="6" t="s">
        <v>2</v>
      </c>
      <c r="Q274" s="6" t="s">
        <v>20</v>
      </c>
      <c r="R274" s="12"/>
      <c r="S274" s="12"/>
      <c r="T274" s="12"/>
      <c r="U274" s="12"/>
      <c r="V274" s="12"/>
      <c r="W274" s="12"/>
      <c r="X274" s="6" t="str">
        <f aca="false">IF(COUNT(R274:W274)=6,SUM(R274:W274),"ko‘rilmagan")</f>
        <v>ko‘rilmagan</v>
      </c>
      <c r="Y274" s="12"/>
    </row>
    <row r="275" customFormat="false" ht="23.85" hidden="false" customHeight="false" outlineLevel="0" collapsed="false">
      <c r="A275" s="6" t="s">
        <v>2067</v>
      </c>
      <c r="B275" s="6" t="s">
        <v>434</v>
      </c>
      <c r="C275" s="6"/>
      <c r="D275" s="6" t="str">
        <f aca="false">IFERROR(INDEX(Mundarija!$D:$D,MATCH(B275,Mundarija!$A:$A,0)),"kod topilmadi")</f>
        <v>25.3. Aterosklerotik blyashkalar, stenoz va okklyuziya.</v>
      </c>
      <c r="E275" s="6" t="s">
        <v>2068</v>
      </c>
      <c r="F275" s="11" t="s">
        <v>2069</v>
      </c>
      <c r="G275" s="6" t="s">
        <v>1159</v>
      </c>
      <c r="H275" s="6" t="s">
        <v>1778</v>
      </c>
      <c r="I275" s="6" t="s">
        <v>813</v>
      </c>
      <c r="J275" s="6" t="s">
        <v>813</v>
      </c>
      <c r="K275" s="6" t="s">
        <v>814</v>
      </c>
      <c r="L275" s="6" t="s">
        <v>840</v>
      </c>
      <c r="M275" s="6" t="s">
        <v>848</v>
      </c>
      <c r="N275" s="12" t="s">
        <v>817</v>
      </c>
      <c r="O275" s="6" t="s">
        <v>818</v>
      </c>
      <c r="P275" s="6" t="s">
        <v>2</v>
      </c>
      <c r="Q275" s="6" t="s">
        <v>20</v>
      </c>
      <c r="R275" s="12"/>
      <c r="S275" s="12"/>
      <c r="T275" s="12"/>
      <c r="U275" s="12"/>
      <c r="V275" s="12"/>
      <c r="W275" s="12"/>
      <c r="X275" s="6" t="str">
        <f aca="false">IF(COUNT(R275:W275)=6,SUM(R275:W275),"ko‘rilmagan")</f>
        <v>ko‘rilmagan</v>
      </c>
      <c r="Y275" s="12"/>
    </row>
    <row r="276" customFormat="false" ht="23.85" hidden="false" customHeight="false" outlineLevel="0" collapsed="false">
      <c r="A276" s="6" t="s">
        <v>2070</v>
      </c>
      <c r="B276" s="6" t="s">
        <v>438</v>
      </c>
      <c r="C276" s="6" t="s">
        <v>440</v>
      </c>
      <c r="D276" s="6" t="str">
        <f aca="false">IFERROR(INDEX(Mundarija!$D:$D,MATCH(B276,Mundarija!$A:$A,0)),"kod topilmadi")</f>
        <v>25.5. Chuqur vena trombozi: kompressiya va Doppler.</v>
      </c>
      <c r="E276" s="6" t="s">
        <v>2071</v>
      </c>
      <c r="F276" s="11" t="s">
        <v>2072</v>
      </c>
      <c r="G276" s="6" t="s">
        <v>2050</v>
      </c>
      <c r="H276" s="6" t="s">
        <v>2051</v>
      </c>
      <c r="I276" s="6" t="s">
        <v>813</v>
      </c>
      <c r="J276" s="6" t="s">
        <v>813</v>
      </c>
      <c r="K276" s="6" t="s">
        <v>814</v>
      </c>
      <c r="L276" s="6" t="s">
        <v>840</v>
      </c>
      <c r="M276" s="6" t="s">
        <v>848</v>
      </c>
      <c r="N276" s="12" t="s">
        <v>817</v>
      </c>
      <c r="O276" s="6" t="s">
        <v>818</v>
      </c>
      <c r="P276" s="6" t="s">
        <v>2</v>
      </c>
      <c r="Q276" s="6" t="s">
        <v>20</v>
      </c>
      <c r="R276" s="12"/>
      <c r="S276" s="12"/>
      <c r="T276" s="12"/>
      <c r="U276" s="12"/>
      <c r="V276" s="12"/>
      <c r="W276" s="12"/>
      <c r="X276" s="6" t="str">
        <f aca="false">IF(COUNT(R276:W276)=6,SUM(R276:W276),"ko‘rilmagan")</f>
        <v>ko‘rilmagan</v>
      </c>
      <c r="Y276" s="12"/>
    </row>
    <row r="277" customFormat="false" ht="23.85" hidden="false" customHeight="false" outlineLevel="0" collapsed="false">
      <c r="A277" s="6" t="s">
        <v>2073</v>
      </c>
      <c r="B277" s="6" t="s">
        <v>440</v>
      </c>
      <c r="C277" s="6"/>
      <c r="D277" s="6" t="str">
        <f aca="false">IFERROR(INDEX(Mundarija!$D:$D,MATCH(B277,Mundarija!$A:$A,0)),"kod topilmadi")</f>
        <v>25.6. Yuzaki venalar va varikoz.</v>
      </c>
      <c r="E277" s="6" t="s">
        <v>2074</v>
      </c>
      <c r="F277" s="11" t="s">
        <v>2075</v>
      </c>
      <c r="G277" s="6" t="s">
        <v>2045</v>
      </c>
      <c r="H277" s="6" t="s">
        <v>2046</v>
      </c>
      <c r="I277" s="6" t="s">
        <v>813</v>
      </c>
      <c r="J277" s="6" t="s">
        <v>813</v>
      </c>
      <c r="K277" s="6" t="s">
        <v>814</v>
      </c>
      <c r="L277" s="6" t="s">
        <v>840</v>
      </c>
      <c r="M277" s="6" t="s">
        <v>827</v>
      </c>
      <c r="N277" s="12" t="s">
        <v>817</v>
      </c>
      <c r="O277" s="6" t="s">
        <v>818</v>
      </c>
      <c r="P277" s="6" t="s">
        <v>2</v>
      </c>
      <c r="Q277" s="6" t="s">
        <v>20</v>
      </c>
      <c r="R277" s="12"/>
      <c r="S277" s="12"/>
      <c r="T277" s="12"/>
      <c r="U277" s="12"/>
      <c r="V277" s="12"/>
      <c r="W277" s="12"/>
      <c r="X277" s="6" t="str">
        <f aca="false">IF(COUNT(R277:W277)=6,SUM(R277:W277),"ko‘rilmagan")</f>
        <v>ko‘rilmagan</v>
      </c>
      <c r="Y277" s="12"/>
    </row>
    <row r="278" customFormat="false" ht="23.85" hidden="false" customHeight="false" outlineLevel="0" collapsed="false">
      <c r="A278" s="6" t="s">
        <v>2076</v>
      </c>
      <c r="B278" s="6" t="s">
        <v>440</v>
      </c>
      <c r="C278" s="6"/>
      <c r="D278" s="6" t="str">
        <f aca="false">IFERROR(INDEX(Mundarija!$D:$D,MATCH(B278,Mundarija!$A:$A,0)),"kod topilmadi")</f>
        <v>25.6. Yuzaki venalar va varikoz.</v>
      </c>
      <c r="E278" s="6" t="s">
        <v>2077</v>
      </c>
      <c r="F278" s="11" t="s">
        <v>2078</v>
      </c>
      <c r="G278" s="6" t="s">
        <v>2045</v>
      </c>
      <c r="H278" s="6" t="s">
        <v>2046</v>
      </c>
      <c r="I278" s="6" t="s">
        <v>813</v>
      </c>
      <c r="J278" s="6" t="s">
        <v>813</v>
      </c>
      <c r="K278" s="6" t="s">
        <v>814</v>
      </c>
      <c r="L278" s="6" t="s">
        <v>840</v>
      </c>
      <c r="M278" s="6" t="s">
        <v>827</v>
      </c>
      <c r="N278" s="12" t="s">
        <v>817</v>
      </c>
      <c r="O278" s="6" t="s">
        <v>818</v>
      </c>
      <c r="P278" s="6" t="s">
        <v>2</v>
      </c>
      <c r="Q278" s="6" t="s">
        <v>20</v>
      </c>
      <c r="R278" s="12"/>
      <c r="S278" s="12"/>
      <c r="T278" s="12"/>
      <c r="U278" s="12"/>
      <c r="V278" s="12"/>
      <c r="W278" s="12"/>
      <c r="X278" s="6" t="str">
        <f aca="false">IF(COUNT(R278:W278)=6,SUM(R278:W278),"ko‘rilmagan")</f>
        <v>ko‘rilmagan</v>
      </c>
      <c r="Y278" s="12"/>
    </row>
    <row r="279" customFormat="false" ht="23.85" hidden="false" customHeight="false" outlineLevel="0" collapsed="false">
      <c r="A279" s="6" t="s">
        <v>2079</v>
      </c>
      <c r="B279" s="6" t="s">
        <v>440</v>
      </c>
      <c r="C279" s="6"/>
      <c r="D279" s="6" t="str">
        <f aca="false">IFERROR(INDEX(Mundarija!$D:$D,MATCH(B279,Mundarija!$A:$A,0)),"kod topilmadi")</f>
        <v>25.6. Yuzaki venalar va varikoz.</v>
      </c>
      <c r="E279" s="6" t="s">
        <v>2080</v>
      </c>
      <c r="F279" s="11" t="s">
        <v>2081</v>
      </c>
      <c r="G279" s="6" t="s">
        <v>1345</v>
      </c>
      <c r="H279" s="6" t="s">
        <v>2082</v>
      </c>
      <c r="I279" s="6" t="s">
        <v>813</v>
      </c>
      <c r="J279" s="6" t="s">
        <v>813</v>
      </c>
      <c r="K279" s="6" t="s">
        <v>814</v>
      </c>
      <c r="L279" s="6" t="s">
        <v>1684</v>
      </c>
      <c r="M279" s="6" t="s">
        <v>848</v>
      </c>
      <c r="N279" s="12" t="s">
        <v>817</v>
      </c>
      <c r="O279" s="6" t="s">
        <v>818</v>
      </c>
      <c r="P279" s="6" t="s">
        <v>2</v>
      </c>
      <c r="Q279" s="6" t="s">
        <v>20</v>
      </c>
      <c r="R279" s="12"/>
      <c r="S279" s="12"/>
      <c r="T279" s="12"/>
      <c r="U279" s="12"/>
      <c r="V279" s="12"/>
      <c r="W279" s="12"/>
      <c r="X279" s="6" t="str">
        <f aca="false">IF(COUNT(R279:W279)=6,SUM(R279:W279),"ko‘rilmagan")</f>
        <v>ko‘rilmagan</v>
      </c>
      <c r="Y279" s="12"/>
    </row>
    <row r="280" customFormat="false" ht="23.85" hidden="false" customHeight="false" outlineLevel="0" collapsed="false">
      <c r="A280" s="6" t="s">
        <v>2083</v>
      </c>
      <c r="B280" s="6" t="s">
        <v>442</v>
      </c>
      <c r="C280" s="6" t="s">
        <v>251</v>
      </c>
      <c r="D280" s="6" t="str">
        <f aca="false">IFERROR(INDEX(Mundarija!$D:$D,MATCH(B280,Mundarija!$A:$A,0)),"kod topilmadi")</f>
        <v>25.7. Qorin aortasi va pastki kava vena.</v>
      </c>
      <c r="E280" s="6" t="s">
        <v>2084</v>
      </c>
      <c r="F280" s="11" t="s">
        <v>2085</v>
      </c>
      <c r="G280" s="6" t="s">
        <v>823</v>
      </c>
      <c r="H280" s="6" t="s">
        <v>2038</v>
      </c>
      <c r="I280" s="6" t="s">
        <v>813</v>
      </c>
      <c r="J280" s="6" t="s">
        <v>813</v>
      </c>
      <c r="K280" s="6" t="s">
        <v>814</v>
      </c>
      <c r="L280" s="6" t="s">
        <v>840</v>
      </c>
      <c r="M280" s="6" t="s">
        <v>827</v>
      </c>
      <c r="N280" s="12" t="s">
        <v>817</v>
      </c>
      <c r="O280" s="6" t="s">
        <v>818</v>
      </c>
      <c r="P280" s="6" t="s">
        <v>2</v>
      </c>
      <c r="Q280" s="6" t="s">
        <v>20</v>
      </c>
      <c r="R280" s="12"/>
      <c r="S280" s="12"/>
      <c r="T280" s="12"/>
      <c r="U280" s="12"/>
      <c r="V280" s="12"/>
      <c r="W280" s="12"/>
      <c r="X280" s="6" t="str">
        <f aca="false">IF(COUNT(R280:W280)=6,SUM(R280:W280),"ko‘rilmagan")</f>
        <v>ko‘rilmagan</v>
      </c>
      <c r="Y280" s="12"/>
    </row>
    <row r="281" customFormat="false" ht="23.85" hidden="false" customHeight="false" outlineLevel="0" collapsed="false">
      <c r="A281" s="6" t="s">
        <v>2086</v>
      </c>
      <c r="B281" s="6" t="s">
        <v>442</v>
      </c>
      <c r="C281" s="6" t="s">
        <v>255</v>
      </c>
      <c r="D281" s="6" t="str">
        <f aca="false">IFERROR(INDEX(Mundarija!$D:$D,MATCH(B281,Mundarija!$A:$A,0)),"kod topilmadi")</f>
        <v>25.7. Qorin aortasi va pastki kava vena.</v>
      </c>
      <c r="E281" s="6" t="s">
        <v>2087</v>
      </c>
      <c r="F281" s="11" t="s">
        <v>2088</v>
      </c>
      <c r="G281" s="6" t="s">
        <v>2089</v>
      </c>
      <c r="H281" s="6" t="s">
        <v>2090</v>
      </c>
      <c r="I281" s="6" t="s">
        <v>813</v>
      </c>
      <c r="J281" s="6" t="s">
        <v>813</v>
      </c>
      <c r="K281" s="6" t="s">
        <v>814</v>
      </c>
      <c r="L281" s="6" t="s">
        <v>815</v>
      </c>
      <c r="M281" s="6" t="s">
        <v>827</v>
      </c>
      <c r="N281" s="12" t="s">
        <v>817</v>
      </c>
      <c r="O281" s="6" t="s">
        <v>818</v>
      </c>
      <c r="P281" s="6" t="s">
        <v>2</v>
      </c>
      <c r="Q281" s="6" t="s">
        <v>20</v>
      </c>
      <c r="R281" s="12"/>
      <c r="S281" s="12"/>
      <c r="T281" s="12"/>
      <c r="U281" s="12"/>
      <c r="V281" s="12"/>
      <c r="W281" s="12"/>
      <c r="X281" s="6" t="str">
        <f aca="false">IF(COUNT(R281:W281)=6,SUM(R281:W281),"ko‘rilmagan")</f>
        <v>ko‘rilmagan</v>
      </c>
      <c r="Y281" s="12"/>
    </row>
    <row r="282" customFormat="false" ht="23.85" hidden="false" customHeight="false" outlineLevel="0" collapsed="false">
      <c r="A282" s="6" t="s">
        <v>2091</v>
      </c>
      <c r="B282" s="6" t="s">
        <v>442</v>
      </c>
      <c r="C282" s="6" t="s">
        <v>251</v>
      </c>
      <c r="D282" s="6" t="str">
        <f aca="false">IFERROR(INDEX(Mundarija!$D:$D,MATCH(B282,Mundarija!$A:$A,0)),"kod topilmadi")</f>
        <v>25.7. Qorin aortasi va pastki kava vena.</v>
      </c>
      <c r="E282" s="6" t="s">
        <v>2092</v>
      </c>
      <c r="F282" s="11" t="s">
        <v>2093</v>
      </c>
      <c r="G282" s="6" t="s">
        <v>1295</v>
      </c>
      <c r="H282" s="6" t="s">
        <v>2094</v>
      </c>
      <c r="I282" s="6" t="s">
        <v>813</v>
      </c>
      <c r="J282" s="6" t="s">
        <v>813</v>
      </c>
      <c r="K282" s="6" t="s">
        <v>814</v>
      </c>
      <c r="L282" s="6" t="s">
        <v>815</v>
      </c>
      <c r="M282" s="6" t="s">
        <v>827</v>
      </c>
      <c r="N282" s="12" t="s">
        <v>817</v>
      </c>
      <c r="O282" s="6" t="s">
        <v>818</v>
      </c>
      <c r="P282" s="6" t="s">
        <v>2</v>
      </c>
      <c r="Q282" s="6" t="s">
        <v>20</v>
      </c>
      <c r="R282" s="12"/>
      <c r="S282" s="12"/>
      <c r="T282" s="12"/>
      <c r="U282" s="12"/>
      <c r="V282" s="12"/>
      <c r="W282" s="12"/>
      <c r="X282" s="6" t="str">
        <f aca="false">IF(COUNT(R282:W282)=6,SUM(R282:W282),"ko‘rilmagan")</f>
        <v>ko‘rilmagan</v>
      </c>
      <c r="Y282" s="12"/>
    </row>
    <row r="283" customFormat="false" ht="23.85" hidden="false" customHeight="false" outlineLevel="0" collapsed="false">
      <c r="A283" s="6" t="s">
        <v>2095</v>
      </c>
      <c r="B283" s="6" t="s">
        <v>446</v>
      </c>
      <c r="C283" s="6" t="s">
        <v>245</v>
      </c>
      <c r="D283" s="6" t="str">
        <f aca="false">IFERROR(INDEX(Mundarija!$D:$D,MATCH(B283,Mundarija!$A:$A,0)),"kod topilmadi")</f>
        <v>25.9. Transplantat tomirlari.</v>
      </c>
      <c r="E283" s="6" t="s">
        <v>2096</v>
      </c>
      <c r="F283" s="11" t="s">
        <v>2097</v>
      </c>
      <c r="G283" s="6" t="s">
        <v>823</v>
      </c>
      <c r="H283" s="6" t="s">
        <v>2038</v>
      </c>
      <c r="I283" s="6" t="s">
        <v>813</v>
      </c>
      <c r="J283" s="6" t="s">
        <v>813</v>
      </c>
      <c r="K283" s="6" t="s">
        <v>814</v>
      </c>
      <c r="L283" s="6" t="s">
        <v>840</v>
      </c>
      <c r="M283" s="6" t="s">
        <v>827</v>
      </c>
      <c r="N283" s="12" t="s">
        <v>817</v>
      </c>
      <c r="O283" s="6" t="s">
        <v>818</v>
      </c>
      <c r="P283" s="6" t="s">
        <v>2</v>
      </c>
      <c r="Q283" s="6" t="s">
        <v>20</v>
      </c>
      <c r="R283" s="12"/>
      <c r="S283" s="12"/>
      <c r="T283" s="12"/>
      <c r="U283" s="12"/>
      <c r="V283" s="12"/>
      <c r="W283" s="12"/>
      <c r="X283" s="6" t="str">
        <f aca="false">IF(COUNT(R283:W283)=6,SUM(R283:W283),"ko‘rilmagan")</f>
        <v>ko‘rilmagan</v>
      </c>
      <c r="Y283" s="12"/>
    </row>
    <row r="284" customFormat="false" ht="23.85" hidden="false" customHeight="false" outlineLevel="0" collapsed="false">
      <c r="A284" s="6" t="s">
        <v>2098</v>
      </c>
      <c r="B284" s="6" t="s">
        <v>446</v>
      </c>
      <c r="C284" s="6" t="s">
        <v>245</v>
      </c>
      <c r="D284" s="6" t="str">
        <f aca="false">IFERROR(INDEX(Mundarija!$D:$D,MATCH(B284,Mundarija!$A:$A,0)),"kod topilmadi")</f>
        <v>25.9. Transplantat tomirlari.</v>
      </c>
      <c r="E284" s="6" t="s">
        <v>2099</v>
      </c>
      <c r="F284" s="11" t="s">
        <v>2100</v>
      </c>
      <c r="G284" s="6" t="s">
        <v>845</v>
      </c>
      <c r="H284" s="6" t="s">
        <v>1785</v>
      </c>
      <c r="I284" s="6" t="s">
        <v>813</v>
      </c>
      <c r="J284" s="6" t="s">
        <v>813</v>
      </c>
      <c r="K284" s="6" t="s">
        <v>814</v>
      </c>
      <c r="L284" s="6" t="s">
        <v>1684</v>
      </c>
      <c r="M284" s="6" t="s">
        <v>848</v>
      </c>
      <c r="N284" s="12" t="s">
        <v>817</v>
      </c>
      <c r="O284" s="6" t="s">
        <v>818</v>
      </c>
      <c r="P284" s="6" t="s">
        <v>2</v>
      </c>
      <c r="Q284" s="6" t="s">
        <v>20</v>
      </c>
      <c r="R284" s="12"/>
      <c r="S284" s="12"/>
      <c r="T284" s="12"/>
      <c r="U284" s="12"/>
      <c r="V284" s="12"/>
      <c r="W284" s="12"/>
      <c r="X284" s="6" t="str">
        <f aca="false">IF(COUNT(R284:W284)=6,SUM(R284:W284),"ko‘rilmagan")</f>
        <v>ko‘rilmagan</v>
      </c>
      <c r="Y284" s="12"/>
    </row>
  </sheetData>
  <autoFilter ref="A1:Y284"/>
  <dataValidations count="1">
    <dataValidation allowBlank="true" error="0 dan 5 gacha butun son" errorStyle="stop" operator="between" showDropDown="false" showErrorMessage="false" showInputMessage="false" sqref="R2:W484" type="whole">
      <formula1>0</formula1>
      <formula2>5</formula2>
    </dataValidation>
  </dataValidations>
  <hyperlinks>
    <hyperlink ref="F2" r:id="rId1" display="https://www.youtube.com/watch?v=x6hXhLNc-jU"/>
    <hyperlink ref="F3" r:id="rId2" display="https://www.youtube.com/watch?v=JSUsM8aN1XU"/>
    <hyperlink ref="F4" r:id="rId3" display="https://www.youtube.com/watch?v=GvvGZENUvWc"/>
    <hyperlink ref="F5" r:id="rId4" display="https://www.youtube.com/watch?v=U50O8_fsemY"/>
    <hyperlink ref="F6" r:id="rId5" display="https://www.youtube.com/watch?v=eoze_8nUjfA"/>
    <hyperlink ref="F7" r:id="rId6" display="https://www.youtube.com/watch?v=3pIL7c-8UH8"/>
    <hyperlink ref="F8" r:id="rId7" display="https://www.youtube.com/watch?v=luK0ElID9Hs"/>
    <hyperlink ref="F9" r:id="rId8" display="https://www.youtube.com/watch?v=xLYBOf2da8s"/>
    <hyperlink ref="F10" r:id="rId9" display="https://www.youtube.com/watch?v=SS-ATlJ9OCk"/>
    <hyperlink ref="F11" r:id="rId10" display="https://www.youtube.com/watch?v=yK_ETT0yZ5Q"/>
    <hyperlink ref="F12" r:id="rId11" display="https://www.youtube.com/watch?v=8JjIbqp5kVI"/>
    <hyperlink ref="F13" r:id="rId12" display="https://www.youtube.com/watch?v=LsK7ykAjHog"/>
    <hyperlink ref="F14" r:id="rId13" display="https://www.youtube.com/watch?v=eSekFP_KIQk"/>
    <hyperlink ref="F15" r:id="rId14" display="https://www.youtube.com/watch?v=c6PQzbzJgUg"/>
    <hyperlink ref="F16" r:id="rId15" display="https://www.youtube.com/watch?v=UFU9zVAa6WM"/>
    <hyperlink ref="F17" r:id="rId16" display="https://www.youtube.com/watch?v=jv748J0XB-0"/>
    <hyperlink ref="F18" r:id="rId17" display="https://www.youtube.com/watch?v=htzA4DUZz_s"/>
    <hyperlink ref="F19" r:id="rId18" display="https://www.youtube.com/watch?v=-zXuz0mqe_Q"/>
    <hyperlink ref="F20" r:id="rId19" display="https://www.youtube.com/watch?v=Q1YPZ-04dag"/>
    <hyperlink ref="F21" r:id="rId20" display="https://www.youtube.com/watch?v=77LZeskg4Eg"/>
    <hyperlink ref="F22" r:id="rId21" display="https://www.youtube.com/watch?v=TSHVXMbS2jM"/>
    <hyperlink ref="F23" r:id="rId22" display="https://www.youtube.com/watch?v=HC_tHnNZJ-Q"/>
    <hyperlink ref="F24" r:id="rId23" display="https://www.youtube.com/watch?v=QzZEKS1x0l8"/>
    <hyperlink ref="F25" r:id="rId24" display="https://www.youtube.com/watch?v=C0OFM297MlU"/>
    <hyperlink ref="F26" r:id="rId25" display="https://www.youtube.com/watch?v=iLVeRa95WQc"/>
    <hyperlink ref="F27" r:id="rId26" display="https://www.youtube.com/watch?v=0rmwXyPXwhs"/>
    <hyperlink ref="F28" r:id="rId27" display="https://www.youtube.com/watch?v=EvZSiMTiePI"/>
    <hyperlink ref="F29" r:id="rId28" display="https://www.youtube.com/watch?v=UYtaDkhVrmQ"/>
    <hyperlink ref="F30" r:id="rId29" display="https://www.youtube.com/watch?v=_8R-IiuLM0k"/>
    <hyperlink ref="F31" r:id="rId30" display="https://www.youtube.com/watch?v=8nS4NYD_LnU"/>
    <hyperlink ref="F32" r:id="rId31" display="https://www.youtube.com/watch?v=mKomnw4PEwE"/>
    <hyperlink ref="F33" r:id="rId32" display="https://www.youtube.com/watch?v=z6n7C_4rHhk"/>
    <hyperlink ref="F34" r:id="rId33" display="https://www.youtube.com/watch?v=hMPA6hVPh0A"/>
    <hyperlink ref="F35" r:id="rId34" display="https://www.youtube.com/watch?v=x8suZz5FeuM"/>
    <hyperlink ref="F36" r:id="rId35" display="https://www.youtube.com/watch?v=AvbdjCMA8OU"/>
    <hyperlink ref="F37" r:id="rId36" display="https://www.youtube.com/watch?v=imM2qJY_bEI"/>
    <hyperlink ref="F38" r:id="rId37" display="https://www.youtube.com/watch?v=48m-hcI8i1g"/>
    <hyperlink ref="F39" r:id="rId38" display="https://www.youtube.com/watch?v=0U2Pcu2SjeM"/>
    <hyperlink ref="F40" r:id="rId39" display="https://www.youtube.com/watch?v=SN6_YKVl-U0"/>
    <hyperlink ref="F41" r:id="rId40" display="https://www.youtube.com/watch?v=SyYkOglVVLo"/>
    <hyperlink ref="F42" r:id="rId41" display="https://www.youtube.com/watch?v=NjcYR_tO1iw"/>
    <hyperlink ref="F43" r:id="rId42" display="https://www.youtube.com/watch?v=Xq7VJ864GIg"/>
    <hyperlink ref="F44" r:id="rId43" display="https://www.youtube.com/watch?v=R2yTdxP-j8I"/>
    <hyperlink ref="F45" r:id="rId44" display="https://www.youtube.com/watch?v=NrWKEJD-_RA"/>
    <hyperlink ref="F46" r:id="rId45" display="https://www.youtube.com/watch?v=dIvPZ6Mhraw"/>
    <hyperlink ref="F47" r:id="rId46" display="https://www.youtube.com/watch?v=LeI3ns30mvg"/>
    <hyperlink ref="F48" r:id="rId47" display="https://www.youtube.com/watch?v=U6swOcsO6c0"/>
    <hyperlink ref="F49" r:id="rId48" display="https://www.youtube.com/watch?v=wHdEZaY4M2g"/>
    <hyperlink ref="F50" r:id="rId49" display="https://www.youtube.com/watch?v=3cWIePSocMA"/>
    <hyperlink ref="F51" r:id="rId50" display="https://www.youtube.com/watch?v=XdSrvyKCpfw"/>
    <hyperlink ref="F52" r:id="rId51" display="https://www.youtube.com/watch?v=12AEms8K5oY"/>
    <hyperlink ref="F53" r:id="rId52" display="https://www.youtube.com/watch?v=BEkT3_979fw"/>
    <hyperlink ref="F54" r:id="rId53" display="https://www.youtube.com/watch?v=y8VPgK-tToA"/>
    <hyperlink ref="F55" r:id="rId54" display="https://www.youtube.com/watch?v=HnG1GieOkUk"/>
    <hyperlink ref="F56" r:id="rId55" display="https://www.youtube.com/watch?v=XJ_4bkD8bbg"/>
    <hyperlink ref="F57" r:id="rId56" display="https://www.youtube.com/watch?v=aQRtyG32s1o"/>
    <hyperlink ref="F58" r:id="rId57" display="https://www.youtube.com/watch?v=J5gRFeZ7cZU"/>
    <hyperlink ref="F59" r:id="rId58" display="https://www.youtube.com/watch?v=8pETh6qhIdM"/>
    <hyperlink ref="F60" r:id="rId59" display="https://www.youtube.com/watch?v=A9jHe08T4VE"/>
    <hyperlink ref="F61" r:id="rId60" display="https://www.youtube.com/watch?v=enp-lIVqyBQ"/>
    <hyperlink ref="F62" r:id="rId61" display="https://www.youtube.com/watch?v=374A77l6es0"/>
    <hyperlink ref="F63" r:id="rId62" display="https://www.youtube.com/watch?v=IsJeMgxTFMU"/>
    <hyperlink ref="F64" r:id="rId63" display="https://www.youtube.com/watch?v=e-DBRFgQPYw"/>
    <hyperlink ref="F65" r:id="rId64" display="https://www.youtube.com/watch?v=CZpeA_lJ6rE"/>
    <hyperlink ref="F66" r:id="rId65" display="https://www.youtube.com/watch?v=4JTq2gyW5Nw"/>
    <hyperlink ref="F67" r:id="rId66" display="https://www.youtube.com/watch?v=FpiqQs0gwgI"/>
    <hyperlink ref="F68" r:id="rId67" display="https://www.youtube.com/watch?v=GcS3jKyR5sg"/>
    <hyperlink ref="F69" r:id="rId68" display="https://www.youtube.com/watch?v=sD-aFMQxT08"/>
    <hyperlink ref="F70" r:id="rId69" display="https://www.youtube.com/watch?v=JoQtlTNrGZA"/>
    <hyperlink ref="F71" r:id="rId70" display="https://www.youtube.com/watch?v=veQhbLyqLyU"/>
    <hyperlink ref="F72" r:id="rId71" display="https://www.youtube.com/watch?v=qdlb0bl2eOI"/>
    <hyperlink ref="F73" r:id="rId72" display="https://www.youtube.com/watch?v=vSba7T95CXQ"/>
    <hyperlink ref="F74" r:id="rId73" display="https://www.youtube.com/watch?v=ji2I3Pv1R0g"/>
    <hyperlink ref="F75" r:id="rId74" display="https://www.youtube.com/watch?v=YC3-xfRxwYU"/>
    <hyperlink ref="F76" r:id="rId75" display="https://www.youtube.com/watch?v=R6rX5Qclgl8"/>
    <hyperlink ref="F77" r:id="rId76" display="https://www.youtube.com/watch?v=gcGHNdrgYW8"/>
    <hyperlink ref="F78" r:id="rId77" display="https://www.youtube.com/watch?v=sxLmYjilCxM"/>
    <hyperlink ref="F79" r:id="rId78" display="https://www.youtube.com/watch?v=ULezXrne5n4"/>
    <hyperlink ref="F80" r:id="rId79" display="https://www.youtube.com/watch?v=nPoCYs7uKC0"/>
    <hyperlink ref="F81" r:id="rId80" display="https://www.youtube.com/watch?v=LEd7IzICClE"/>
    <hyperlink ref="F82" r:id="rId81" display="https://www.youtube.com/watch?v=nhVo53WChSA"/>
    <hyperlink ref="F83" r:id="rId82" display="https://www.youtube.com/watch?v=FbXwoxwS1Dw"/>
    <hyperlink ref="F84" r:id="rId83" display="https://www.youtube.com/watch?v=IQ5pUWIu6mI"/>
    <hyperlink ref="F85" r:id="rId84" display="https://www.youtube.com/watch?v=c6A81JiJMSE"/>
    <hyperlink ref="F86" r:id="rId85" display="https://www.youtube.com/watch?v=vpmcgZ7lGFs"/>
    <hyperlink ref="F87" r:id="rId86" display="https://www.youtube.com/watch?v=uyaaVrrBj0I"/>
    <hyperlink ref="F88" r:id="rId87" display="https://www.youtube.com/watch?v=zG8ZZHEMLGA"/>
    <hyperlink ref="F89" r:id="rId88" display="https://www.youtube.com/watch?v=0QdwB2Jr4_o"/>
    <hyperlink ref="F90" r:id="rId89" display="https://www.youtube.com/watch?v=im0gKSxURbg"/>
    <hyperlink ref="F91" r:id="rId90" display="https://www.youtube.com/watch?v=6IV2OcpLUz4"/>
    <hyperlink ref="F92" r:id="rId91" display="https://www.youtube.com/watch?v=JJFx_Se8kvc"/>
    <hyperlink ref="F93" r:id="rId92" display="https://www.youtube.com/watch?v=fPPNqhd9DRk"/>
    <hyperlink ref="F94" r:id="rId93" display="https://www.youtube.com/watch?v=_xXJgRVC0pU"/>
    <hyperlink ref="F95" r:id="rId94" display="https://www.youtube.com/watch?v=7qIoGhlrbVc"/>
    <hyperlink ref="F96" r:id="rId95" display="https://www.youtube.com/watch?v=xrHiJtoggUI"/>
    <hyperlink ref="F97" r:id="rId96" display="https://www.youtube.com/watch?v=l8heXKDGcOA"/>
    <hyperlink ref="F98" r:id="rId97" display="https://www.youtube.com/watch?v=hW9FYG60OUY"/>
    <hyperlink ref="F99" r:id="rId98" display="https://www.youtube.com/watch?v=LQGIWOlGW0E"/>
    <hyperlink ref="F100" r:id="rId99" display="https://www.youtube.com/watch?v=qAyRTluQxU8"/>
    <hyperlink ref="F101" r:id="rId100" display="https://www.youtube.com/watch?v=yGg7Ci88HrQ"/>
    <hyperlink ref="F102" r:id="rId101" display="https://www.youtube.com/watch?v=bwuUR_Z8kb4"/>
    <hyperlink ref="F103" r:id="rId102" display="https://www.youtube.com/watch?v=sA8Sje-Amu0"/>
    <hyperlink ref="F104" r:id="rId103" display="https://www.youtube.com/watch?v=22qAYGU1Y0o"/>
    <hyperlink ref="F105" r:id="rId104" display="https://www.youtube.com/watch?v=Q7KWVNuxHDU"/>
    <hyperlink ref="F106" r:id="rId105" display="https://www.youtube.com/watch?v=L8nAxK3fSpU"/>
    <hyperlink ref="F107" r:id="rId106" display="https://www.youtube.com/watch?v=CENa72T47j0"/>
    <hyperlink ref="F108" r:id="rId107" display="https://www.youtube.com/watch?v=g2_xvYaH7QI"/>
    <hyperlink ref="F109" r:id="rId108" display="https://www.youtube.com/watch?v=Ooy4tdaxGg0"/>
    <hyperlink ref="F110" r:id="rId109" display="https://www.youtube.com/watch?v=BA4K6lfcdAM"/>
    <hyperlink ref="F111" r:id="rId110" display="https://www.youtube.com/watch?v=3_7pAMUD588"/>
    <hyperlink ref="F112" r:id="rId111" display="https://www.youtube.com/watch?v=K3JX3u59UhY"/>
    <hyperlink ref="F113" r:id="rId112" display="https://www.youtube.com/watch?v=yJs1OxjtPu8"/>
    <hyperlink ref="F114" r:id="rId113" display="https://www.youtube.com/watch?v=YCnH12uhPDU"/>
    <hyperlink ref="F115" r:id="rId114" display="https://www.youtube.com/watch?v=AltM6ycwADA"/>
    <hyperlink ref="F116" r:id="rId115" display="https://www.youtube.com/watch?v=KKwAIzhnpCA"/>
    <hyperlink ref="F117" r:id="rId116" display="https://www.youtube.com/watch?v=XTi_JtdnMJM"/>
    <hyperlink ref="F118" r:id="rId117" display="https://www.youtube.com/watch?v=MBXIHbNMIH4"/>
    <hyperlink ref="F119" r:id="rId118" display="https://www.youtube.com/watch?v=s729yinUGbY"/>
    <hyperlink ref="F120" r:id="rId119" display="https://www.youtube.com/watch?v=kK-KIbFOzQw"/>
    <hyperlink ref="F121" r:id="rId120" display="https://www.youtube.com/watch?v=BWQaxujCQOs"/>
    <hyperlink ref="F122" r:id="rId121" display="https://www.youtube.com/watch?v=UN4SN43I_6A"/>
    <hyperlink ref="F123" r:id="rId122" display="https://www.youtube.com/watch?v=-i6o2uF0r8s"/>
    <hyperlink ref="F124" r:id="rId123" display="https://www.youtube.com/watch?v=asGR_FOFljA"/>
    <hyperlink ref="F125" r:id="rId124" display="https://www.youtube.com/watch?v=KD67TdZK70Q"/>
    <hyperlink ref="F126" r:id="rId125" display="https://www.youtube.com/watch?v=mOrHMGMVSh4"/>
    <hyperlink ref="F127" r:id="rId126" display="https://www.youtube.com/watch?v=WP1xj15MjnM"/>
    <hyperlink ref="F128" r:id="rId127" display="https://www.youtube.com/watch?v=dLuWKMY8cV8"/>
    <hyperlink ref="F129" r:id="rId128" display="https://www.youtube.com/watch?v=M-X7PIuxHS0"/>
    <hyperlink ref="F130" r:id="rId129" display="https://www.youtube.com/watch?v=b3NaWMh6tgQ"/>
    <hyperlink ref="F131" r:id="rId130" display="https://www.youtube.com/watch?v=sWR9a3tBZVY"/>
    <hyperlink ref="F132" r:id="rId131" display="https://www.youtube.com/watch?v=1pkokOa9arg"/>
    <hyperlink ref="F133" r:id="rId132" display="https://www.youtube.com/watch?v=BwSJCkTBN0c"/>
    <hyperlink ref="F134" r:id="rId133" display="https://www.youtube.com/watch?v=TCpKWtJ9g9A"/>
    <hyperlink ref="F135" r:id="rId134" display="https://www.youtube.com/watch?v=BkBcQBgUdWw"/>
    <hyperlink ref="F136" r:id="rId135" display="https://www.youtube.com/watch?v=_rakGya8Y3E"/>
    <hyperlink ref="F137" r:id="rId136" display="https://www.youtube.com/watch?v=DY_RDyZBSL4"/>
    <hyperlink ref="F138" r:id="rId137" display="https://www.youtube.com/watch?v=D91jcPrxIJw"/>
    <hyperlink ref="F139" r:id="rId138" display="https://www.youtube.com/watch?v=7KNgLUA587w"/>
    <hyperlink ref="F140" r:id="rId139" display="https://www.youtube.com/watch?v=eanifUMkxHo"/>
    <hyperlink ref="F141" r:id="rId140" display="https://www.youtube.com/watch?v=2B1KRrid-b4"/>
    <hyperlink ref="F142" r:id="rId141" display="https://www.youtube.com/watch?v=SCnuJpgJaxc"/>
    <hyperlink ref="F143" r:id="rId142" display="https://www.youtube.com/watch?v=7F86WvNvU3U"/>
    <hyperlink ref="F144" r:id="rId143" display="https://www.youtube.com/watch?v=F3s_Jh29H5w"/>
    <hyperlink ref="F145" r:id="rId144" display="https://www.youtube.com/watch?v=03aBMNSCuzA"/>
    <hyperlink ref="F146" r:id="rId145" display="https://www.youtube.com/watch?v=GhkNXh0m5Nk"/>
    <hyperlink ref="F147" r:id="rId146" display="https://www.youtube.com/watch?v=2vT6TudpdLs"/>
    <hyperlink ref="F148" r:id="rId147" display="https://www.youtube.com/watch?v=r5WvUEPhCfo"/>
    <hyperlink ref="F149" r:id="rId148" display="https://www.youtube.com/watch?v=upxTXulI7Vw"/>
    <hyperlink ref="F150" r:id="rId149" display="https://www.youtube.com/watch?v=AxuGkz78pBA"/>
    <hyperlink ref="F151" r:id="rId150" display="https://www.youtube.com/watch?v=MhiAiPvxiUM"/>
    <hyperlink ref="F152" r:id="rId151" display="https://www.youtube.com/watch?v=v1Sbi4wdMVs"/>
    <hyperlink ref="F153" r:id="rId152" display="https://www.youtube.com/watch?v=ZFsYdpEkRRc"/>
    <hyperlink ref="F154" r:id="rId153" display="https://www.youtube.com/watch?v=gH1EabSgLMk"/>
    <hyperlink ref="F155" r:id="rId154" display="https://www.youtube.com/watch?v=OBzbE0H9FUM"/>
    <hyperlink ref="F156" r:id="rId155" display="https://www.youtube.com/watch?v=VCq-ZQg6i08"/>
    <hyperlink ref="F157" r:id="rId156" display="https://www.youtube.com/watch?v=CV3jWuFSHo4"/>
    <hyperlink ref="F158" r:id="rId157" display="https://www.youtube.com/watch?v=TKPTNFeMGTA"/>
    <hyperlink ref="F159" r:id="rId158" display="https://www.youtube.com/watch?v=jIn1ZDOUY00"/>
    <hyperlink ref="F160" r:id="rId159" display="https://www.youtube.com/watch?v=3S48hbwkFdg"/>
    <hyperlink ref="F161" r:id="rId160" display="https://www.youtube.com/watch?v=3ECCimg6KSE"/>
    <hyperlink ref="F162" r:id="rId161" display="https://www.youtube.com/watch?v=NnoHlaxJhes"/>
    <hyperlink ref="F163" r:id="rId162" display="https://www.youtube.com/watch?v=l_Ef3D9-8jc"/>
    <hyperlink ref="F164" r:id="rId163" display="https://www.youtube.com/watch?v=10Tus9CBjG4"/>
    <hyperlink ref="F165" r:id="rId164" display="https://www.youtube.com/watch?v=7d4luvgDnnU"/>
    <hyperlink ref="F166" r:id="rId165" display="https://www.youtube.com/watch?v=4M_mon2ubH0"/>
    <hyperlink ref="F167" r:id="rId166" display="https://www.youtube.com/watch?v=zYUjp9_GHCg"/>
    <hyperlink ref="F168" r:id="rId167" display="https://www.youtube.com/watch?v=lkb3nwp_jIE"/>
    <hyperlink ref="F169" r:id="rId168" display="https://www.youtube.com/watch?v=pUDjkNvsfEc"/>
    <hyperlink ref="F170" r:id="rId169" display="https://www.youtube.com/watch?v=jnrb8dKKHvw"/>
    <hyperlink ref="F171" r:id="rId170" display="https://www.youtube.com/watch?v=Bg2LHJoIgao"/>
    <hyperlink ref="F172" r:id="rId171" display="https://www.youtube.com/watch?v=iRhuwIV6msA"/>
    <hyperlink ref="F173" r:id="rId172" display="https://www.youtube.com/watch?v=sLAIM8GJR3w"/>
    <hyperlink ref="F174" r:id="rId173" display="https://www.youtube.com/watch?v=Ql7RBhjJ7GE"/>
    <hyperlink ref="F175" r:id="rId174" display="https://www.youtube.com/watch?v=SLhqztA0E2I"/>
    <hyperlink ref="F176" r:id="rId175" display="https://www.youtube.com/watch?v=nnpASPO3WxQ"/>
    <hyperlink ref="F177" r:id="rId176" display="https://www.youtube.com/watch?v=y7QZvbPdVC4"/>
    <hyperlink ref="F178" r:id="rId177" display="https://www.youtube.com/watch?v=oLmjuV11eTs"/>
    <hyperlink ref="F179" r:id="rId178" display="https://www.youtube.com/watch?v=R2szHuS-jFc"/>
    <hyperlink ref="F180" r:id="rId179" display="https://www.youtube.com/watch?v=DZgK3I78PCA"/>
    <hyperlink ref="F181" r:id="rId180" display="https://www.youtube.com/watch?v=xVgVavfHn7I"/>
    <hyperlink ref="F182" r:id="rId181" display="https://www.youtube.com/watch?v=iVPJ4J4tP3g"/>
    <hyperlink ref="F183" r:id="rId182" display="https://www.youtube.com/watch?v=MzIelLQ4Gmo"/>
    <hyperlink ref="F184" r:id="rId183" display="https://www.youtube.com/watch?v=D-0Quvs4aL4"/>
    <hyperlink ref="F185" r:id="rId184" display="https://www.youtube.com/watch?v=69gsm1iMGr0"/>
    <hyperlink ref="F186" r:id="rId185" display="https://www.youtube.com/watch?v=uR_fIjMSmpo"/>
    <hyperlink ref="F187" r:id="rId186" display="https://www.youtube.com/watch?v=FwL7IKsfjZ0"/>
    <hyperlink ref="F188" r:id="rId187" display="https://www.youtube.com/watch?v=VFsn-LfKCjI"/>
    <hyperlink ref="F189" r:id="rId188" display="https://www.youtube.com/watch?v=TyuYETb4k_I"/>
    <hyperlink ref="F190" r:id="rId189" display="https://www.youtube.com/watch?v=vGKgUPf3A64"/>
    <hyperlink ref="F191" r:id="rId190" display="https://www.youtube.com/watch?v=oAoqrEsk5_k"/>
    <hyperlink ref="F192" r:id="rId191" display="https://www.youtube.com/watch?v=d23v9RM3GXA"/>
    <hyperlink ref="F193" r:id="rId192" display="https://www.youtube.com/watch?v=uts5CNIBuXk"/>
    <hyperlink ref="F194" r:id="rId193" display="https://www.youtube.com/watch?v=kWHAzsYec6o"/>
    <hyperlink ref="F195" r:id="rId194" display="https://www.youtube.com/watch?v=f_GR7AZEDWo"/>
    <hyperlink ref="F196" r:id="rId195" display="https://www.youtube.com/watch?v=lKWYc414iro"/>
    <hyperlink ref="F197" r:id="rId196" display="https://www.youtube.com/watch?v=77ArLz9A7yI"/>
    <hyperlink ref="F198" r:id="rId197" display="https://www.youtube.com/watch?v=dgk8uNfJnAQ"/>
    <hyperlink ref="F199" r:id="rId198" display="https://www.youtube.com/watch?v=4T39JIOiytw"/>
    <hyperlink ref="F200" r:id="rId199" display="https://www.youtube.com/watch?v=b-W_PCM7Tfk"/>
    <hyperlink ref="F201" r:id="rId200" display="https://www.youtube.com/watch?v=raIclmdJOPo"/>
    <hyperlink ref="F202" r:id="rId201" display="https://www.youtube.com/watch?v=HAe1cqz3NBs"/>
    <hyperlink ref="F203" r:id="rId202" display="https://www.youtube.com/watch?v=V4VuRC5oC8c"/>
    <hyperlink ref="F204" r:id="rId203" display="https://www.youtube.com/watch?v=0Fa60LWMuPk"/>
    <hyperlink ref="F205" r:id="rId204" display="https://www.youtube.com/watch?v=uCbcN87colY"/>
    <hyperlink ref="F206" r:id="rId205" display="https://www.youtube.com/watch?v=edk-IFhNPp0"/>
    <hyperlink ref="F207" r:id="rId206" display="https://www.youtube.com/watch?v=4jsv2ClMV6o"/>
    <hyperlink ref="F208" r:id="rId207" display="https://www.youtube.com/watch?v=3z53bFanal4"/>
    <hyperlink ref="F209" r:id="rId208" display="https://www.youtube.com/watch?v=cL8aSaXYjuA"/>
    <hyperlink ref="F210" r:id="rId209" display="https://www.youtube.com/watch?v=yTRL5DDVsn0"/>
    <hyperlink ref="F211" r:id="rId210" display="https://www.youtube.com/watch?v=ILdHR_ZTt0c"/>
    <hyperlink ref="F212" r:id="rId211" display="https://www.youtube.com/watch?v=j6HKEUrJs0U"/>
    <hyperlink ref="F213" r:id="rId212" display="https://www.youtube.com/watch?v=-FRkMaG7ok4"/>
    <hyperlink ref="F214" r:id="rId213" display="https://www.youtube.com/watch?v=dKS3AFX1cAc"/>
    <hyperlink ref="F215" r:id="rId214" display="https://www.youtube.com/watch?v=eSnBj7k4RHI"/>
    <hyperlink ref="F216" r:id="rId215" display="https://www.youtube.com/watch?v=mjA7tOUJDtQ"/>
    <hyperlink ref="F217" r:id="rId216" display="https://www.youtube.com/watch?v=cRdiTjNfKoc"/>
    <hyperlink ref="F218" r:id="rId217" display="https://www.youtube.com/watch?v=6EQ7Klt5deY"/>
    <hyperlink ref="F219" r:id="rId218" display="https://www.youtube.com/watch?v=CEdkxDrsUl0"/>
    <hyperlink ref="F220" r:id="rId219" display="https://www.youtube.com/watch?v=aonx_SmsNUg"/>
    <hyperlink ref="F221" r:id="rId220" display="https://www.youtube.com/watch?v=S0VT5FIdusM"/>
    <hyperlink ref="F222" r:id="rId221" display="https://www.youtube.com/watch?v=xK2n8FL-FDQ"/>
    <hyperlink ref="F223" r:id="rId222" display="https://www.youtube.com/watch?v=uiHuUQAK5aA"/>
    <hyperlink ref="F224" r:id="rId223" display="https://www.youtube.com/watch?v=8msfDgSs2DQ"/>
    <hyperlink ref="F225" r:id="rId224" display="https://www.youtube.com/watch?v=4kiYVtQRp5Q"/>
    <hyperlink ref="F226" r:id="rId225" display="https://www.youtube.com/watch?v=mJ1qLENEmCU"/>
    <hyperlink ref="F227" r:id="rId226" display="https://www.youtube.com/watch?v=FWCc-4uc4Gg"/>
    <hyperlink ref="F228" r:id="rId227" display="https://www.youtube.com/watch?v=NAJ8vEHi47g"/>
    <hyperlink ref="F229" r:id="rId228" display="https://www.youtube.com/watch?v=95hfv5CDagk"/>
    <hyperlink ref="F230" r:id="rId229" display="https://www.youtube.com/watch?v=Y0i9aEq3nPI"/>
    <hyperlink ref="F231" r:id="rId230" display="https://www.youtube.com/watch?v=t9Nfrkfx2yY"/>
    <hyperlink ref="F232" r:id="rId231" display="https://www.youtube.com/watch?v=mgSbrOJtYF0"/>
    <hyperlink ref="F233" r:id="rId232" display="https://www.youtube.com/watch?v=tiyIh86V1w0"/>
    <hyperlink ref="F234" r:id="rId233" display="https://www.youtube.com/watch?v=k4zizDotKGY"/>
    <hyperlink ref="F235" r:id="rId234" display="https://www.youtube.com/watch?v=uJNNdtixjaI"/>
    <hyperlink ref="F236" r:id="rId235" display="https://www.youtube.com/watch?v=5fdcofNDsnc"/>
    <hyperlink ref="F237" r:id="rId236" display="https://www.youtube.com/watch?v=S3hdw5ps9Y4"/>
    <hyperlink ref="F238" r:id="rId237" display="https://www.youtube.com/watch?v=f_rImBA5p0o"/>
    <hyperlink ref="F239" r:id="rId238" display="https://www.youtube.com/watch?v=xZ0XGDjMP-Y"/>
    <hyperlink ref="F240" r:id="rId239" display="https://www.youtube.com/watch?v=H4pFkouRNQU"/>
    <hyperlink ref="F241" r:id="rId240" display="https://www.youtube.com/watch?v=tY8LfQZix6c"/>
    <hyperlink ref="F242" r:id="rId241" display="https://www.youtube.com/watch?v=LwsIsm4LVlA"/>
    <hyperlink ref="F243" r:id="rId242" display="https://www.youtube.com/watch?v=rHw1juJvsOo"/>
    <hyperlink ref="F244" r:id="rId243" display="https://www.youtube.com/watch?v=Pg1ZNXv8_Jo"/>
    <hyperlink ref="F245" r:id="rId244" display="https://www.youtube.com/watch?v=58pckPHl5ss"/>
    <hyperlink ref="F246" r:id="rId245" display="https://www.youtube.com/watch?v=VYqv6z9M3qk"/>
    <hyperlink ref="F247" r:id="rId246" display="https://www.youtube.com/watch?v=-QlMiyUl1nQ"/>
    <hyperlink ref="F248" r:id="rId247" display="https://www.youtube.com/watch?v=ZvVwU57osa4"/>
    <hyperlink ref="F249" r:id="rId248" display="https://www.youtube.com/watch?v=Hlb-rO_dc8s"/>
    <hyperlink ref="F250" r:id="rId249" display="https://www.youtube.com/watch?v=x_oYxvyv11s"/>
    <hyperlink ref="F251" r:id="rId250" display="https://www.youtube.com/watch?v=hOuvpubuSaw"/>
    <hyperlink ref="F252" r:id="rId251" display="https://www.youtube.com/watch?v=4tPKM69ZMHE"/>
    <hyperlink ref="F253" r:id="rId252" display="https://www.youtube.com/watch?v=VuaIfoh8Ptc"/>
    <hyperlink ref="F254" r:id="rId253" display="https://www.youtube.com/watch?v=FCz-gDAicd8"/>
    <hyperlink ref="F255" r:id="rId254" display="https://www.youtube.com/watch?v=hEq1Y8Pm3fg"/>
    <hyperlink ref="F256" r:id="rId255" display="https://www.youtube.com/watch?v=FcDaoIzxgcM"/>
    <hyperlink ref="F257" r:id="rId256" display="https://www.youtube.com/watch?v=hWXD8EeJo6s"/>
    <hyperlink ref="F258" r:id="rId257" display="https://www.youtube.com/watch?v=UWwkysQdNIU"/>
    <hyperlink ref="F259" r:id="rId258" display="https://www.youtube.com/watch?v=4z6I3yGVS-M"/>
    <hyperlink ref="F260" r:id="rId259" display="https://www.youtube.com/watch?v=LBgLEM2jm-c"/>
    <hyperlink ref="F261" r:id="rId260" display="https://www.youtube.com/watch?v=X-e_WsgWjUU"/>
    <hyperlink ref="F262" r:id="rId261" display="https://www.youtube.com/watch?v=mEJU6T0Ac2c"/>
    <hyperlink ref="F263" r:id="rId262" display="https://www.youtube.com/watch?v=gNLTZipajwM"/>
    <hyperlink ref="F264" r:id="rId263" display="https://www.youtube.com/watch?v=PAJ5UomIm4w"/>
    <hyperlink ref="F265" r:id="rId264" display="https://www.youtube.com/watch?v=RmxR883d7DQ"/>
    <hyperlink ref="F266" r:id="rId265" display="https://www.youtube.com/watch?v=mWFupi4YOBA"/>
    <hyperlink ref="F267" r:id="rId266" display="https://www.youtube.com/watch?v=I2vhPP1VgkA"/>
    <hyperlink ref="F268" r:id="rId267" display="https://www.youtube.com/watch?v=ADQxr0da_yk"/>
    <hyperlink ref="F269" r:id="rId268" display="https://www.youtube.com/watch?v=ihXKv9qqbZw"/>
    <hyperlink ref="F270" r:id="rId269" display="https://www.youtube.com/watch?v=X739XUv0xkE"/>
    <hyperlink ref="F271" r:id="rId270" display="https://www.youtube.com/watch?v=IaejYqKM6mI"/>
    <hyperlink ref="F272" r:id="rId271" display="https://www.youtube.com/watch?v=TeGAC9MoZow"/>
    <hyperlink ref="F273" r:id="rId272" display="https://www.youtube.com/watch?v=VYhlgQu-JOI"/>
    <hyperlink ref="F274" r:id="rId273" display="https://www.youtube.com/watch?v=pXjCmheNuug"/>
    <hyperlink ref="F275" r:id="rId274" display="https://www.youtube.com/watch?v=66KjiicFGL4"/>
    <hyperlink ref="F276" r:id="rId275" display="https://www.youtube.com/watch?v=KLt-sO1G74A"/>
    <hyperlink ref="F277" r:id="rId276" display="https://www.youtube.com/watch?v=n5HblR27soE"/>
    <hyperlink ref="F278" r:id="rId277" display="https://www.youtube.com/watch?v=QFDDU7lpsuA"/>
    <hyperlink ref="F279" r:id="rId278" display="https://www.youtube.com/watch?v=JwIWZuq5o14"/>
    <hyperlink ref="F280" r:id="rId279" display="https://www.youtube.com/watch?v=0fwT622SLB8"/>
    <hyperlink ref="F281" r:id="rId280" display="https://www.youtube.com/watch?v=QaQNYFjvKxs"/>
    <hyperlink ref="F282" r:id="rId281" display="https://www.youtube.com/watch?v=fyegmq-hMhI"/>
    <hyperlink ref="F283" r:id="rId282" display="https://www.youtube.com/watch?v=KGFphcefwXA"/>
    <hyperlink ref="F284" r:id="rId283" display="https://www.youtube.com/watch?v=eNsLjk2fJxc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84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2"/>
    <col collapsed="false" customWidth="true" hidden="false" outlineLevel="0" max="3" min="2" style="0" width="60"/>
    <col collapsed="false" customWidth="true" hidden="false" outlineLevel="0" max="4" min="4" style="0" width="32"/>
  </cols>
  <sheetData>
    <row r="1" customFormat="false" ht="31.5" hidden="false" customHeight="true" outlineLevel="0" collapsed="false">
      <c r="A1" s="5" t="s">
        <v>747</v>
      </c>
      <c r="B1" s="5" t="s">
        <v>2101</v>
      </c>
      <c r="C1" s="5" t="s">
        <v>2102</v>
      </c>
      <c r="D1" s="5" t="s">
        <v>2103</v>
      </c>
    </row>
    <row r="2" customFormat="false" ht="23.85" hidden="false" customHeight="false" outlineLevel="0" collapsed="false">
      <c r="A2" s="11" t="s">
        <v>2104</v>
      </c>
      <c r="B2" s="6" t="s">
        <v>2105</v>
      </c>
      <c r="C2" s="6" t="s">
        <v>2106</v>
      </c>
      <c r="D2" s="6" t="s">
        <v>2107</v>
      </c>
    </row>
    <row r="3" customFormat="false" ht="15" hidden="false" customHeight="false" outlineLevel="0" collapsed="false">
      <c r="A3" s="11" t="s">
        <v>2108</v>
      </c>
      <c r="B3" s="6" t="s">
        <v>2109</v>
      </c>
      <c r="C3" s="6" t="s">
        <v>2110</v>
      </c>
      <c r="D3" s="6" t="s">
        <v>2107</v>
      </c>
    </row>
    <row r="4" customFormat="false" ht="15" hidden="false" customHeight="false" outlineLevel="0" collapsed="false">
      <c r="A4" s="11" t="s">
        <v>2111</v>
      </c>
      <c r="B4" s="6" t="s">
        <v>2112</v>
      </c>
      <c r="C4" s="6" t="s">
        <v>2113</v>
      </c>
      <c r="D4" s="6" t="s">
        <v>2107</v>
      </c>
    </row>
    <row r="5" customFormat="false" ht="23.85" hidden="false" customHeight="false" outlineLevel="0" collapsed="false">
      <c r="A5" s="11" t="s">
        <v>2114</v>
      </c>
      <c r="B5" s="6" t="s">
        <v>2115</v>
      </c>
      <c r="C5" s="6" t="s">
        <v>2116</v>
      </c>
      <c r="D5" s="6" t="s">
        <v>2107</v>
      </c>
    </row>
    <row r="6" customFormat="false" ht="23.85" hidden="false" customHeight="false" outlineLevel="0" collapsed="false">
      <c r="A6" s="11" t="s">
        <v>2117</v>
      </c>
      <c r="B6" s="6" t="s">
        <v>2118</v>
      </c>
      <c r="C6" s="6" t="s">
        <v>2119</v>
      </c>
      <c r="D6" s="6" t="s">
        <v>2120</v>
      </c>
    </row>
    <row r="7" customFormat="false" ht="23.85" hidden="false" customHeight="false" outlineLevel="0" collapsed="false">
      <c r="A7" s="11" t="s">
        <v>2121</v>
      </c>
      <c r="B7" s="6" t="s">
        <v>2122</v>
      </c>
      <c r="C7" s="6" t="s">
        <v>2123</v>
      </c>
      <c r="D7" s="6" t="s">
        <v>2124</v>
      </c>
    </row>
    <row r="8" customFormat="false" ht="15" hidden="false" customHeight="false" outlineLevel="0" collapsed="false">
      <c r="A8" s="11" t="s">
        <v>2125</v>
      </c>
      <c r="B8" s="6" t="s">
        <v>2126</v>
      </c>
      <c r="C8" s="6" t="s">
        <v>2127</v>
      </c>
      <c r="D8" s="6" t="s">
        <v>2124</v>
      </c>
    </row>
    <row r="9" customFormat="false" ht="15" hidden="false" customHeight="false" outlineLevel="0" collapsed="false">
      <c r="A9" s="11" t="s">
        <v>2128</v>
      </c>
      <c r="B9" s="6" t="s">
        <v>2129</v>
      </c>
      <c r="C9" s="6" t="s">
        <v>2130</v>
      </c>
      <c r="D9" s="6" t="s">
        <v>2131</v>
      </c>
    </row>
    <row r="10" customFormat="false" ht="15" hidden="false" customHeight="false" outlineLevel="0" collapsed="false">
      <c r="A10" s="11" t="s">
        <v>2132</v>
      </c>
      <c r="B10" s="6" t="s">
        <v>2133</v>
      </c>
      <c r="C10" s="6" t="s">
        <v>2134</v>
      </c>
      <c r="D10" s="6" t="s">
        <v>2131</v>
      </c>
    </row>
    <row r="11" customFormat="false" ht="15" hidden="false" customHeight="false" outlineLevel="0" collapsed="false">
      <c r="A11" s="11" t="s">
        <v>2135</v>
      </c>
      <c r="B11" s="6" t="s">
        <v>2136</v>
      </c>
      <c r="C11" s="6" t="s">
        <v>2137</v>
      </c>
      <c r="D11" s="6" t="s">
        <v>2131</v>
      </c>
    </row>
    <row r="12" customFormat="false" ht="15" hidden="false" customHeight="false" outlineLevel="0" collapsed="false">
      <c r="A12" s="11" t="s">
        <v>2138</v>
      </c>
      <c r="B12" s="6" t="s">
        <v>2139</v>
      </c>
      <c r="C12" s="6" t="s">
        <v>2140</v>
      </c>
      <c r="D12" s="6" t="s">
        <v>2120</v>
      </c>
    </row>
    <row r="13" customFormat="false" ht="23.85" hidden="false" customHeight="false" outlineLevel="0" collapsed="false">
      <c r="A13" s="11" t="s">
        <v>2141</v>
      </c>
      <c r="B13" s="6" t="s">
        <v>2142</v>
      </c>
      <c r="C13" s="6" t="s">
        <v>2143</v>
      </c>
      <c r="D13" s="6" t="s">
        <v>2144</v>
      </c>
    </row>
    <row r="14" customFormat="false" ht="15" hidden="false" customHeight="false" outlineLevel="0" collapsed="false">
      <c r="A14" s="11" t="s">
        <v>2145</v>
      </c>
      <c r="B14" s="6" t="s">
        <v>2146</v>
      </c>
      <c r="C14" s="6" t="s">
        <v>2147</v>
      </c>
      <c r="D14" s="6" t="s">
        <v>2124</v>
      </c>
    </row>
    <row r="15" customFormat="false" ht="15" hidden="false" customHeight="false" outlineLevel="0" collapsed="false">
      <c r="A15" s="11" t="s">
        <v>964</v>
      </c>
      <c r="B15" s="6" t="s">
        <v>963</v>
      </c>
      <c r="C15" s="6" t="s">
        <v>2148</v>
      </c>
      <c r="D15" s="6" t="s">
        <v>2149</v>
      </c>
    </row>
    <row r="16" customFormat="false" ht="23.85" hidden="false" customHeight="false" outlineLevel="0" collapsed="false">
      <c r="A16" s="11" t="s">
        <v>1056</v>
      </c>
      <c r="B16" s="6" t="s">
        <v>1055</v>
      </c>
      <c r="C16" s="6" t="s">
        <v>2148</v>
      </c>
      <c r="D16" s="6" t="s">
        <v>2149</v>
      </c>
    </row>
    <row r="17" customFormat="false" ht="15" hidden="false" customHeight="false" outlineLevel="0" collapsed="false">
      <c r="A17" s="11" t="s">
        <v>1062</v>
      </c>
      <c r="B17" s="6" t="s">
        <v>1061</v>
      </c>
      <c r="C17" s="6" t="s">
        <v>2148</v>
      </c>
      <c r="D17" s="6" t="s">
        <v>2149</v>
      </c>
    </row>
    <row r="18" customFormat="false" ht="15" hidden="false" customHeight="false" outlineLevel="0" collapsed="false">
      <c r="A18" s="11" t="s">
        <v>2150</v>
      </c>
      <c r="B18" s="6" t="s">
        <v>2151</v>
      </c>
      <c r="C18" s="6" t="s">
        <v>2130</v>
      </c>
      <c r="D18" s="6" t="s">
        <v>2131</v>
      </c>
    </row>
    <row r="19" customFormat="false" ht="15" hidden="false" customHeight="false" outlineLevel="0" collapsed="false">
      <c r="A19" s="11" t="s">
        <v>2152</v>
      </c>
      <c r="B19" s="6" t="s">
        <v>2153</v>
      </c>
      <c r="C19" s="6" t="s">
        <v>2134</v>
      </c>
      <c r="D19" s="6" t="s">
        <v>2131</v>
      </c>
    </row>
    <row r="20" customFormat="false" ht="23.85" hidden="false" customHeight="false" outlineLevel="0" collapsed="false">
      <c r="A20" s="11" t="s">
        <v>2154</v>
      </c>
      <c r="B20" s="6" t="s">
        <v>2155</v>
      </c>
      <c r="C20" s="6" t="s">
        <v>2156</v>
      </c>
      <c r="D20" s="6" t="s">
        <v>2124</v>
      </c>
    </row>
    <row r="21" customFormat="false" ht="23.85" hidden="false" customHeight="false" outlineLevel="0" collapsed="false">
      <c r="A21" s="11" t="s">
        <v>2157</v>
      </c>
      <c r="B21" s="6" t="s">
        <v>2158</v>
      </c>
      <c r="C21" s="6" t="s">
        <v>2159</v>
      </c>
      <c r="D21" s="6" t="s">
        <v>2124</v>
      </c>
    </row>
    <row r="22" customFormat="false" ht="15" hidden="false" customHeight="false" outlineLevel="0" collapsed="false">
      <c r="A22" s="11" t="s">
        <v>2160</v>
      </c>
      <c r="B22" s="6" t="s">
        <v>2161</v>
      </c>
      <c r="C22" s="6" t="s">
        <v>2162</v>
      </c>
      <c r="D22" s="6" t="s">
        <v>2131</v>
      </c>
    </row>
    <row r="23" customFormat="false" ht="23.85" hidden="false" customHeight="false" outlineLevel="0" collapsed="false">
      <c r="A23" s="11" t="s">
        <v>2163</v>
      </c>
      <c r="B23" s="6" t="s">
        <v>2164</v>
      </c>
      <c r="C23" s="6" t="s">
        <v>2162</v>
      </c>
      <c r="D23" s="6" t="s">
        <v>2131</v>
      </c>
    </row>
    <row r="24" customFormat="false" ht="15" hidden="false" customHeight="false" outlineLevel="0" collapsed="false">
      <c r="A24" s="11" t="s">
        <v>2165</v>
      </c>
      <c r="B24" s="6" t="s">
        <v>2166</v>
      </c>
      <c r="C24" s="6" t="s">
        <v>2162</v>
      </c>
      <c r="D24" s="6" t="s">
        <v>2131</v>
      </c>
    </row>
    <row r="25" customFormat="false" ht="15" hidden="false" customHeight="false" outlineLevel="0" collapsed="false">
      <c r="A25" s="11" t="s">
        <v>2167</v>
      </c>
      <c r="B25" s="6" t="s">
        <v>2168</v>
      </c>
      <c r="C25" s="6" t="s">
        <v>2169</v>
      </c>
      <c r="D25" s="6" t="s">
        <v>2131</v>
      </c>
    </row>
    <row r="26" customFormat="false" ht="15" hidden="false" customHeight="false" outlineLevel="0" collapsed="false">
      <c r="A26" s="11" t="s">
        <v>2170</v>
      </c>
      <c r="B26" s="6" t="s">
        <v>2171</v>
      </c>
      <c r="C26" s="6" t="s">
        <v>2172</v>
      </c>
      <c r="D26" s="6" t="s">
        <v>2131</v>
      </c>
    </row>
    <row r="27" customFormat="false" ht="15" hidden="false" customHeight="false" outlineLevel="0" collapsed="false">
      <c r="A27" s="11" t="s">
        <v>2173</v>
      </c>
      <c r="B27" s="6" t="s">
        <v>2174</v>
      </c>
      <c r="C27" s="6" t="s">
        <v>2175</v>
      </c>
      <c r="D27" s="6" t="s">
        <v>2124</v>
      </c>
    </row>
    <row r="28" customFormat="false" ht="15" hidden="false" customHeight="false" outlineLevel="0" collapsed="false">
      <c r="A28" s="11" t="s">
        <v>2176</v>
      </c>
      <c r="B28" s="6" t="s">
        <v>2177</v>
      </c>
      <c r="C28" s="6" t="s">
        <v>2178</v>
      </c>
      <c r="D28" s="6" t="s">
        <v>2124</v>
      </c>
    </row>
    <row r="29" customFormat="false" ht="15" hidden="false" customHeight="false" outlineLevel="0" collapsed="false">
      <c r="A29" s="11" t="s">
        <v>2179</v>
      </c>
      <c r="B29" s="6" t="s">
        <v>2180</v>
      </c>
      <c r="C29" s="6" t="s">
        <v>2181</v>
      </c>
      <c r="D29" s="6" t="s">
        <v>2124</v>
      </c>
    </row>
    <row r="30" customFormat="false" ht="15" hidden="false" customHeight="false" outlineLevel="0" collapsed="false">
      <c r="A30" s="11" t="s">
        <v>2182</v>
      </c>
      <c r="B30" s="6" t="s">
        <v>2183</v>
      </c>
      <c r="C30" s="6" t="s">
        <v>2169</v>
      </c>
      <c r="D30" s="6" t="s">
        <v>2131</v>
      </c>
    </row>
    <row r="31" customFormat="false" ht="15" hidden="false" customHeight="false" outlineLevel="0" collapsed="false">
      <c r="A31" s="11" t="s">
        <v>2184</v>
      </c>
      <c r="B31" s="6" t="s">
        <v>2185</v>
      </c>
      <c r="C31" s="6" t="s">
        <v>2162</v>
      </c>
      <c r="D31" s="6" t="s">
        <v>2131</v>
      </c>
    </row>
    <row r="32" customFormat="false" ht="15" hidden="false" customHeight="false" outlineLevel="0" collapsed="false">
      <c r="A32" s="11" t="s">
        <v>2186</v>
      </c>
      <c r="B32" s="6" t="s">
        <v>2187</v>
      </c>
      <c r="C32" s="6" t="s">
        <v>2162</v>
      </c>
      <c r="D32" s="6" t="s">
        <v>2131</v>
      </c>
    </row>
    <row r="33" customFormat="false" ht="15" hidden="false" customHeight="false" outlineLevel="0" collapsed="false">
      <c r="A33" s="11" t="s">
        <v>2188</v>
      </c>
      <c r="B33" s="6" t="s">
        <v>2189</v>
      </c>
      <c r="C33" s="6" t="s">
        <v>2169</v>
      </c>
      <c r="D33" s="6" t="s">
        <v>2131</v>
      </c>
    </row>
    <row r="34" customFormat="false" ht="15" hidden="false" customHeight="false" outlineLevel="0" collapsed="false">
      <c r="A34" s="11" t="s">
        <v>2190</v>
      </c>
      <c r="B34" s="6" t="s">
        <v>2191</v>
      </c>
      <c r="C34" s="6" t="s">
        <v>2162</v>
      </c>
      <c r="D34" s="6" t="s">
        <v>2131</v>
      </c>
    </row>
    <row r="35" customFormat="false" ht="23.85" hidden="false" customHeight="false" outlineLevel="0" collapsed="false">
      <c r="A35" s="11" t="s">
        <v>2192</v>
      </c>
      <c r="B35" s="6" t="s">
        <v>2193</v>
      </c>
      <c r="C35" s="6" t="s">
        <v>2169</v>
      </c>
      <c r="D35" s="6" t="s">
        <v>2131</v>
      </c>
    </row>
    <row r="36" customFormat="false" ht="15" hidden="false" customHeight="false" outlineLevel="0" collapsed="false">
      <c r="A36" s="11" t="s">
        <v>2194</v>
      </c>
      <c r="B36" s="6" t="s">
        <v>2195</v>
      </c>
      <c r="C36" s="6" t="s">
        <v>2169</v>
      </c>
      <c r="D36" s="6" t="s">
        <v>2131</v>
      </c>
    </row>
    <row r="37" customFormat="false" ht="15" hidden="false" customHeight="false" outlineLevel="0" collapsed="false">
      <c r="A37" s="11" t="s">
        <v>2196</v>
      </c>
      <c r="B37" s="6" t="s">
        <v>2197</v>
      </c>
      <c r="C37" s="6" t="s">
        <v>2169</v>
      </c>
      <c r="D37" s="6" t="s">
        <v>2131</v>
      </c>
    </row>
    <row r="38" customFormat="false" ht="15" hidden="false" customHeight="false" outlineLevel="0" collapsed="false">
      <c r="A38" s="11" t="s">
        <v>2198</v>
      </c>
      <c r="B38" s="6" t="s">
        <v>2199</v>
      </c>
      <c r="C38" s="6" t="s">
        <v>2172</v>
      </c>
      <c r="D38" s="6" t="s">
        <v>2131</v>
      </c>
    </row>
    <row r="39" customFormat="false" ht="15" hidden="false" customHeight="false" outlineLevel="0" collapsed="false">
      <c r="A39" s="11" t="s">
        <v>2200</v>
      </c>
      <c r="B39" s="6" t="s">
        <v>2201</v>
      </c>
      <c r="C39" s="6" t="s">
        <v>2202</v>
      </c>
      <c r="D39" s="6" t="s">
        <v>2124</v>
      </c>
    </row>
    <row r="40" customFormat="false" ht="15" hidden="false" customHeight="false" outlineLevel="0" collapsed="false">
      <c r="A40" s="11" t="s">
        <v>2203</v>
      </c>
      <c r="B40" s="6" t="s">
        <v>2204</v>
      </c>
      <c r="C40" s="6" t="s">
        <v>2205</v>
      </c>
      <c r="D40" s="6" t="s">
        <v>2124</v>
      </c>
    </row>
    <row r="41" customFormat="false" ht="15" hidden="false" customHeight="false" outlineLevel="0" collapsed="false">
      <c r="A41" s="11" t="s">
        <v>2206</v>
      </c>
      <c r="B41" s="6" t="s">
        <v>2207</v>
      </c>
      <c r="C41" s="6" t="s">
        <v>2162</v>
      </c>
      <c r="D41" s="6" t="s">
        <v>2131</v>
      </c>
    </row>
    <row r="42" customFormat="false" ht="15" hidden="false" customHeight="false" outlineLevel="0" collapsed="false">
      <c r="A42" s="11" t="s">
        <v>2208</v>
      </c>
      <c r="B42" s="6" t="s">
        <v>2209</v>
      </c>
      <c r="C42" s="6" t="s">
        <v>2210</v>
      </c>
      <c r="D42" s="6" t="s">
        <v>2124</v>
      </c>
    </row>
    <row r="43" customFormat="false" ht="23.85" hidden="false" customHeight="false" outlineLevel="0" collapsed="false">
      <c r="A43" s="11" t="s">
        <v>2211</v>
      </c>
      <c r="B43" s="6" t="s">
        <v>2212</v>
      </c>
      <c r="C43" s="6" t="s">
        <v>2210</v>
      </c>
      <c r="D43" s="6" t="s">
        <v>2124</v>
      </c>
    </row>
    <row r="44" customFormat="false" ht="15" hidden="false" customHeight="false" outlineLevel="0" collapsed="false">
      <c r="A44" s="11" t="s">
        <v>2213</v>
      </c>
      <c r="B44" s="6" t="s">
        <v>2214</v>
      </c>
      <c r="C44" s="6" t="s">
        <v>2215</v>
      </c>
      <c r="D44" s="6" t="s">
        <v>2124</v>
      </c>
    </row>
    <row r="45" customFormat="false" ht="15" hidden="false" customHeight="false" outlineLevel="0" collapsed="false">
      <c r="A45" s="11" t="s">
        <v>2216</v>
      </c>
      <c r="B45" s="6" t="s">
        <v>2217</v>
      </c>
      <c r="C45" s="6" t="s">
        <v>2218</v>
      </c>
      <c r="D45" s="6" t="s">
        <v>2124</v>
      </c>
    </row>
    <row r="46" customFormat="false" ht="15" hidden="false" customHeight="false" outlineLevel="0" collapsed="false">
      <c r="A46" s="11" t="s">
        <v>2219</v>
      </c>
      <c r="B46" s="6" t="s">
        <v>2220</v>
      </c>
      <c r="C46" s="6" t="s">
        <v>2221</v>
      </c>
      <c r="D46" s="6" t="s">
        <v>2124</v>
      </c>
    </row>
    <row r="47" customFormat="false" ht="15" hidden="false" customHeight="false" outlineLevel="0" collapsed="false">
      <c r="A47" s="11" t="s">
        <v>2222</v>
      </c>
      <c r="B47" s="6" t="s">
        <v>2223</v>
      </c>
      <c r="C47" s="6" t="s">
        <v>2224</v>
      </c>
      <c r="D47" s="6" t="s">
        <v>2124</v>
      </c>
    </row>
  </sheetData>
  <hyperlinks>
    <hyperlink ref="A2" r:id="rId1" display="https://www.youtube.com/watch?v=bynlxFY8R_I"/>
    <hyperlink ref="A3" r:id="rId2" display="https://www.youtube.com/watch?v=EwoohZ4dHZc"/>
    <hyperlink ref="A4" r:id="rId3" display="https://www.youtube.com/watch?v=BBvS4uwNF5U"/>
    <hyperlink ref="A5" r:id="rId4" display="https://www.youtube.com/watch?v=Fz2-LSMEov0"/>
    <hyperlink ref="A6" r:id="rId5" display="https://www.youtube.com/watch?v=xMHvz-43Fdk"/>
    <hyperlink ref="A7" r:id="rId6" display="https://www.youtube.com/watch?v=vRC-Mbj2gI0"/>
    <hyperlink ref="A8" r:id="rId7" display="https://www.youtube.com/watch?v=cMwLknD6ZMA"/>
    <hyperlink ref="A9" r:id="rId8" display="https://www.youtube.com/watch?v=DNPx-XrdCuQ"/>
    <hyperlink ref="A10" r:id="rId9" display="https://www.youtube.com/watch?v=CVIUh9LKl78"/>
    <hyperlink ref="A11" r:id="rId10" display="https://www.youtube.com/watch?v=ahMemzGlSRQ"/>
    <hyperlink ref="A12" r:id="rId11" display="https://www.youtube.com/watch?v=iqi43TKHuVY"/>
    <hyperlink ref="A13" r:id="rId12" display="https://www.youtube.com/watch?v=Ktj83BMnaoM"/>
    <hyperlink ref="A14" r:id="rId13" display="https://www.youtube.com/watch?v=u-gS07N-hV0"/>
    <hyperlink ref="A15" r:id="rId14" display="https://www.youtube.com/watch?v=C0OFM297MlU"/>
    <hyperlink ref="A16" r:id="rId15" display="https://www.youtube.com/watch?v=SN6_YKVl-U0"/>
    <hyperlink ref="A17" r:id="rId16" display="https://www.youtube.com/watch?v=SyYkOglVVLo"/>
    <hyperlink ref="A18" r:id="rId17" display="https://www.youtube.com/watch?v=rXJlIqMys04"/>
    <hyperlink ref="A19" r:id="rId18" display="https://www.youtube.com/watch?v=TQW8TUirVHA"/>
    <hyperlink ref="A20" r:id="rId19" display="https://www.youtube.com/watch?v=DcfhBvF1wYQ"/>
    <hyperlink ref="A21" r:id="rId20" display="https://www.youtube.com/watch?v=QL404TsHKvs"/>
    <hyperlink ref="A22" r:id="rId21" display="https://www.youtube.com/watch?v=vw9xRBwzzxg"/>
    <hyperlink ref="A23" r:id="rId22" display="https://www.youtube.com/watch?v=TaSSS4Fsi5o"/>
    <hyperlink ref="A24" r:id="rId23" display="https://www.youtube.com/watch?v=iEWhdk598aM"/>
    <hyperlink ref="A25" r:id="rId24" display="https://www.youtube.com/watch?v=yii4FkVbrTc"/>
    <hyperlink ref="A26" r:id="rId25" display="https://www.youtube.com/watch?v=TfrPtbu7FX0"/>
    <hyperlink ref="A27" r:id="rId26" display="https://www.youtube.com/watch?v=A1JQ63kvGPA"/>
    <hyperlink ref="A28" r:id="rId27" display="https://www.youtube.com/watch?v=ElIOxFQFICo"/>
    <hyperlink ref="A29" r:id="rId28" display="https://www.youtube.com/watch?v=dA2Jn5EAmTc"/>
    <hyperlink ref="A30" r:id="rId29" display="https://www.youtube.com/watch?v=0oiJtKoJ6VY"/>
    <hyperlink ref="A31" r:id="rId30" display="https://www.youtube.com/watch?v=4UUsEKViZ4M"/>
    <hyperlink ref="A32" r:id="rId31" display="https://www.youtube.com/watch?v=3JlAdn1emEA"/>
    <hyperlink ref="A33" r:id="rId32" display="https://www.youtube.com/watch?v=6SrUgCU0OCE"/>
    <hyperlink ref="A34" r:id="rId33" display="https://www.youtube.com/watch?v=ODVWAijqcS4"/>
    <hyperlink ref="A35" r:id="rId34" display="https://www.youtube.com/watch?v=HdG8R0CRWlU"/>
    <hyperlink ref="A36" r:id="rId35" display="https://www.youtube.com/watch?v=whSfFq9WPIM"/>
    <hyperlink ref="A37" r:id="rId36" display="https://www.youtube.com/watch?v=m7W79rixPZU"/>
    <hyperlink ref="A38" r:id="rId37" display="https://www.youtube.com/watch?v=NXdmwnSjhx8"/>
    <hyperlink ref="A39" r:id="rId38" display="https://www.youtube.com/watch?v=UtgJ85-OdHM"/>
    <hyperlink ref="A40" r:id="rId39" display="https://www.youtube.com/watch?v=poGrtzLVDLk"/>
    <hyperlink ref="A41" r:id="rId40" display="https://www.youtube.com/watch?v=I4lJJs_eUGg"/>
    <hyperlink ref="A42" r:id="rId41" display="https://www.youtube.com/watch?v=76hyW1-XkGk"/>
    <hyperlink ref="A43" r:id="rId42" display="https://www.youtube.com/watch?v=_DiApj4D3jc"/>
    <hyperlink ref="A44" r:id="rId43" display="https://www.youtube.com/watch?v=hbVxhOV6NFw"/>
    <hyperlink ref="A45" r:id="rId44" display="https://www.youtube.com/watch?v=dRVXK3DjBzk"/>
    <hyperlink ref="A46" r:id="rId45" display="https://www.youtube.com/watch?v=-4tJgiWazjA"/>
    <hyperlink ref="A47" r:id="rId46" display="https://www.youtube.com/watch?v=tqt1Wr5-q-E"/>
  </hyperlink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4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46"/>
    <col collapsed="false" customWidth="true" hidden="false" outlineLevel="0" max="3" min="3" style="0" width="12"/>
    <col collapsed="false" customWidth="true" hidden="false" outlineLevel="0" max="4" min="4" style="0" width="14"/>
    <col collapsed="false" customWidth="true" hidden="false" outlineLevel="0" max="6" min="5" style="0" width="12"/>
    <col collapsed="false" customWidth="true" hidden="false" outlineLevel="0" max="8" min="7" style="0" width="10"/>
  </cols>
  <sheetData>
    <row r="1" customFormat="false" ht="31.5" hidden="false" customHeight="true" outlineLevel="0" collapsed="false">
      <c r="A1" s="5" t="s">
        <v>35</v>
      </c>
      <c r="B1" s="5" t="s">
        <v>36</v>
      </c>
      <c r="C1" s="5" t="s">
        <v>2225</v>
      </c>
      <c r="D1" s="5" t="s">
        <v>2226</v>
      </c>
      <c r="E1" s="5" t="s">
        <v>2227</v>
      </c>
      <c r="F1" s="5" t="s">
        <v>2228</v>
      </c>
      <c r="G1" s="5" t="s">
        <v>2229</v>
      </c>
      <c r="H1" s="5" t="s">
        <v>2144</v>
      </c>
    </row>
    <row r="2" customFormat="false" ht="23.85" hidden="false" customHeight="false" outlineLevel="0" collapsed="false">
      <c r="A2" s="13" t="s">
        <v>44</v>
      </c>
      <c r="B2" s="13" t="s">
        <v>45</v>
      </c>
      <c r="C2" s="13" t="n">
        <f aca="false">COUNTIF(Mundarija!$C$2:$C$254,B2)</f>
        <v>5</v>
      </c>
      <c r="D2" s="13" t="n">
        <f aca="false">COUNTIFS(Mundarija!$C$2:$C$254,B2,Mundarija!$E$2:$E$254,"&gt;0")</f>
        <v>5</v>
      </c>
      <c r="E2" s="14" t="n">
        <f aca="false">IF(C2=0,0,D2/C2)</f>
        <v>1</v>
      </c>
      <c r="F2" s="13" t="n">
        <f aca="false">COUNTIFS(Mundarija!$C$2:$C$254,B2,Mundarija!$H$2:$H$254,"Yetishmaydi")</f>
        <v>0</v>
      </c>
      <c r="G2" s="13" t="n">
        <f aca="false">COUNTIFS(Mundarija!$C$2:$C$254,B2,Mundarija!$H$2:$H$254,"Qisman to‘ldirilgan")</f>
        <v>1</v>
      </c>
      <c r="H2" s="13" t="n">
        <f aca="false">COUNTIFS(Mundarija!$C$2:$C$254,B2,Mundarija!$H$2:$H$254,"Takroriy")</f>
        <v>0</v>
      </c>
    </row>
    <row r="3" customFormat="false" ht="23.85" hidden="false" customHeight="false" outlineLevel="0" collapsed="false">
      <c r="A3" s="13" t="s">
        <v>44</v>
      </c>
      <c r="B3" s="13" t="s">
        <v>57</v>
      </c>
      <c r="C3" s="13" t="n">
        <f aca="false">COUNTIF(Mundarija!$C$2:$C$254,B3)</f>
        <v>7</v>
      </c>
      <c r="D3" s="13" t="n">
        <f aca="false">COUNTIFS(Mundarija!$C$2:$C$254,B3,Mundarija!$E$2:$E$254,"&gt;0")</f>
        <v>7</v>
      </c>
      <c r="E3" s="14" t="n">
        <f aca="false">IF(C3=0,0,D3/C3)</f>
        <v>1</v>
      </c>
      <c r="F3" s="13" t="n">
        <f aca="false">COUNTIFS(Mundarija!$C$2:$C$254,B3,Mundarija!$H$2:$H$254,"Yetishmaydi")</f>
        <v>0</v>
      </c>
      <c r="G3" s="13" t="n">
        <f aca="false">COUNTIFS(Mundarija!$C$2:$C$254,B3,Mundarija!$H$2:$H$254,"Qisman to‘ldirilgan")</f>
        <v>3</v>
      </c>
      <c r="H3" s="13" t="n">
        <f aca="false">COUNTIFS(Mundarija!$C$2:$C$254,B3,Mundarija!$H$2:$H$254,"Takroriy")</f>
        <v>0</v>
      </c>
    </row>
    <row r="4" customFormat="false" ht="23.85" hidden="false" customHeight="false" outlineLevel="0" collapsed="false">
      <c r="A4" s="13" t="s">
        <v>44</v>
      </c>
      <c r="B4" s="13" t="s">
        <v>74</v>
      </c>
      <c r="C4" s="13" t="n">
        <f aca="false">COUNTIF(Mundarija!$C$2:$C$254,B4)</f>
        <v>6</v>
      </c>
      <c r="D4" s="13" t="n">
        <f aca="false">COUNTIFS(Mundarija!$C$2:$C$254,B4,Mundarija!$E$2:$E$254,"&gt;0")</f>
        <v>5</v>
      </c>
      <c r="E4" s="14" t="n">
        <f aca="false">IF(C4=0,0,D4/C4)</f>
        <v>0.833333333333333</v>
      </c>
      <c r="F4" s="13" t="n">
        <f aca="false">COUNTIFS(Mundarija!$C$2:$C$254,B4,Mundarija!$H$2:$H$254,"Yetishmaydi")</f>
        <v>1</v>
      </c>
      <c r="G4" s="13" t="n">
        <f aca="false">COUNTIFS(Mundarija!$C$2:$C$254,B4,Mundarija!$H$2:$H$254,"Qisman to‘ldirilgan")</f>
        <v>1</v>
      </c>
      <c r="H4" s="13" t="n">
        <f aca="false">COUNTIFS(Mundarija!$C$2:$C$254,B4,Mundarija!$H$2:$H$254,"Takroriy")</f>
        <v>0</v>
      </c>
    </row>
    <row r="5" customFormat="false" ht="23.85" hidden="false" customHeight="false" outlineLevel="0" collapsed="false">
      <c r="A5" s="13" t="s">
        <v>44</v>
      </c>
      <c r="B5" s="13" t="s">
        <v>87</v>
      </c>
      <c r="C5" s="13" t="n">
        <f aca="false">COUNTIF(Mundarija!$C$2:$C$254,B5)</f>
        <v>6</v>
      </c>
      <c r="D5" s="13" t="n">
        <f aca="false">COUNTIFS(Mundarija!$C$2:$C$254,B5,Mundarija!$E$2:$E$254,"&gt;0")</f>
        <v>6</v>
      </c>
      <c r="E5" s="14" t="n">
        <f aca="false">IF(C5=0,0,D5/C5)</f>
        <v>1</v>
      </c>
      <c r="F5" s="13" t="n">
        <f aca="false">COUNTIFS(Mundarija!$C$2:$C$254,B5,Mundarija!$H$2:$H$254,"Yetishmaydi")</f>
        <v>0</v>
      </c>
      <c r="G5" s="13" t="n">
        <f aca="false">COUNTIFS(Mundarija!$C$2:$C$254,B5,Mundarija!$H$2:$H$254,"Qisman to‘ldirilgan")</f>
        <v>2</v>
      </c>
      <c r="H5" s="13" t="n">
        <f aca="false">COUNTIFS(Mundarija!$C$2:$C$254,B5,Mundarija!$H$2:$H$254,"Takroriy")</f>
        <v>0</v>
      </c>
    </row>
    <row r="6" customFormat="false" ht="23.85" hidden="false" customHeight="false" outlineLevel="0" collapsed="false">
      <c r="A6" s="13" t="s">
        <v>44</v>
      </c>
      <c r="B6" s="13" t="s">
        <v>101</v>
      </c>
      <c r="C6" s="13" t="n">
        <f aca="false">COUNTIF(Mundarija!$C$2:$C$254,B6)</f>
        <v>7</v>
      </c>
      <c r="D6" s="13" t="n">
        <f aca="false">COUNTIFS(Mundarija!$C$2:$C$254,B6,Mundarija!$E$2:$E$254,"&gt;0")</f>
        <v>7</v>
      </c>
      <c r="E6" s="14" t="n">
        <f aca="false">IF(C6=0,0,D6/C6)</f>
        <v>1</v>
      </c>
      <c r="F6" s="13" t="n">
        <f aca="false">COUNTIFS(Mundarija!$C$2:$C$254,B6,Mundarija!$H$2:$H$254,"Yetishmaydi")</f>
        <v>0</v>
      </c>
      <c r="G6" s="13" t="n">
        <f aca="false">COUNTIFS(Mundarija!$C$2:$C$254,B6,Mundarija!$H$2:$H$254,"Qisman to‘ldirilgan")</f>
        <v>1</v>
      </c>
      <c r="H6" s="13" t="n">
        <f aca="false">COUNTIFS(Mundarija!$C$2:$C$254,B6,Mundarija!$H$2:$H$254,"Takroriy")</f>
        <v>1</v>
      </c>
    </row>
    <row r="7" customFormat="false" ht="23.85" hidden="false" customHeight="false" outlineLevel="0" collapsed="false">
      <c r="A7" s="13" t="s">
        <v>44</v>
      </c>
      <c r="B7" s="13" t="s">
        <v>117</v>
      </c>
      <c r="C7" s="13" t="n">
        <f aca="false">COUNTIF(Mundarija!$C$2:$C$254,B7)</f>
        <v>6</v>
      </c>
      <c r="D7" s="13" t="n">
        <f aca="false">COUNTIFS(Mundarija!$C$2:$C$254,B7,Mundarija!$E$2:$E$254,"&gt;0")</f>
        <v>6</v>
      </c>
      <c r="E7" s="14" t="n">
        <f aca="false">IF(C7=0,0,D7/C7)</f>
        <v>1</v>
      </c>
      <c r="F7" s="13" t="n">
        <f aca="false">COUNTIFS(Mundarija!$C$2:$C$254,B7,Mundarija!$H$2:$H$254,"Yetishmaydi")</f>
        <v>0</v>
      </c>
      <c r="G7" s="13" t="n">
        <f aca="false">COUNTIFS(Mundarija!$C$2:$C$254,B7,Mundarija!$H$2:$H$254,"Qisman to‘ldirilgan")</f>
        <v>2</v>
      </c>
      <c r="H7" s="13" t="n">
        <f aca="false">COUNTIFS(Mundarija!$C$2:$C$254,B7,Mundarija!$H$2:$H$254,"Takroriy")</f>
        <v>1</v>
      </c>
    </row>
    <row r="8" customFormat="false" ht="23.85" hidden="false" customHeight="false" outlineLevel="0" collapsed="false">
      <c r="A8" s="6" t="s">
        <v>132</v>
      </c>
      <c r="B8" s="6" t="s">
        <v>133</v>
      </c>
      <c r="C8" s="6" t="n">
        <f aca="false">COUNTIF(Mundarija!$C$2:$C$254,B8)</f>
        <v>6</v>
      </c>
      <c r="D8" s="6" t="n">
        <f aca="false">COUNTIFS(Mundarija!$C$2:$C$254,B8,Mundarija!$E$2:$E$254,"&gt;0")</f>
        <v>4</v>
      </c>
      <c r="E8" s="15" t="n">
        <f aca="false">IF(C8=0,0,D8/C8)</f>
        <v>0.666666666666667</v>
      </c>
      <c r="F8" s="6" t="n">
        <f aca="false">COUNTIFS(Mundarija!$C$2:$C$254,B8,Mundarija!$H$2:$H$254,"Yetishmaydi")</f>
        <v>2</v>
      </c>
      <c r="G8" s="6" t="n">
        <f aca="false">COUNTIFS(Mundarija!$C$2:$C$254,B8,Mundarija!$H$2:$H$254,"Qisman to‘ldirilgan")</f>
        <v>0</v>
      </c>
      <c r="H8" s="6" t="n">
        <f aca="false">COUNTIFS(Mundarija!$C$2:$C$254,B8,Mundarija!$H$2:$H$254,"Takroriy")</f>
        <v>0</v>
      </c>
    </row>
    <row r="9" customFormat="false" ht="23.85" hidden="false" customHeight="false" outlineLevel="0" collapsed="false">
      <c r="A9" s="6" t="s">
        <v>132</v>
      </c>
      <c r="B9" s="6" t="s">
        <v>146</v>
      </c>
      <c r="C9" s="6" t="n">
        <f aca="false">COUNTIF(Mundarija!$C$2:$C$254,B9)</f>
        <v>6</v>
      </c>
      <c r="D9" s="6" t="n">
        <f aca="false">COUNTIFS(Mundarija!$C$2:$C$254,B9,Mundarija!$E$2:$E$254,"&gt;0")</f>
        <v>5</v>
      </c>
      <c r="E9" s="15" t="n">
        <f aca="false">IF(C9=0,0,D9/C9)</f>
        <v>0.833333333333333</v>
      </c>
      <c r="F9" s="6" t="n">
        <f aca="false">COUNTIFS(Mundarija!$C$2:$C$254,B9,Mundarija!$H$2:$H$254,"Yetishmaydi")</f>
        <v>1</v>
      </c>
      <c r="G9" s="6" t="n">
        <f aca="false">COUNTIFS(Mundarija!$C$2:$C$254,B9,Mundarija!$H$2:$H$254,"Qisman to‘ldirilgan")</f>
        <v>1</v>
      </c>
      <c r="H9" s="6" t="n">
        <f aca="false">COUNTIFS(Mundarija!$C$2:$C$254,B9,Mundarija!$H$2:$H$254,"Takroriy")</f>
        <v>0</v>
      </c>
    </row>
    <row r="10" customFormat="false" ht="23.85" hidden="false" customHeight="false" outlineLevel="0" collapsed="false">
      <c r="A10" s="6" t="s">
        <v>132</v>
      </c>
      <c r="B10" s="6" t="s">
        <v>159</v>
      </c>
      <c r="C10" s="6" t="n">
        <f aca="false">COUNTIF(Mundarija!$C$2:$C$254,B10)</f>
        <v>7</v>
      </c>
      <c r="D10" s="6" t="n">
        <f aca="false">COUNTIFS(Mundarija!$C$2:$C$254,B10,Mundarija!$E$2:$E$254,"&gt;0")</f>
        <v>6</v>
      </c>
      <c r="E10" s="15" t="n">
        <f aca="false">IF(C10=0,0,D10/C10)</f>
        <v>0.857142857142857</v>
      </c>
      <c r="F10" s="6" t="n">
        <f aca="false">COUNTIFS(Mundarija!$C$2:$C$254,B10,Mundarija!$H$2:$H$254,"Yetishmaydi")</f>
        <v>1</v>
      </c>
      <c r="G10" s="6" t="n">
        <f aca="false">COUNTIFS(Mundarija!$C$2:$C$254,B10,Mundarija!$H$2:$H$254,"Qisman to‘ldirilgan")</f>
        <v>1</v>
      </c>
      <c r="H10" s="6" t="n">
        <f aca="false">COUNTIFS(Mundarija!$C$2:$C$254,B10,Mundarija!$H$2:$H$254,"Takroriy")</f>
        <v>0</v>
      </c>
    </row>
    <row r="11" customFormat="false" ht="23.85" hidden="false" customHeight="false" outlineLevel="0" collapsed="false">
      <c r="A11" s="6" t="s">
        <v>174</v>
      </c>
      <c r="B11" s="6" t="s">
        <v>175</v>
      </c>
      <c r="C11" s="6" t="n">
        <f aca="false">COUNTIF(Mundarija!$C$2:$C$254,B11)</f>
        <v>9</v>
      </c>
      <c r="D11" s="6" t="n">
        <f aca="false">COUNTIFS(Mundarija!$C$2:$C$254,B11,Mundarija!$E$2:$E$254,"&gt;0")</f>
        <v>8</v>
      </c>
      <c r="E11" s="15" t="n">
        <f aca="false">IF(C11=0,0,D11/C11)</f>
        <v>0.888888888888889</v>
      </c>
      <c r="F11" s="6" t="n">
        <f aca="false">COUNTIFS(Mundarija!$C$2:$C$254,B11,Mundarija!$H$2:$H$254,"Yetishmaydi")</f>
        <v>1</v>
      </c>
      <c r="G11" s="6" t="n">
        <f aca="false">COUNTIFS(Mundarija!$C$2:$C$254,B11,Mundarija!$H$2:$H$254,"Qisman to‘ldirilgan")</f>
        <v>0</v>
      </c>
      <c r="H11" s="6" t="n">
        <f aca="false">COUNTIFS(Mundarija!$C$2:$C$254,B11,Mundarija!$H$2:$H$254,"Takroriy")</f>
        <v>0</v>
      </c>
    </row>
    <row r="12" customFormat="false" ht="23.85" hidden="false" customHeight="false" outlineLevel="0" collapsed="false">
      <c r="A12" s="6" t="s">
        <v>174</v>
      </c>
      <c r="B12" s="6" t="s">
        <v>195</v>
      </c>
      <c r="C12" s="6" t="n">
        <f aca="false">COUNTIF(Mundarija!$C$2:$C$254,B12)</f>
        <v>8</v>
      </c>
      <c r="D12" s="6" t="n">
        <f aca="false">COUNTIFS(Mundarija!$C$2:$C$254,B12,Mundarija!$E$2:$E$254,"&gt;0")</f>
        <v>5</v>
      </c>
      <c r="E12" s="15" t="n">
        <f aca="false">IF(C12=0,0,D12/C12)</f>
        <v>0.625</v>
      </c>
      <c r="F12" s="6" t="n">
        <f aca="false">COUNTIFS(Mundarija!$C$2:$C$254,B12,Mundarija!$H$2:$H$254,"Yetishmaydi")</f>
        <v>3</v>
      </c>
      <c r="G12" s="6" t="n">
        <f aca="false">COUNTIFS(Mundarija!$C$2:$C$254,B12,Mundarija!$H$2:$H$254,"Qisman to‘ldirilgan")</f>
        <v>0</v>
      </c>
      <c r="H12" s="6" t="n">
        <f aca="false">COUNTIFS(Mundarija!$C$2:$C$254,B12,Mundarija!$H$2:$H$254,"Takroriy")</f>
        <v>0</v>
      </c>
    </row>
    <row r="13" customFormat="false" ht="23.85" hidden="false" customHeight="false" outlineLevel="0" collapsed="false">
      <c r="A13" s="6" t="s">
        <v>174</v>
      </c>
      <c r="B13" s="6" t="s">
        <v>213</v>
      </c>
      <c r="C13" s="6" t="n">
        <f aca="false">COUNTIF(Mundarija!$C$2:$C$254,B13)</f>
        <v>5</v>
      </c>
      <c r="D13" s="6" t="n">
        <f aca="false">COUNTIFS(Mundarija!$C$2:$C$254,B13,Mundarija!$E$2:$E$254,"&gt;0")</f>
        <v>2</v>
      </c>
      <c r="E13" s="15" t="n">
        <f aca="false">IF(C13=0,0,D13/C13)</f>
        <v>0.4</v>
      </c>
      <c r="F13" s="6" t="n">
        <f aca="false">COUNTIFS(Mundarija!$C$2:$C$254,B13,Mundarija!$H$2:$H$254,"Yetishmaydi")</f>
        <v>3</v>
      </c>
      <c r="G13" s="6" t="n">
        <f aca="false">COUNTIFS(Mundarija!$C$2:$C$254,B13,Mundarija!$H$2:$H$254,"Qisman to‘ldirilgan")</f>
        <v>1</v>
      </c>
      <c r="H13" s="6" t="n">
        <f aca="false">COUNTIFS(Mundarija!$C$2:$C$254,B13,Mundarija!$H$2:$H$254,"Takroriy")</f>
        <v>0</v>
      </c>
    </row>
    <row r="14" customFormat="false" ht="23.85" hidden="false" customHeight="false" outlineLevel="0" collapsed="false">
      <c r="A14" s="6" t="s">
        <v>174</v>
      </c>
      <c r="B14" s="6" t="s">
        <v>224</v>
      </c>
      <c r="C14" s="6" t="n">
        <f aca="false">COUNTIF(Mundarija!$C$2:$C$254,B14)</f>
        <v>4</v>
      </c>
      <c r="D14" s="6" t="n">
        <f aca="false">COUNTIFS(Mundarija!$C$2:$C$254,B14,Mundarija!$E$2:$E$254,"&gt;0")</f>
        <v>3</v>
      </c>
      <c r="E14" s="15" t="n">
        <f aca="false">IF(C14=0,0,D14/C14)</f>
        <v>0.75</v>
      </c>
      <c r="F14" s="6" t="n">
        <f aca="false">COUNTIFS(Mundarija!$C$2:$C$254,B14,Mundarija!$H$2:$H$254,"Yetishmaydi")</f>
        <v>1</v>
      </c>
      <c r="G14" s="6" t="n">
        <f aca="false">COUNTIFS(Mundarija!$C$2:$C$254,B14,Mundarija!$H$2:$H$254,"Qisman to‘ldirilgan")</f>
        <v>0</v>
      </c>
      <c r="H14" s="6" t="n">
        <f aca="false">COUNTIFS(Mundarija!$C$2:$C$254,B14,Mundarija!$H$2:$H$254,"Takroriy")</f>
        <v>0</v>
      </c>
    </row>
    <row r="15" customFormat="false" ht="23.85" hidden="false" customHeight="false" outlineLevel="0" collapsed="false">
      <c r="A15" s="6" t="s">
        <v>174</v>
      </c>
      <c r="B15" s="6" t="s">
        <v>233</v>
      </c>
      <c r="C15" s="6" t="n">
        <f aca="false">COUNTIF(Mundarija!$C$2:$C$254,B15)</f>
        <v>9</v>
      </c>
      <c r="D15" s="6" t="n">
        <f aca="false">COUNTIFS(Mundarija!$C$2:$C$254,B15,Mundarija!$E$2:$E$254,"&gt;0")</f>
        <v>7</v>
      </c>
      <c r="E15" s="15" t="n">
        <f aca="false">IF(C15=0,0,D15/C15)</f>
        <v>0.777777777777778</v>
      </c>
      <c r="F15" s="6" t="n">
        <f aca="false">COUNTIFS(Mundarija!$C$2:$C$254,B15,Mundarija!$H$2:$H$254,"Yetishmaydi")</f>
        <v>2</v>
      </c>
      <c r="G15" s="6" t="n">
        <f aca="false">COUNTIFS(Mundarija!$C$2:$C$254,B15,Mundarija!$H$2:$H$254,"Qisman to‘ldirilgan")</f>
        <v>1</v>
      </c>
      <c r="H15" s="6" t="n">
        <f aca="false">COUNTIFS(Mundarija!$C$2:$C$254,B15,Mundarija!$H$2:$H$254,"Takroriy")</f>
        <v>0</v>
      </c>
    </row>
    <row r="16" customFormat="false" ht="23.85" hidden="false" customHeight="false" outlineLevel="0" collapsed="false">
      <c r="A16" s="6" t="s">
        <v>174</v>
      </c>
      <c r="B16" s="6" t="s">
        <v>252</v>
      </c>
      <c r="C16" s="6" t="n">
        <f aca="false">COUNTIF(Mundarija!$C$2:$C$254,B16)</f>
        <v>8</v>
      </c>
      <c r="D16" s="6" t="n">
        <f aca="false">COUNTIFS(Mundarija!$C$2:$C$254,B16,Mundarija!$E$2:$E$254,"&gt;0")</f>
        <v>4</v>
      </c>
      <c r="E16" s="15" t="n">
        <f aca="false">IF(C16=0,0,D16/C16)</f>
        <v>0.5</v>
      </c>
      <c r="F16" s="6" t="n">
        <f aca="false">COUNTIFS(Mundarija!$C$2:$C$254,B16,Mundarija!$H$2:$H$254,"Yetishmaydi")</f>
        <v>4</v>
      </c>
      <c r="G16" s="6" t="n">
        <f aca="false">COUNTIFS(Mundarija!$C$2:$C$254,B16,Mundarija!$H$2:$H$254,"Qisman to‘ldirilgan")</f>
        <v>0</v>
      </c>
      <c r="H16" s="6" t="n">
        <f aca="false">COUNTIFS(Mundarija!$C$2:$C$254,B16,Mundarija!$H$2:$H$254,"Takroriy")</f>
        <v>2</v>
      </c>
    </row>
    <row r="17" customFormat="false" ht="15" hidden="false" customHeight="false" outlineLevel="0" collapsed="false">
      <c r="A17" s="6" t="s">
        <v>271</v>
      </c>
      <c r="B17" s="6" t="s">
        <v>272</v>
      </c>
      <c r="C17" s="6" t="n">
        <f aca="false">COUNTIF(Mundarija!$C$2:$C$254,B17)</f>
        <v>10</v>
      </c>
      <c r="D17" s="6" t="n">
        <f aca="false">COUNTIFS(Mundarija!$C$2:$C$254,B17,Mundarija!$E$2:$E$254,"&gt;0")</f>
        <v>10</v>
      </c>
      <c r="E17" s="15" t="n">
        <f aca="false">IF(C17=0,0,D17/C17)</f>
        <v>1</v>
      </c>
      <c r="F17" s="6" t="n">
        <f aca="false">COUNTIFS(Mundarija!$C$2:$C$254,B17,Mundarija!$H$2:$H$254,"Yetishmaydi")</f>
        <v>0</v>
      </c>
      <c r="G17" s="6" t="n">
        <f aca="false">COUNTIFS(Mundarija!$C$2:$C$254,B17,Mundarija!$H$2:$H$254,"Qisman to‘ldirilgan")</f>
        <v>0</v>
      </c>
      <c r="H17" s="6" t="n">
        <f aca="false">COUNTIFS(Mundarija!$C$2:$C$254,B17,Mundarija!$H$2:$H$254,"Takroriy")</f>
        <v>0</v>
      </c>
    </row>
    <row r="18" customFormat="false" ht="15" hidden="false" customHeight="false" outlineLevel="0" collapsed="false">
      <c r="A18" s="6" t="s">
        <v>271</v>
      </c>
      <c r="B18" s="6" t="s">
        <v>293</v>
      </c>
      <c r="C18" s="6" t="n">
        <f aca="false">COUNTIF(Mundarija!$C$2:$C$254,B18)</f>
        <v>9</v>
      </c>
      <c r="D18" s="6" t="n">
        <f aca="false">COUNTIFS(Mundarija!$C$2:$C$254,B18,Mundarija!$E$2:$E$254,"&gt;0")</f>
        <v>9</v>
      </c>
      <c r="E18" s="15" t="n">
        <f aca="false">IF(C18=0,0,D18/C18)</f>
        <v>1</v>
      </c>
      <c r="F18" s="6" t="n">
        <f aca="false">COUNTIFS(Mundarija!$C$2:$C$254,B18,Mundarija!$H$2:$H$254,"Yetishmaydi")</f>
        <v>0</v>
      </c>
      <c r="G18" s="6" t="n">
        <f aca="false">COUNTIFS(Mundarija!$C$2:$C$254,B18,Mundarija!$H$2:$H$254,"Qisman to‘ldirilgan")</f>
        <v>1</v>
      </c>
      <c r="H18" s="6" t="n">
        <f aca="false">COUNTIFS(Mundarija!$C$2:$C$254,B18,Mundarija!$H$2:$H$254,"Takroriy")</f>
        <v>0</v>
      </c>
    </row>
    <row r="19" customFormat="false" ht="15" hidden="false" customHeight="false" outlineLevel="0" collapsed="false">
      <c r="A19" s="6" t="s">
        <v>312</v>
      </c>
      <c r="B19" s="6" t="s">
        <v>313</v>
      </c>
      <c r="C19" s="6" t="n">
        <f aca="false">COUNTIF(Mundarija!$C$2:$C$254,B19)</f>
        <v>7</v>
      </c>
      <c r="D19" s="6" t="n">
        <f aca="false">COUNTIFS(Mundarija!$C$2:$C$254,B19,Mundarija!$E$2:$E$254,"&gt;0")</f>
        <v>7</v>
      </c>
      <c r="E19" s="15" t="n">
        <f aca="false">IF(C19=0,0,D19/C19)</f>
        <v>1</v>
      </c>
      <c r="F19" s="6" t="n">
        <f aca="false">COUNTIFS(Mundarija!$C$2:$C$254,B19,Mundarija!$H$2:$H$254,"Yetishmaydi")</f>
        <v>0</v>
      </c>
      <c r="G19" s="6" t="n">
        <f aca="false">COUNTIFS(Mundarija!$C$2:$C$254,B19,Mundarija!$H$2:$H$254,"Qisman to‘ldirilgan")</f>
        <v>0</v>
      </c>
      <c r="H19" s="6" t="n">
        <f aca="false">COUNTIFS(Mundarija!$C$2:$C$254,B19,Mundarija!$H$2:$H$254,"Takroriy")</f>
        <v>1</v>
      </c>
    </row>
    <row r="20" customFormat="false" ht="15" hidden="false" customHeight="false" outlineLevel="0" collapsed="false">
      <c r="A20" s="6" t="s">
        <v>312</v>
      </c>
      <c r="B20" s="6" t="s">
        <v>329</v>
      </c>
      <c r="C20" s="6" t="n">
        <f aca="false">COUNTIF(Mundarija!$C$2:$C$254,B20)</f>
        <v>5</v>
      </c>
      <c r="D20" s="6" t="n">
        <f aca="false">COUNTIFS(Mundarija!$C$2:$C$254,B20,Mundarija!$E$2:$E$254,"&gt;0")</f>
        <v>4</v>
      </c>
      <c r="E20" s="15" t="n">
        <f aca="false">IF(C20=0,0,D20/C20)</f>
        <v>0.8</v>
      </c>
      <c r="F20" s="6" t="n">
        <f aca="false">COUNTIFS(Mundarija!$C$2:$C$254,B20,Mundarija!$H$2:$H$254,"Yetishmaydi")</f>
        <v>1</v>
      </c>
      <c r="G20" s="6" t="n">
        <f aca="false">COUNTIFS(Mundarija!$C$2:$C$254,B20,Mundarija!$H$2:$H$254,"Qisman to‘ldirilgan")</f>
        <v>0</v>
      </c>
      <c r="H20" s="6" t="n">
        <f aca="false">COUNTIFS(Mundarija!$C$2:$C$254,B20,Mundarija!$H$2:$H$254,"Takroriy")</f>
        <v>0</v>
      </c>
    </row>
    <row r="21" customFormat="false" ht="15" hidden="false" customHeight="false" outlineLevel="0" collapsed="false">
      <c r="A21" s="6" t="s">
        <v>312</v>
      </c>
      <c r="B21" s="6" t="s">
        <v>340</v>
      </c>
      <c r="C21" s="6" t="n">
        <f aca="false">COUNTIF(Mundarija!$C$2:$C$254,B21)</f>
        <v>12</v>
      </c>
      <c r="D21" s="6" t="n">
        <f aca="false">COUNTIFS(Mundarija!$C$2:$C$254,B21,Mundarija!$E$2:$E$254,"&gt;0")</f>
        <v>11</v>
      </c>
      <c r="E21" s="15" t="n">
        <f aca="false">IF(C21=0,0,D21/C21)</f>
        <v>0.916666666666667</v>
      </c>
      <c r="F21" s="6" t="n">
        <f aca="false">COUNTIFS(Mundarija!$C$2:$C$254,B21,Mundarija!$H$2:$H$254,"Yetishmaydi")</f>
        <v>1</v>
      </c>
      <c r="G21" s="6" t="n">
        <f aca="false">COUNTIFS(Mundarija!$C$2:$C$254,B21,Mundarija!$H$2:$H$254,"Qisman to‘ldirilgan")</f>
        <v>0</v>
      </c>
      <c r="H21" s="6" t="n">
        <f aca="false">COUNTIFS(Mundarija!$C$2:$C$254,B21,Mundarija!$H$2:$H$254,"Takroriy")</f>
        <v>0</v>
      </c>
    </row>
    <row r="22" customFormat="false" ht="15" hidden="false" customHeight="false" outlineLevel="0" collapsed="false">
      <c r="A22" s="6" t="s">
        <v>312</v>
      </c>
      <c r="B22" s="6" t="s">
        <v>366</v>
      </c>
      <c r="C22" s="6" t="n">
        <f aca="false">COUNTIF(Mundarija!$C$2:$C$254,B22)</f>
        <v>9</v>
      </c>
      <c r="D22" s="6" t="n">
        <f aca="false">COUNTIFS(Mundarija!$C$2:$C$254,B22,Mundarija!$E$2:$E$254,"&gt;0")</f>
        <v>9</v>
      </c>
      <c r="E22" s="15" t="n">
        <f aca="false">IF(C22=0,0,D22/C22)</f>
        <v>1</v>
      </c>
      <c r="F22" s="6" t="n">
        <f aca="false">COUNTIFS(Mundarija!$C$2:$C$254,B22,Mundarija!$H$2:$H$254,"Yetishmaydi")</f>
        <v>0</v>
      </c>
      <c r="G22" s="6" t="n">
        <f aca="false">COUNTIFS(Mundarija!$C$2:$C$254,B22,Mundarija!$H$2:$H$254,"Qisman to‘ldirilgan")</f>
        <v>0</v>
      </c>
      <c r="H22" s="6" t="n">
        <f aca="false">COUNTIFS(Mundarija!$C$2:$C$254,B22,Mundarija!$H$2:$H$254,"Takroriy")</f>
        <v>0</v>
      </c>
    </row>
    <row r="23" customFormat="false" ht="23.85" hidden="false" customHeight="false" outlineLevel="0" collapsed="false">
      <c r="A23" s="6" t="s">
        <v>385</v>
      </c>
      <c r="B23" s="6" t="s">
        <v>386</v>
      </c>
      <c r="C23" s="6" t="n">
        <f aca="false">COUNTIF(Mundarija!$C$2:$C$254,B23)</f>
        <v>7</v>
      </c>
      <c r="D23" s="6" t="n">
        <f aca="false">COUNTIFS(Mundarija!$C$2:$C$254,B23,Mundarija!$E$2:$E$254,"&gt;0")</f>
        <v>7</v>
      </c>
      <c r="E23" s="15" t="n">
        <f aca="false">IF(C23=0,0,D23/C23)</f>
        <v>1</v>
      </c>
      <c r="F23" s="6" t="n">
        <f aca="false">COUNTIFS(Mundarija!$C$2:$C$254,B23,Mundarija!$H$2:$H$254,"Yetishmaydi")</f>
        <v>0</v>
      </c>
      <c r="G23" s="6" t="n">
        <f aca="false">COUNTIFS(Mundarija!$C$2:$C$254,B23,Mundarija!$H$2:$H$254,"Qisman to‘ldirilgan")</f>
        <v>0</v>
      </c>
      <c r="H23" s="6" t="n">
        <f aca="false">COUNTIFS(Mundarija!$C$2:$C$254,B23,Mundarija!$H$2:$H$254,"Takroriy")</f>
        <v>0</v>
      </c>
    </row>
    <row r="24" customFormat="false" ht="23.85" hidden="false" customHeight="false" outlineLevel="0" collapsed="false">
      <c r="A24" s="6" t="s">
        <v>385</v>
      </c>
      <c r="B24" s="6" t="s">
        <v>401</v>
      </c>
      <c r="C24" s="6" t="n">
        <f aca="false">COUNTIF(Mundarija!$C$2:$C$254,B24)</f>
        <v>8</v>
      </c>
      <c r="D24" s="6" t="n">
        <f aca="false">COUNTIFS(Mundarija!$C$2:$C$254,B24,Mundarija!$E$2:$E$254,"&gt;0")</f>
        <v>8</v>
      </c>
      <c r="E24" s="15" t="n">
        <f aca="false">IF(C24=0,0,D24/C24)</f>
        <v>1</v>
      </c>
      <c r="F24" s="6" t="n">
        <f aca="false">COUNTIFS(Mundarija!$C$2:$C$254,B24,Mundarija!$H$2:$H$254,"Yetishmaydi")</f>
        <v>0</v>
      </c>
      <c r="G24" s="6" t="n">
        <f aca="false">COUNTIFS(Mundarija!$C$2:$C$254,B24,Mundarija!$H$2:$H$254,"Qisman to‘ldirilgan")</f>
        <v>2</v>
      </c>
      <c r="H24" s="6" t="n">
        <f aca="false">COUNTIFS(Mundarija!$C$2:$C$254,B24,Mundarija!$H$2:$H$254,"Takroriy")</f>
        <v>0</v>
      </c>
    </row>
    <row r="25" customFormat="false" ht="23.85" hidden="false" customHeight="false" outlineLevel="0" collapsed="false">
      <c r="A25" s="6" t="s">
        <v>385</v>
      </c>
      <c r="B25" s="6" t="s">
        <v>418</v>
      </c>
      <c r="C25" s="6" t="n">
        <f aca="false">COUNTIF(Mundarija!$C$2:$C$254,B25)</f>
        <v>5</v>
      </c>
      <c r="D25" s="6" t="n">
        <f aca="false">COUNTIFS(Mundarija!$C$2:$C$254,B25,Mundarija!$E$2:$E$254,"&gt;0")</f>
        <v>5</v>
      </c>
      <c r="E25" s="15" t="n">
        <f aca="false">IF(C25=0,0,D25/C25)</f>
        <v>1</v>
      </c>
      <c r="F25" s="6" t="n">
        <f aca="false">COUNTIFS(Mundarija!$C$2:$C$254,B25,Mundarija!$H$2:$H$254,"Yetishmaydi")</f>
        <v>0</v>
      </c>
      <c r="G25" s="6" t="n">
        <f aca="false">COUNTIFS(Mundarija!$C$2:$C$254,B25,Mundarija!$H$2:$H$254,"Qisman to‘ldirilgan")</f>
        <v>0</v>
      </c>
      <c r="H25" s="6" t="n">
        <f aca="false">COUNTIFS(Mundarija!$C$2:$C$254,B25,Mundarija!$H$2:$H$254,"Takroriy")</f>
        <v>0</v>
      </c>
    </row>
    <row r="26" customFormat="false" ht="23.85" hidden="false" customHeight="false" outlineLevel="0" collapsed="false">
      <c r="A26" s="6" t="s">
        <v>429</v>
      </c>
      <c r="B26" s="6" t="s">
        <v>430</v>
      </c>
      <c r="C26" s="6" t="n">
        <f aca="false">COUNTIF(Mundarija!$C$2:$C$254,B26)</f>
        <v>10</v>
      </c>
      <c r="D26" s="6" t="n">
        <f aca="false">COUNTIFS(Mundarija!$C$2:$C$254,B26,Mundarija!$E$2:$E$254,"&gt;0")</f>
        <v>10</v>
      </c>
      <c r="E26" s="15" t="n">
        <f aca="false">IF(C26=0,0,D26/C26)</f>
        <v>1</v>
      </c>
      <c r="F26" s="6" t="n">
        <f aca="false">COUNTIFS(Mundarija!$C$2:$C$254,B26,Mundarija!$H$2:$H$254,"Yetishmaydi")</f>
        <v>0</v>
      </c>
      <c r="G26" s="6" t="n">
        <f aca="false">COUNTIFS(Mundarija!$C$2:$C$254,B26,Mundarija!$H$2:$H$254,"Qisman to‘ldirilgan")</f>
        <v>0</v>
      </c>
      <c r="H26" s="6" t="n">
        <f aca="false">COUNTIFS(Mundarija!$C$2:$C$254,B26,Mundarija!$H$2:$H$254,"Takroriy")</f>
        <v>0</v>
      </c>
    </row>
    <row r="27" customFormat="false" ht="15" hidden="false" customHeight="false" outlineLevel="0" collapsed="false">
      <c r="A27" s="6" t="s">
        <v>451</v>
      </c>
      <c r="B27" s="6" t="s">
        <v>452</v>
      </c>
      <c r="C27" s="6" t="n">
        <f aca="false">COUNTIF(Mundarija!$C$2:$C$254,B27)</f>
        <v>13</v>
      </c>
      <c r="D27" s="6" t="n">
        <f aca="false">COUNTIFS(Mundarija!$C$2:$C$254,B27,Mundarija!$E$2:$E$254,"&gt;0")</f>
        <v>5</v>
      </c>
      <c r="E27" s="15" t="n">
        <f aca="false">IF(C27=0,0,D27/C27)</f>
        <v>0.384615384615385</v>
      </c>
      <c r="F27" s="6" t="n">
        <f aca="false">COUNTIFS(Mundarija!$C$2:$C$254,B27,Mundarija!$H$2:$H$254,"Yetishmaydi")</f>
        <v>8</v>
      </c>
      <c r="G27" s="6" t="n">
        <f aca="false">COUNTIFS(Mundarija!$C$2:$C$254,B27,Mundarija!$H$2:$H$254,"Qisman to‘ldirilgan")</f>
        <v>0</v>
      </c>
      <c r="H27" s="6" t="n">
        <f aca="false">COUNTIFS(Mundarija!$C$2:$C$254,B27,Mundarija!$H$2:$H$254,"Takroriy")</f>
        <v>0</v>
      </c>
    </row>
    <row r="28" customFormat="false" ht="15" hidden="false" customHeight="false" outlineLevel="0" collapsed="false">
      <c r="A28" s="6" t="s">
        <v>479</v>
      </c>
      <c r="B28" s="6" t="s">
        <v>480</v>
      </c>
      <c r="C28" s="6" t="n">
        <f aca="false">COUNTIF(Mundarija!$C$2:$C$254,B28)</f>
        <v>10</v>
      </c>
      <c r="D28" s="6" t="n">
        <f aca="false">COUNTIFS(Mundarija!$C$2:$C$254,B28,Mundarija!$E$2:$E$254,"&gt;0")</f>
        <v>5</v>
      </c>
      <c r="E28" s="15" t="n">
        <f aca="false">IF(C28=0,0,D28/C28)</f>
        <v>0.5</v>
      </c>
      <c r="F28" s="6" t="n">
        <f aca="false">COUNTIFS(Mundarija!$C$2:$C$254,B28,Mundarija!$H$2:$H$254,"Yetishmaydi")</f>
        <v>4</v>
      </c>
      <c r="G28" s="6" t="n">
        <f aca="false">COUNTIFS(Mundarija!$C$2:$C$254,B28,Mundarija!$H$2:$H$254,"Qisman to‘ldirilgan")</f>
        <v>0</v>
      </c>
      <c r="H28" s="6" t="n">
        <f aca="false">COUNTIFS(Mundarija!$C$2:$C$254,B28,Mundarija!$H$2:$H$254,"Takroriy")</f>
        <v>1</v>
      </c>
    </row>
    <row r="29" customFormat="false" ht="23.85" hidden="false" customHeight="false" outlineLevel="0" collapsed="false">
      <c r="A29" s="6" t="s">
        <v>503</v>
      </c>
      <c r="B29" s="6" t="s">
        <v>504</v>
      </c>
      <c r="C29" s="6" t="n">
        <f aca="false">COUNTIF(Mundarija!$C$2:$C$254,B29)</f>
        <v>10</v>
      </c>
      <c r="D29" s="6" t="n">
        <f aca="false">COUNTIFS(Mundarija!$C$2:$C$254,B29,Mundarija!$E$2:$E$254,"&gt;0")</f>
        <v>4</v>
      </c>
      <c r="E29" s="15" t="n">
        <f aca="false">IF(C29=0,0,D29/C29)</f>
        <v>0.4</v>
      </c>
      <c r="F29" s="6" t="n">
        <f aca="false">COUNTIFS(Mundarija!$C$2:$C$254,B29,Mundarija!$H$2:$H$254,"Yetishmaydi")</f>
        <v>6</v>
      </c>
      <c r="G29" s="6" t="n">
        <f aca="false">COUNTIFS(Mundarija!$C$2:$C$254,B29,Mundarija!$H$2:$H$254,"Qisman to‘ldirilgan")</f>
        <v>0</v>
      </c>
      <c r="H29" s="6" t="n">
        <f aca="false">COUNTIFS(Mundarija!$C$2:$C$254,B29,Mundarija!$H$2:$H$254,"Takroriy")</f>
        <v>0</v>
      </c>
    </row>
    <row r="30" customFormat="false" ht="15" hidden="false" customHeight="false" outlineLevel="0" collapsed="false">
      <c r="A30" s="6" t="s">
        <v>525</v>
      </c>
      <c r="B30" s="6" t="s">
        <v>526</v>
      </c>
      <c r="C30" s="6" t="n">
        <f aca="false">COUNTIF(Mundarija!$C$2:$C$254,B30)</f>
        <v>9</v>
      </c>
      <c r="D30" s="6" t="n">
        <f aca="false">COUNTIFS(Mundarija!$C$2:$C$254,B30,Mundarija!$E$2:$E$254,"&gt;0")</f>
        <v>0</v>
      </c>
      <c r="E30" s="15" t="n">
        <f aca="false">IF(C30=0,0,D30/C30)</f>
        <v>0</v>
      </c>
      <c r="F30" s="6" t="n">
        <f aca="false">COUNTIFS(Mundarija!$C$2:$C$254,B30,Mundarija!$H$2:$H$254,"Yetishmaydi")</f>
        <v>9</v>
      </c>
      <c r="G30" s="6" t="n">
        <f aca="false">COUNTIFS(Mundarija!$C$2:$C$254,B30,Mundarija!$H$2:$H$254,"Qisman to‘ldirilgan")</f>
        <v>0</v>
      </c>
      <c r="H30" s="6" t="n">
        <f aca="false">COUNTIFS(Mundarija!$C$2:$C$254,B30,Mundarija!$H$2:$H$254,"Takroriy")</f>
        <v>0</v>
      </c>
    </row>
    <row r="31" customFormat="false" ht="23.85" hidden="false" customHeight="false" outlineLevel="0" collapsed="false">
      <c r="A31" s="6" t="s">
        <v>545</v>
      </c>
      <c r="B31" s="6" t="s">
        <v>546</v>
      </c>
      <c r="C31" s="6" t="n">
        <f aca="false">COUNTIF(Mundarija!$C$2:$C$254,B31)</f>
        <v>8</v>
      </c>
      <c r="D31" s="6" t="n">
        <f aca="false">COUNTIFS(Mundarija!$C$2:$C$254,B31,Mundarija!$E$2:$E$254,"&gt;0")</f>
        <v>1</v>
      </c>
      <c r="E31" s="15" t="n">
        <f aca="false">IF(C31=0,0,D31/C31)</f>
        <v>0.125</v>
      </c>
      <c r="F31" s="6" t="n">
        <f aca="false">COUNTIFS(Mundarija!$C$2:$C$254,B31,Mundarija!$H$2:$H$254,"Yetishmaydi")</f>
        <v>6</v>
      </c>
      <c r="G31" s="6" t="n">
        <f aca="false">COUNTIFS(Mundarija!$C$2:$C$254,B31,Mundarija!$H$2:$H$254,"Qisman to‘ldirilgan")</f>
        <v>0</v>
      </c>
      <c r="H31" s="6" t="n">
        <f aca="false">COUNTIFS(Mundarija!$C$2:$C$254,B31,Mundarija!$H$2:$H$254,"Takroriy")</f>
        <v>2</v>
      </c>
    </row>
    <row r="32" customFormat="false" ht="23.85" hidden="false" customHeight="false" outlineLevel="0" collapsed="false">
      <c r="A32" s="6" t="s">
        <v>545</v>
      </c>
      <c r="B32" s="6" t="s">
        <v>565</v>
      </c>
      <c r="C32" s="6" t="n">
        <f aca="false">COUNTIF(Mundarija!$C$2:$C$254,B32)</f>
        <v>7</v>
      </c>
      <c r="D32" s="6" t="n">
        <f aca="false">COUNTIFS(Mundarija!$C$2:$C$254,B32,Mundarija!$E$2:$E$254,"&gt;0")</f>
        <v>0</v>
      </c>
      <c r="E32" s="15" t="n">
        <f aca="false">IF(C32=0,0,D32/C32)</f>
        <v>0</v>
      </c>
      <c r="F32" s="6" t="n">
        <f aca="false">COUNTIFS(Mundarija!$C$2:$C$254,B32,Mundarija!$H$2:$H$254,"Yetishmaydi")</f>
        <v>7</v>
      </c>
      <c r="G32" s="6" t="n">
        <f aca="false">COUNTIFS(Mundarija!$C$2:$C$254,B32,Mundarija!$H$2:$H$254,"Qisman to‘ldirilgan")</f>
        <v>0</v>
      </c>
      <c r="H32" s="6" t="n">
        <f aca="false">COUNTIFS(Mundarija!$C$2:$C$254,B32,Mundarija!$H$2:$H$254,"Takroriy")</f>
        <v>0</v>
      </c>
    </row>
    <row r="33" customFormat="false" ht="23.85" hidden="false" customHeight="false" outlineLevel="0" collapsed="false">
      <c r="A33" s="6" t="s">
        <v>545</v>
      </c>
      <c r="B33" s="6" t="s">
        <v>580</v>
      </c>
      <c r="C33" s="6" t="n">
        <f aca="false">COUNTIF(Mundarija!$C$2:$C$254,B33)</f>
        <v>7</v>
      </c>
      <c r="D33" s="6" t="n">
        <f aca="false">COUNTIFS(Mundarija!$C$2:$C$254,B33,Mundarija!$E$2:$E$254,"&gt;0")</f>
        <v>0</v>
      </c>
      <c r="E33" s="15" t="n">
        <f aca="false">IF(C33=0,0,D33/C33)</f>
        <v>0</v>
      </c>
      <c r="F33" s="6" t="n">
        <f aca="false">COUNTIFS(Mundarija!$C$2:$C$254,B33,Mundarija!$H$2:$H$254,"Yetishmaydi")</f>
        <v>6</v>
      </c>
      <c r="G33" s="6" t="n">
        <f aca="false">COUNTIFS(Mundarija!$C$2:$C$254,B33,Mundarija!$H$2:$H$254,"Qisman to‘ldirilgan")</f>
        <v>0</v>
      </c>
      <c r="H33" s="6" t="n">
        <f aca="false">COUNTIFS(Mundarija!$C$2:$C$254,B33,Mundarija!$H$2:$H$254,"Takroriy")</f>
        <v>1</v>
      </c>
    </row>
    <row r="34" customFormat="false" ht="23.85" hidden="false" customHeight="false" outlineLevel="0" collapsed="false">
      <c r="A34" s="6" t="s">
        <v>596</v>
      </c>
      <c r="B34" s="6" t="s">
        <v>597</v>
      </c>
      <c r="C34" s="6" t="n">
        <f aca="false">COUNTIF(Mundarija!$C$2:$C$254,B34)</f>
        <v>8</v>
      </c>
      <c r="D34" s="6" t="n">
        <f aca="false">COUNTIFS(Mundarija!$C$2:$C$254,B34,Mundarija!$E$2:$E$254,"&gt;0")</f>
        <v>2</v>
      </c>
      <c r="E34" s="15" t="n">
        <f aca="false">IF(C34=0,0,D34/C34)</f>
        <v>0.25</v>
      </c>
      <c r="F34" s="6" t="n">
        <f aca="false">COUNTIFS(Mundarija!$C$2:$C$254,B34,Mundarija!$H$2:$H$254,"Yetishmaydi")</f>
        <v>5</v>
      </c>
      <c r="G34" s="6" t="n">
        <f aca="false">COUNTIFS(Mundarija!$C$2:$C$254,B34,Mundarija!$H$2:$H$254,"Qisman to‘ldirilgan")</f>
        <v>0</v>
      </c>
      <c r="H34" s="6" t="n">
        <f aca="false">COUNTIFS(Mundarija!$C$2:$C$254,B34,Mundarija!$H$2:$H$254,"Takroriy")</f>
        <v>1</v>
      </c>
    </row>
    <row r="35" customFormat="false" ht="15" hidden="false" customHeight="false" outlineLevel="0" collapsed="false">
      <c r="A35" s="16"/>
      <c r="B35" s="16" t="s">
        <v>2230</v>
      </c>
      <c r="C35" s="16" t="n">
        <f aca="false">SUM(C2:C34)</f>
        <v>253</v>
      </c>
      <c r="D35" s="16" t="n">
        <f aca="false">SUM(D2:D34)</f>
        <v>177</v>
      </c>
      <c r="E35" s="17" t="n">
        <f aca="false">IF(C35=0,0,D35/C35)</f>
        <v>0.699604743083004</v>
      </c>
      <c r="F35" s="16" t="n">
        <f aca="false">SUM(F2:F34)</f>
        <v>72</v>
      </c>
      <c r="G35" s="16" t="n">
        <f aca="false">SUM(G2:G34)</f>
        <v>17</v>
      </c>
      <c r="H35" s="16" t="n">
        <f aca="false">SUM(H2:H34)</f>
        <v>10</v>
      </c>
    </row>
    <row r="37" customFormat="false" ht="15" hidden="false" customHeight="false" outlineLevel="0" collapsed="false">
      <c r="A37" s="9" t="s">
        <v>2231</v>
      </c>
    </row>
    <row r="38" customFormat="false" ht="15" hidden="false" customHeight="false" outlineLevel="0" collapsed="false">
      <c r="A38" s="10" t="s">
        <v>2232</v>
      </c>
      <c r="B38" s="10" t="s">
        <v>2233</v>
      </c>
      <c r="C38" s="10" t="s">
        <v>2234</v>
      </c>
    </row>
    <row r="39" customFormat="false" ht="23.85" hidden="false" customHeight="false" outlineLevel="0" collapsed="false">
      <c r="A39" s="6" t="s">
        <v>2235</v>
      </c>
      <c r="B39" s="6" t="s">
        <v>2236</v>
      </c>
      <c r="C39" s="15" t="n">
        <f aca="false">C35/253</f>
        <v>1</v>
      </c>
    </row>
    <row r="40" customFormat="false" ht="15" hidden="false" customHeight="false" outlineLevel="0" collapsed="false">
      <c r="A40" s="6" t="s">
        <v>2237</v>
      </c>
      <c r="B40" s="6" t="s">
        <v>2238</v>
      </c>
      <c r="C40" s="15" t="n">
        <f aca="false">E35</f>
        <v>0.699604743083004</v>
      </c>
    </row>
    <row r="41" customFormat="false" ht="23.85" hidden="false" customHeight="false" outlineLevel="0" collapsed="false">
      <c r="A41" s="6" t="s">
        <v>2239</v>
      </c>
      <c r="B41" s="6" t="s">
        <v>2240</v>
      </c>
      <c r="C41" s="15" t="n">
        <f aca="false">SUM(D2:D7)/SUM(C2:C7)</f>
        <v>0.972972972972973</v>
      </c>
    </row>
    <row r="42" customFormat="false" ht="35.05" hidden="false" customHeight="false" outlineLevel="0" collapsed="false">
      <c r="A42" s="6" t="s">
        <v>2241</v>
      </c>
      <c r="B42" s="6" t="s">
        <v>2242</v>
      </c>
      <c r="C42" s="15" t="n">
        <f aca="false">(COUNTIF(Katalog!$Q$2:$Q$284,"Havola tekshirilgan*")+COUNTIF(Katalog!$Q$2:$Q$284,"Metadata tekshirilgan*"))/COUNTA(Katalog!$A$2:$A$284)</f>
        <v>0.989399293286219</v>
      </c>
    </row>
    <row r="43" customFormat="false" ht="23.85" hidden="false" customHeight="false" outlineLevel="0" collapsed="false">
      <c r="A43" s="6" t="s">
        <v>2243</v>
      </c>
      <c r="B43" s="6" t="s">
        <v>2244</v>
      </c>
      <c r="C43" s="15" t="n">
        <f aca="false">COUNT(Katalog!$X$2:$X$284)/COUNTA(Katalog!$A$2:$A$284)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3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6"/>
    <col collapsed="false" customWidth="true" hidden="false" outlineLevel="0" max="2" min="2" style="0" width="34"/>
    <col collapsed="false" customWidth="true" hidden="false" outlineLevel="0" max="3" min="3" style="0" width="50"/>
    <col collapsed="false" customWidth="true" hidden="false" outlineLevel="0" max="4" min="4" style="0" width="26"/>
    <col collapsed="false" customWidth="true" hidden="false" outlineLevel="0" max="5" min="5" style="0" width="40"/>
  </cols>
  <sheetData>
    <row r="1" customFormat="false" ht="31.5" hidden="false" customHeight="true" outlineLevel="0" collapsed="false">
      <c r="A1" s="5" t="s">
        <v>2245</v>
      </c>
      <c r="B1" s="5" t="s">
        <v>2246</v>
      </c>
      <c r="C1" s="5" t="s">
        <v>2247</v>
      </c>
      <c r="D1" s="5" t="s">
        <v>41</v>
      </c>
      <c r="E1" s="5" t="s">
        <v>2248</v>
      </c>
    </row>
    <row r="2" customFormat="false" ht="23.85" hidden="false" customHeight="false" outlineLevel="0" collapsed="false">
      <c r="A2" s="6" t="s">
        <v>2249</v>
      </c>
      <c r="B2" s="6" t="s">
        <v>2250</v>
      </c>
      <c r="C2" s="6" t="s">
        <v>2251</v>
      </c>
      <c r="D2" s="6" t="s">
        <v>2252</v>
      </c>
      <c r="E2" s="6" t="s">
        <v>2253</v>
      </c>
    </row>
    <row r="3" customFormat="false" ht="23.85" hidden="false" customHeight="false" outlineLevel="0" collapsed="false">
      <c r="A3" s="6" t="s">
        <v>2254</v>
      </c>
      <c r="B3" s="6" t="s">
        <v>2255</v>
      </c>
      <c r="C3" s="6" t="s">
        <v>2256</v>
      </c>
      <c r="D3" s="6" t="s">
        <v>2257</v>
      </c>
      <c r="E3" s="6" t="s">
        <v>2258</v>
      </c>
    </row>
    <row r="4" customFormat="false" ht="35.05" hidden="false" customHeight="false" outlineLevel="0" collapsed="false">
      <c r="A4" s="6" t="s">
        <v>2259</v>
      </c>
      <c r="B4" s="6" t="s">
        <v>2260</v>
      </c>
      <c r="C4" s="6" t="s">
        <v>2261</v>
      </c>
      <c r="D4" s="6" t="s">
        <v>2262</v>
      </c>
      <c r="E4" s="6" t="s">
        <v>2263</v>
      </c>
    </row>
    <row r="5" customFormat="false" ht="23.85" hidden="false" customHeight="false" outlineLevel="0" collapsed="false">
      <c r="A5" s="6" t="s">
        <v>2264</v>
      </c>
      <c r="B5" s="6" t="s">
        <v>2265</v>
      </c>
      <c r="C5" s="6" t="s">
        <v>2266</v>
      </c>
      <c r="D5" s="6" t="s">
        <v>2262</v>
      </c>
      <c r="E5" s="6" t="s">
        <v>2267</v>
      </c>
    </row>
    <row r="6" customFormat="false" ht="23.85" hidden="false" customHeight="false" outlineLevel="0" collapsed="false">
      <c r="A6" s="6" t="s">
        <v>2268</v>
      </c>
      <c r="B6" s="6" t="s">
        <v>2269</v>
      </c>
      <c r="C6" s="6" t="s">
        <v>2270</v>
      </c>
      <c r="D6" s="6" t="s">
        <v>2262</v>
      </c>
      <c r="E6" s="6" t="s">
        <v>2271</v>
      </c>
    </row>
    <row r="7" customFormat="false" ht="23.85" hidden="false" customHeight="false" outlineLevel="0" collapsed="false">
      <c r="A7" s="6" t="s">
        <v>2272</v>
      </c>
      <c r="B7" s="6" t="s">
        <v>2273</v>
      </c>
      <c r="C7" s="6" t="s">
        <v>2274</v>
      </c>
      <c r="D7" s="6" t="s">
        <v>2262</v>
      </c>
      <c r="E7" s="6" t="s">
        <v>2275</v>
      </c>
    </row>
    <row r="8" customFormat="false" ht="23.85" hidden="false" customHeight="false" outlineLevel="0" collapsed="false">
      <c r="A8" s="6" t="s">
        <v>2276</v>
      </c>
      <c r="B8" s="6" t="s">
        <v>2277</v>
      </c>
      <c r="C8" s="6" t="s">
        <v>2278</v>
      </c>
      <c r="D8" s="6" t="s">
        <v>2279</v>
      </c>
      <c r="E8" s="6" t="s">
        <v>2280</v>
      </c>
    </row>
    <row r="9" customFormat="false" ht="23.85" hidden="false" customHeight="false" outlineLevel="0" collapsed="false">
      <c r="A9" s="6" t="s">
        <v>2281</v>
      </c>
      <c r="B9" s="6" t="s">
        <v>2282</v>
      </c>
      <c r="C9" s="6" t="s">
        <v>2283</v>
      </c>
      <c r="D9" s="6" t="s">
        <v>2284</v>
      </c>
      <c r="E9" s="6" t="s">
        <v>2285</v>
      </c>
    </row>
    <row r="11" customFormat="false" ht="15" hidden="false" customHeight="false" outlineLevel="0" collapsed="false">
      <c r="A11" s="9" t="s">
        <v>2286</v>
      </c>
    </row>
    <row r="12" customFormat="false" ht="15" hidden="false" customHeight="false" outlineLevel="0" collapsed="false">
      <c r="A12" s="10" t="s">
        <v>2287</v>
      </c>
      <c r="B12" s="10" t="s">
        <v>2288</v>
      </c>
      <c r="C12" s="10" t="s">
        <v>2102</v>
      </c>
      <c r="D12" s="10" t="s">
        <v>2289</v>
      </c>
    </row>
    <row r="13" customFormat="false" ht="15" hidden="false" customHeight="false" outlineLevel="0" collapsed="false">
      <c r="A13" s="6" t="s">
        <v>2290</v>
      </c>
      <c r="B13" s="6" t="s">
        <v>2291</v>
      </c>
      <c r="C13" s="6" t="s">
        <v>2292</v>
      </c>
      <c r="D13" s="6" t="s">
        <v>2293</v>
      </c>
    </row>
    <row r="14" customFormat="false" ht="35.05" hidden="false" customHeight="false" outlineLevel="0" collapsed="false">
      <c r="A14" s="6" t="s">
        <v>2290</v>
      </c>
      <c r="B14" s="6" t="s">
        <v>2294</v>
      </c>
      <c r="C14" s="6" t="s">
        <v>2295</v>
      </c>
      <c r="D14" s="6" t="s">
        <v>2296</v>
      </c>
    </row>
    <row r="15" customFormat="false" ht="23.85" hidden="false" customHeight="false" outlineLevel="0" collapsed="false">
      <c r="A15" s="6" t="s">
        <v>2290</v>
      </c>
      <c r="B15" s="6" t="s">
        <v>2297</v>
      </c>
      <c r="C15" s="6" t="s">
        <v>2298</v>
      </c>
      <c r="D15" s="6" t="s">
        <v>2299</v>
      </c>
    </row>
    <row r="16" customFormat="false" ht="23.85" hidden="false" customHeight="false" outlineLevel="0" collapsed="false">
      <c r="A16" s="6" t="s">
        <v>2290</v>
      </c>
      <c r="B16" s="6" t="s">
        <v>2300</v>
      </c>
      <c r="C16" s="6" t="s">
        <v>2301</v>
      </c>
      <c r="D16" s="6" t="s">
        <v>2302</v>
      </c>
    </row>
    <row r="17" customFormat="false" ht="23.85" hidden="false" customHeight="false" outlineLevel="0" collapsed="false">
      <c r="A17" s="6" t="s">
        <v>2290</v>
      </c>
      <c r="B17" s="6" t="s">
        <v>2303</v>
      </c>
      <c r="C17" s="6" t="s">
        <v>2304</v>
      </c>
      <c r="D17" s="6" t="s">
        <v>2305</v>
      </c>
    </row>
    <row r="18" customFormat="false" ht="23.85" hidden="false" customHeight="false" outlineLevel="0" collapsed="false">
      <c r="A18" s="6" t="s">
        <v>2290</v>
      </c>
      <c r="B18" s="6" t="s">
        <v>2306</v>
      </c>
      <c r="C18" s="6" t="s">
        <v>2307</v>
      </c>
      <c r="D18" s="6" t="s">
        <v>2308</v>
      </c>
    </row>
    <row r="19" customFormat="false" ht="35.05" hidden="false" customHeight="false" outlineLevel="0" collapsed="false">
      <c r="A19" s="6" t="s">
        <v>2309</v>
      </c>
      <c r="B19" s="6" t="s">
        <v>95</v>
      </c>
      <c r="C19" s="6" t="s">
        <v>2310</v>
      </c>
      <c r="D19" s="6" t="s">
        <v>2311</v>
      </c>
    </row>
    <row r="20" customFormat="false" ht="15" hidden="false" customHeight="false" outlineLevel="0" collapsed="false">
      <c r="A20" s="6" t="s">
        <v>2312</v>
      </c>
      <c r="B20" s="6" t="s">
        <v>63</v>
      </c>
      <c r="C20" s="6" t="s">
        <v>2313</v>
      </c>
      <c r="D20" s="6" t="s">
        <v>2314</v>
      </c>
    </row>
    <row r="21" customFormat="false" ht="35.05" hidden="false" customHeight="false" outlineLevel="0" collapsed="false">
      <c r="A21" s="6" t="s">
        <v>2312</v>
      </c>
      <c r="B21" s="6" t="s">
        <v>68</v>
      </c>
      <c r="C21" s="6" t="s">
        <v>2315</v>
      </c>
      <c r="D21" s="6" t="s">
        <v>2316</v>
      </c>
    </row>
    <row r="22" customFormat="false" ht="23.85" hidden="false" customHeight="false" outlineLevel="0" collapsed="false">
      <c r="A22" s="6" t="s">
        <v>2312</v>
      </c>
      <c r="B22" s="6" t="s">
        <v>2317</v>
      </c>
      <c r="C22" s="6" t="s">
        <v>2318</v>
      </c>
      <c r="D22" s="6" t="s">
        <v>2319</v>
      </c>
    </row>
    <row r="23" customFormat="false" ht="23.85" hidden="false" customHeight="false" outlineLevel="0" collapsed="false">
      <c r="A23" s="6" t="s">
        <v>2312</v>
      </c>
      <c r="B23" s="6" t="s">
        <v>2320</v>
      </c>
      <c r="C23" s="6" t="s">
        <v>2321</v>
      </c>
      <c r="D23" s="6" t="s">
        <v>2322</v>
      </c>
    </row>
    <row r="24" customFormat="false" ht="23.85" hidden="false" customHeight="false" outlineLevel="0" collapsed="false">
      <c r="A24" s="6" t="s">
        <v>2228</v>
      </c>
      <c r="B24" s="6" t="s">
        <v>185</v>
      </c>
      <c r="C24" s="6" t="s">
        <v>2323</v>
      </c>
      <c r="D24" s="6" t="s">
        <v>2324</v>
      </c>
    </row>
    <row r="25" customFormat="false" ht="23.85" hidden="false" customHeight="false" outlineLevel="0" collapsed="false">
      <c r="A25" s="6" t="s">
        <v>2228</v>
      </c>
      <c r="B25" s="6" t="s">
        <v>201</v>
      </c>
      <c r="C25" s="6" t="s">
        <v>2325</v>
      </c>
      <c r="D25" s="6" t="s">
        <v>2326</v>
      </c>
    </row>
    <row r="26" customFormat="false" ht="15" hidden="false" customHeight="false" outlineLevel="0" collapsed="false">
      <c r="A26" s="6" t="s">
        <v>2228</v>
      </c>
      <c r="B26" s="6" t="s">
        <v>354</v>
      </c>
      <c r="C26" s="6" t="s">
        <v>2327</v>
      </c>
      <c r="D26" s="6" t="s">
        <v>2328</v>
      </c>
    </row>
    <row r="27" customFormat="false" ht="35.05" hidden="false" customHeight="false" outlineLevel="0" collapsed="false">
      <c r="A27" s="6" t="s">
        <v>2329</v>
      </c>
      <c r="B27" s="6" t="s">
        <v>482</v>
      </c>
      <c r="C27" s="6" t="s">
        <v>2330</v>
      </c>
      <c r="D27" s="6" t="s">
        <v>2331</v>
      </c>
    </row>
    <row r="29" customFormat="false" ht="15" hidden="false" customHeight="false" outlineLevel="0" collapsed="false">
      <c r="A29" s="9" t="s">
        <v>2332</v>
      </c>
    </row>
    <row r="30" customFormat="false" ht="15" hidden="false" customHeight="false" outlineLevel="0" collapsed="false">
      <c r="A30" s="10" t="s">
        <v>2333</v>
      </c>
      <c r="B30" s="10" t="s">
        <v>2334</v>
      </c>
      <c r="C30" s="10" t="s">
        <v>2335</v>
      </c>
      <c r="D30" s="10" t="s">
        <v>41</v>
      </c>
    </row>
    <row r="31" customFormat="false" ht="46.25" hidden="false" customHeight="false" outlineLevel="0" collapsed="false">
      <c r="A31" s="6" t="s">
        <v>2336</v>
      </c>
      <c r="B31" s="6" t="s">
        <v>2337</v>
      </c>
      <c r="C31" s="6" t="s">
        <v>2338</v>
      </c>
      <c r="D31" s="6" t="s">
        <v>2339</v>
      </c>
    </row>
    <row r="32" customFormat="false" ht="23.85" hidden="false" customHeight="false" outlineLevel="0" collapsed="false">
      <c r="A32" s="6" t="s">
        <v>2340</v>
      </c>
      <c r="B32" s="6" t="s">
        <v>2341</v>
      </c>
      <c r="C32" s="6" t="s">
        <v>2342</v>
      </c>
      <c r="D32" s="6" t="s">
        <v>2339</v>
      </c>
    </row>
    <row r="33" customFormat="false" ht="35.05" hidden="false" customHeight="false" outlineLevel="0" collapsed="false">
      <c r="A33" s="6" t="s">
        <v>2343</v>
      </c>
      <c r="B33" s="6" t="s">
        <v>2344</v>
      </c>
      <c r="C33" s="6" t="s">
        <v>2345</v>
      </c>
      <c r="D33" s="6" t="s">
        <v>2346</v>
      </c>
    </row>
    <row r="34" customFormat="false" ht="23.85" hidden="false" customHeight="false" outlineLevel="0" collapsed="false">
      <c r="A34" s="6" t="s">
        <v>2347</v>
      </c>
      <c r="B34" s="6" t="s">
        <v>2348</v>
      </c>
      <c r="C34" s="6" t="s">
        <v>2349</v>
      </c>
      <c r="D34" s="6" t="s">
        <v>2350</v>
      </c>
    </row>
    <row r="35" customFormat="false" ht="23.85" hidden="false" customHeight="false" outlineLevel="0" collapsed="false">
      <c r="A35" s="6" t="s">
        <v>2351</v>
      </c>
      <c r="B35" s="6" t="s">
        <v>2352</v>
      </c>
      <c r="C35" s="6" t="s">
        <v>2353</v>
      </c>
      <c r="D35" s="6" t="s">
        <v>2354</v>
      </c>
    </row>
    <row r="36" customFormat="false" ht="35.05" hidden="false" customHeight="false" outlineLevel="0" collapsed="false">
      <c r="A36" s="6" t="s">
        <v>2355</v>
      </c>
      <c r="B36" s="6" t="s">
        <v>2356</v>
      </c>
      <c r="C36" s="6" t="s">
        <v>2357</v>
      </c>
      <c r="D36" s="6" t="s">
        <v>2358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2026-10-17T11:56:33Z</dcterms:created>
  <dc:creator>openpyxl</dc:creator>
  <dc:description/>
  <dc:language>en-US</dc:language>
  <cp:lastModifiedBy/>
  <dcterms:modified xsi:type="dcterms:W3CDTF">2026-10-17T11:56:33Z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