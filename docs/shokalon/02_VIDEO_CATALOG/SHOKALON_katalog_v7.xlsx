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Katalog!$A$1:$Y$287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<sst xmlns="http://schemas.openxmlformats.org/spreadsheetml/2006/main" count="6705" uniqueCount="2353">
  <si>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</si>
  <si>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</si>
  <si>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</si>
  <si>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</si>
  <si>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286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</si>
  <si>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</si>
  <si>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</si>
  <si>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</si>
  <si>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</si>
  <si>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</si>
  <si>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</si>
  <si>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</si>
  <si>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</si>
  <si>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</si>
  <si>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</si>
  <si>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</si>
  <si>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</si>
  <si>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</si>
  <si>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</si>
  <si>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</si>
  <si>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</si>
  <si>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</si>
  <si>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</si>
  <si>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</si>
  <si>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</si>
  <si>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</si>
  <si>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</si>
  <si>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</si>
  <si>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</si>
  <si>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</si>
  <si>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</si>
  <si>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</si>
  <si>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</si>
  <si>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</si>
  <si>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</si>
  <si>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</si>
  <si>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</si>
  <si>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</si>
  <si>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</si>
  <si>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</si>
  <si>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</si>
  <si>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</si>
  <si>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</si>
  <si>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</si>
  <si>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</si>
  <si>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</si>
  <si>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</si>
  <si>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</si>
  <si>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</si>
  <si>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</si>
  <si>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</si>
  <si>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</si>
  <si>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</si>
  <si>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</si>
  <si>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</si>
  <si>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</si>
  <si>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</si>
  <si>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</si>
  <si>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</si>
  <si>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</si>
  <si>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</si>
  <si>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</si>
  <si>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</si>
  <si>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</si>
  <si>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</si>
  <si>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</si>
  <si>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</si>
  <si>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</si>
  <si>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</si>
  <si>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</si>
  <si>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</si>
  <si>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</si>
  <si>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</si>
  <si>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</si>
  <si>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</si>
  <si>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</si>
  <si>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</si>
  <si>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</si>
  <si>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</si>
  <si>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</si>
  <si>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</si>
  <si>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</si>
  <si>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</si>
  <si>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</si>
  <si>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</si>
  <si>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</si>
  <si>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</si>
  <si>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</si>
  <si>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</si>
  <si>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</si>
  <si>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</si>
  <si>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</si>
  <si>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</si>
  <si>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</si>
  <si>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</si>
  <si>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</si>
  <si>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</si>
  <si>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</si>
  <si>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</si>
  <si>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</si>
  <si>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</si>
  <si>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</si>
  <si>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</si>
  <si>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</si>
  <si>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</si>
  <si>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</si>
  <si>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</si>
  <si>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</si>
  <si>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</si>
  <si>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</si>
  <si>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</si>
  <si>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</si>
  <si>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</si>
  <si>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</si>
  <si>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</si>
  <si>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</si>
  <si>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</si>
  <si>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</si>
  <si>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</si>
  <si>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</si>
  <si>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</si>
  <si>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</si>
  <si>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</si>
  <si>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</si>
  <si>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</si>
  <si>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</si>
  <si>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</si>
  <si>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</si>
  <si>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</si>
  <si>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</si>
  <si>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</si>
  <si>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</si>
  <si>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</si>
  <si>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</si>
  <si>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</si>
  <si>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</si>
  <si>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</si>
  <si>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</si>
  <si>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</si>
  <si>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</si>
  <si>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</si>
  <si>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</si>
  <si>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</si>
  <si>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</si>
  <si>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</si>
  <si>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</si>
  <si>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</si>
  <si>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</si>
  <si>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</si>
  <si>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</si>
  <si>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</si>
  <si>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</si>
  <si>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</si>
  <si>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</si>
  <si>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</si>
  <si>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</si>
  <si>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</si>
  <si>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</si>
  <si>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</si>
  <si>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</si>
  <si>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</si>
  <si>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</si>
  <si>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</si>
  <si>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</si>
  <si>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</si>
  <si>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</si>
  <si>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</si>
  <si>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</si>
  <si>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</si>
  <si>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</si>
  <si>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</si>
  <si>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</si>
  <si>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</si>
  <si>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</si>
  <si>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</si>
  <si>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</si>
  <si>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</si>
  <si>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</si>
  <si>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</si>
  <si>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</si>
  <si>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</si>
  <si>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</si>
  <si>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</si>
  <si>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</si>
  <si>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</si>
  <si>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</si>
  <si>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</si>
  <si>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</si>
  <si>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</si>
  <si>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</si>
  <si>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</si>
  <si>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</si>
  <si>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</si>
  <si>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</si>
  <si>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</si>
  <si>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</si>
  <si>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</si>
  <si>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</si>
  <si>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</si>
  <si>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</si>
  <si>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</si>
  <si>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</si>
  <si>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</si>
  <si>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</si>
  <si>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</si>
  <si>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</si>
  <si>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</si>
  <si>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</si>
  <si>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</si>
  <si>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</si>
  <si>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</si>
  <si>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</si>
  <si>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</si>
  <si>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</si>
  <si>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</si>
  <si>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</si>
  <si>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</si>
  <si>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</si>
  <si>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</si>
  <si>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</si>
  <si>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</si>
  <si>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</si>
  <si>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</si>
  <si>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</si>
  <si>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</si>
  <si>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</si>
  <si>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</si>
  <si>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</si>
  <si>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</si>
  <si>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</si>
  <si>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</si>
  <si>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</si>
  <si>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</si>
  <si>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</si>
  <si>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</si>
  <si>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</si>
  <si>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</si>
  <si>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</si>
  <si>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</si>
  <si>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</si>
  <si>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</si>
  <si>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</si>
  <si>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</si>
  <si>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</si>
  <si>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</si>
  <si>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</si>
  <si>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</si>
  <si>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</si>
  <si>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</si>
  <si>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</si>
  <si>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</si>
  <si>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</si>
  <si>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</si>
  <si>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</si>
  <si>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</si>
  <si>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</si>
  <si>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</si>
  <si>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</si>
  <si>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</si>
  <si>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</si>
  <si>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</si>
  <si>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</si>
  <si>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</si>
  <si>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</si>
  <si>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</si>
  <si>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</si>
  <si>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</si>
  <si>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</si>
  <si>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</si>
  <si>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</si>
  <si>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</si>
  <si>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</si>
  <si>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</si>
  <si>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</si>
  <si>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</si>
  <si>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</si>
  <si>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</si>
  <si>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</si>
  <si>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</si>
  <si>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</si>
  <si>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</si>
  <si>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</si>
  <si>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</si>
  <si>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</si>
  <si>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</si>
  <si>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</si>
  <si>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</si>
  <si>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</si>
  <si>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</si>
  <si>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</si>
  <si>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</si>
  <si>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</si>
  <si>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</si>
  <si>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</si>
  <si>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</si>
  <si>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</si>
  <si>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</si>
  <si>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</si>
  <si>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</si>
  <si>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</si>
  <si>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</si>
  <si>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</si>
  <si>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</si>
  <si>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</si>
  <si>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</si>
  <si>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</si>
  <si>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</si>
  <si>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</si>
  <si>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</si>
  <si>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</si>
  <si>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</si>
  <si>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</si>
  <si>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</si>
  <si>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</si>
  <si>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</si>
  <si>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</si>
  <si>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</si>
  <si>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</si>
  <si>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</si>
  <si>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</si>
  <si>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</si>
  <si>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</si>
  <si>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</si>
  <si>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</si>
  <si>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</si>
  <si>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</si>
  <si>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</si>
  <si>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</si>
  <si>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</si>
  <si>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</si>
  <si>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</si>
  <si>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</si>
  <si>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</si>
  <si>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</si>
  <si>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</si>
  <si>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</si>
  <si>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</si>
  <si>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</si>
  <si>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</si>
  <si>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</si>
  <si>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</si>
  <si>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</si>
  <si>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</si>
  <si>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</si>
  <si>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</si>
  <si>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</si>
  <si>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</si>
  <si>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</si>
  <si>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</si>
  <si>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</si>
  <si>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</si>
  <si>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</si>
  <si>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</si>
  <si>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</si>
  <si>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</si>
  <si>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</si>
  <si>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</si>
  <si>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</si>
  <si>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</si>
  <si>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</si>
  <si>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</si>
  <si>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</si>
  <si>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</si>
  <si>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</si>
  <si>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</si>
  <si>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</si>
  <si>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</si>
  <si>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</si>
  <si>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</si>
  <si>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</si>
  <si>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</si>
  <si>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</si>
  <si>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</si>
  <si>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</si>
  <si>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</si>
  <si>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</si>
  <si>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</si>
  <si>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</si>
  <si>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</si>
  <si>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</si>
  <si>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</si>
  <si>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</si>
  <si>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</si>
  <si>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</si>
  <si>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</si>
  <si>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</si>
  <si>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</si>
  <si>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</si>
  <si>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</si>
  <si>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</si>
  <si>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</si>
  <si>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</si>
  <si>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</si>
  <si>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</si>
  <si>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</si>
  <si>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</si>
  <si>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</si>
  <si>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</si>
  <si>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</si>
  <si>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</si>
  <si>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</si>
  <si>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</si>
  <si>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</si>
  <si>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</si>
  <si>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</si>
  <si>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</si>
  <si>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</si>
  <si>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</si>
  <si>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</si>
  <si>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</si>
  <si>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</si>
  <si>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</si>
  <si>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</si>
  <si>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</si>
  <si>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</si>
  <si>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</si>
  <si>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</si>
  <si>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</si>
  <si>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</si>
  <si>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</si>
  <si>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</si>
  <si>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</si>
  <si>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</si>
  <si>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</si>
  <si>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</si>
  <si>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</si>
  <si>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</si>
  <si>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</si>
  <si>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</si>
  <si>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</si>
  <si>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</si>
  <si>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</si>
  <si>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</si>
  <si>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</si>
  <si>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</si>
  <si>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</si>
  <si>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</si>
  <si>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</si>
  <si>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</si>
  <si>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</si>
  <si>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</si>
  <si>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</si>
  <si>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</si>
  <si>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</si>
  <si>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</si>
  <si>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</si>
  <si>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</si>
  <si>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</si>
  <si>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</si>
  <si>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</si>
  <si>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</si>
  <si>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</si>
  <si>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</si>
  <si>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</si>
  <si>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</si>
  <si>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</si>
  <si>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</si>
  <si>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</si>
  <si>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</si>
  <si>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</si>
  <si>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</si>
  <si>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</si>
  <si>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</si>
  <si>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</si>
  <si>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</si>
  <si>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</si>
  <si>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</si>
  <si>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</si>
  <si>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</si>
  <si>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</si>
  <si>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</si>
  <si>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</si>
  <si>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</si>
  <si>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</si>
  <si>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</si>
  <si>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</si>
  <si>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</si>
  <si>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</si>
  <si>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</si>
  <si>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</si>
  <si>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</si>
  <si>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</si>
  <si>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</si>
  <si>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</si>
  <si>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</si>
  <si>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</si>
  <si>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</si>
  <si>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</si>
  <si>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</si>
  <si>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</si>
  <si>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</si>
  <si>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</si>
  <si>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</si>
  <si>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</si>
  <si>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</si>
  <si>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</si>
  <si>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</si>
  <si>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</si>
  <si>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</si>
  <si>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</si>
  <si>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</si>
  <si>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</si>
  <si>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</si>
  <si>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</si>
  <si>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</si>
  <si>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</si>
  <si>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</si>
  <si>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</si>
  <si>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</si>
  <si>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</si>
  <si>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</si>
  <si>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</si>
  <si>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</si>
  <si>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</si>
  <si>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</si>
  <si>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</si>
  <si>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</si>
  <si>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</si>
  <si>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</si>
  <si>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</si>
  <si>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</si>
  <si>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</si>
  <si>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</si>
  <si>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</si>
  <si>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</si>
  <si>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</si>
  <si>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</si>
  <si>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</si>
  <si>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</si>
  <si>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</si>
  <si>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</si>
  <si>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</si>
  <si>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</si>
  <si>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</si>
  <si>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</si>
  <si>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</si>
  <si>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</si>
  <si>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</si>
  <si>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</si>
  <si>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</si>
  <si>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</si>
  <si>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</si>
  <si>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</si>
  <si>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</si>
  <si>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</si>
  <si>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</si>
  <si>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</si>
  <si>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</si>
  <si>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</si>
  <si>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</si>
  <si>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</si>
  <si>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</si>
  <si>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</si>
  <si>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</si>
  <si>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</si>
  <si>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</si>
  <si>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</si>
  <si>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</si>
  <si>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</si>
  <si>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</si>
  <si>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</si>
  <si>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</si>
  <si>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</si>
  <si>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</si>
  <si>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</si>
  <si>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</si>
  <si>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</si>
  <si>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</si>
  <si>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</si>
  <si>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</si>
  <si>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</si>
  <si>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</si>
  <si>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</si>
  <si>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</si>
  <si>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</si>
  <si>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</si>
  <si>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</si>
  <si>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</si>
  <si>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</si>
  <si>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</si>
  <si>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</si>
  <si>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</si>
  <si>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</si>
  <si>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</si>
  <si>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</si>
  <si>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</si>
  <si>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</si>
  <si>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</si>
  <si>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</si>
  <si>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</si>
  <si>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</si>
  <si>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</si>
  <si>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</si>
  <si>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</si>
  <si>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</si>
  <si>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</si>
  <si>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</si>
  <si>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</si>
  <si>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</si>
  <si>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</si>
  <si>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</si>
  <si>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</si>
  <si>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</si>
  <si>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</si>
  <si>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</si>
  <si>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</si>
  <si>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</si>
  <si>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</si>
  <si>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</si>
  <si>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</si>
  <si>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</si>
  <si>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</si>
  <si>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</si>
  <si>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</si>
  <si>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</si>
  <si>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</si>
  <si>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</si>
  <si>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</si>
  <si>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</si>
  <si>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</si>
  <si>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</si>
  <si>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</si>
  <si>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</si>
  <si>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</si>
  <si>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</si>
  <si>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</si>
  <si>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</si>
  <si>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</si>
  <si>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</si>
  <si>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</si>
  <si>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</si>
  <si>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</si>
  <si>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</si>
  <si>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</si>
  <si>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</si>
  <si>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</si>
  <si>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</si>
  <si>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</si>
  <si>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</si>
  <si>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</si>
  <si>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</si>
  <si>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</si>
  <si>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</si>
  <si>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</si>
  <si>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</si>
  <si>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</si>
  <si>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</si>
  <si>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</si>
  <si>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</si>
  <si>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</si>
  <si>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</si>
  <si>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</si>
  <si>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</si>
  <si>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</si>
  <si>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</si>
  <si>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</si>
  <si>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</si>
  <si>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</si>
  <si>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</si>
  <si>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</si>
  <si>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</si>
  <si>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</si>
  <si>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</si>
  <si>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</si>
  <si>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</si>
  <si>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</si>
  <si>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</si>
  <si>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</si>
  <si>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</si>
  <si>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</si>
  <si>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</si>
  <si>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</si>
  <si>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</si>
  <si>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</si>
  <si>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</si>
  <si>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</si>
  <si>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</si>
  <si>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</si>
  <si>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</si>
  <si>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</si>
  <si>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</si>
  <si>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</si>
  <si>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</si>
  <si>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</si>
  <si>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</si>
  <si>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</si>
  <si>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</si>
  <si>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</si>
  <si>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</si>
  <si>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</si>
  <si>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</si>
  <si>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</si>
  <si>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</si>
  <si>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</si>
  <si>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</si>
  <si>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</si>
  <si>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</si>
  <si>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</si>
  <si>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</si>
  <si>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</si>
  <si>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</si>
  <si>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</si>
  <si>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</si>
  <si>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</si>
  <si>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</si>
  <si>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</si>
  <si>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</si>
  <si>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</si>
  <si>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</si>
  <si>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</si>
  <si>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</si>
  <si>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</si>
  <si>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</si>
  <si>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</si>
  <si>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</si>
  <si>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</si>
  <si>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</si>
  <si>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</si>
  <si>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</si>
  <si>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</si>
  <si>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</si>
  <si>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</si>
  <si>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</si>
  <si>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</si>
  <si>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</si>
  <si>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</si>
  <si>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</si>
  <si>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</si>
  <si>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venous Doppler waveforms</t>
  </si>
  <si>
    <t xml:space="preserve">venous insufficiency reflux great saphenous vein mapping</t>
  </si>
  <si>
    <t xml:space="preserve">abdominal aorta aneurysm ultrasound; IVC ultrasound</t>
  </si>
  <si>
    <t xml:space="preserve">dialysis fistula ultrasound assessment</t>
  </si>
  <si>
    <t xml:space="preserve">liver transplant Doppler; renal transplant Doppler</t>
  </si>
  <si>
    <t xml:space="preserve">transcranial Doppler basics TCD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</si>
  <si>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</si>
  <si>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</si>
  <si>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</si>
  <si>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</si>
  <si>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</si>
  <si>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</si>
  <si>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</si>
  <si>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</si>
  <si>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</si>
  <si>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</si>
  <si>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</si>
  <si>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</si>
  <si>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</si>
  <si>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</si>
  <si>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</si>
  <si>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</si>
  <si>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</si>
  <si>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</si>
  <si>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</si>
  <si>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</si>
  <si>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</si>
  <si>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</si>
  <si>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</si>
  <si>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</si>
  <si>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</si>
  <si>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</si>
  <si>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</si>
  <si>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</si>
  <si>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</si>
  <si>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</si>
  <si>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</si>
  <si>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</si>
  <si>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</si>
  <si>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</si>
  <si>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</si>
  <si>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</si>
  <si>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</si>
  <si>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</si>
  <si>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</si>
  <si>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</si>
  <si>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</si>
  <si>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</si>
  <si>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</si>
  <si>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</si>
  <si>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</si>
  <si>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</si>
  <si>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</si>
  <si>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</si>
  <si>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</si>
  <si>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</si>
  <si>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</si>
  <si>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</si>
  <si>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</si>
  <si>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</si>
  <si>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</si>
  <si>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</si>
  <si>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</si>
  <si>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</si>
  <si>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</si>
  <si>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</si>
  <si>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</si>
  <si>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</si>
  <si>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</si>
  <si>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</si>
  <si>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</si>
  <si>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</si>
  <si>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</si>
  <si>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</si>
  <si>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</si>
  <si>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</si>
  <si>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</si>
  <si>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</si>
  <si>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</si>
  <si>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</si>
  <si>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</si>
  <si>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</si>
  <si>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</si>
  <si>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</si>
  <si>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</si>
  <si>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</si>
  <si>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</si>
  <si>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</si>
  <si>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</si>
  <si>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</si>
  <si>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</si>
  <si>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</si>
  <si>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</si>
  <si>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</si>
  <si>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</si>
  <si>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</si>
  <si>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</si>
  <si>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</si>
  <si>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</si>
  <si>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</si>
  <si>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</si>
  <si>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</si>
  <si>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</si>
  <si>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</si>
  <si>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</si>
  <si>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</si>
  <si>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</si>
  <si>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</si>
  <si>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</si>
  <si>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</si>
  <si>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</si>
  <si>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</si>
  <si>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</si>
  <si>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</si>
  <si>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</si>
  <si>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</si>
  <si>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</si>
  <si>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</si>
  <si>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</si>
  <si>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</si>
  <si>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</si>
  <si>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</si>
  <si>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</si>
  <si>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</si>
  <si>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</si>
  <si>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</si>
  <si>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</si>
  <si>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</si>
  <si>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</si>
  <si>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</si>
  <si>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</si>
  <si>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</si>
  <si>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</si>
  <si>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</si>
  <si>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</si>
  <si>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</si>
  <si>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</si>
  <si>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</si>
  <si>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</si>
  <si>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</si>
  <si>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</si>
  <si>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</si>
  <si>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</si>
  <si>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</si>
  <si>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</si>
  <si>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</si>
  <si>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</si>
  <si>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</si>
  <si>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</si>
  <si>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</si>
  <si>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</si>
  <si>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</si>
  <si>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</si>
  <si>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</si>
  <si>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</si>
  <si>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</si>
  <si>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</si>
  <si>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</si>
  <si>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</si>
  <si>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</si>
  <si>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</si>
  <si>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</si>
  <si>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</si>
  <si>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</si>
  <si>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</si>
  <si>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</si>
  <si>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</si>
  <si>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</si>
  <si>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</si>
  <si>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</si>
  <si>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</si>
  <si>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</si>
  <si>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</si>
  <si>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</si>
  <si>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</si>
  <si>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</si>
  <si>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</si>
  <si>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</si>
  <si>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</si>
  <si>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</si>
  <si>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</si>
  <si>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</si>
  <si>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</si>
  <si>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</si>
  <si>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</si>
  <si>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</si>
  <si>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</si>
  <si>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</si>
  <si>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</si>
  <si>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</si>
  <si>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</si>
  <si>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</si>
  <si>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</si>
  <si>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</si>
  <si>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</si>
  <si>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</si>
  <si>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</si>
  <si>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</si>
  <si>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</si>
  <si>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</si>
  <si>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</si>
  <si>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</si>
  <si>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</si>
  <si>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</si>
  <si>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</si>
  <si>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</si>
  <si>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</si>
  <si>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</si>
  <si>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</si>
  <si>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</si>
  <si>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</si>
  <si>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</si>
  <si>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</si>
  <si>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</si>
  <si>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</si>
  <si>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</si>
  <si>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</si>
  <si>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</si>
  <si>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</si>
  <si>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</si>
  <si>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</si>
  <si>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</si>
  <si>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</si>
  <si>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</si>
  <si>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</si>
  <si>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</si>
  <si>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</si>
  <si>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</si>
  <si>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</si>
  <si>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</si>
  <si>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</si>
  <si>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</si>
  <si>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</si>
  <si>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</si>
  <si>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</si>
  <si>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</si>
  <si>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</si>
  <si>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</si>
  <si>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</si>
  <si>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</si>
  <si>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</si>
  <si>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</si>
  <si>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</si>
  <si>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</si>
  <si>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</si>
  <si>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</si>
  <si>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</si>
  <si>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</si>
  <si>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</si>
  <si>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</si>
  <si>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</si>
  <si>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</si>
  <si>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</si>
  <si>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</si>
  <si>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</si>
  <si>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</si>
  <si>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</si>
  <si>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</si>
  <si>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</si>
  <si>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</si>
  <si>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</si>
  <si>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</si>
  <si>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</si>
  <si>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</si>
  <si>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</si>
  <si>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</si>
  <si>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</si>
  <si>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</si>
  <si>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</si>
  <si>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</si>
  <si>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</si>
  <si>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</si>
  <si>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</si>
  <si>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</si>
  <si>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</si>
  <si>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</si>
  <si>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</si>
  <si>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</si>
  <si>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</si>
  <si>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</si>
  <si>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</si>
  <si>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</si>
  <si>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</si>
  <si>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</si>
  <si>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</si>
  <si>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</si>
  <si>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</si>
  <si>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</si>
  <si>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</si>
  <si>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</si>
  <si>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</si>
  <si>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</si>
  <si>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</si>
  <si>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</si>
  <si>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</si>
  <si>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</si>
  <si>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</si>
  <si>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</si>
  <si>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</si>
  <si>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</si>
  <si>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</si>
  <si>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</si>
  <si>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</si>
  <si>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</si>
  <si>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</si>
  <si>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</si>
  <si>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</si>
  <si>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</si>
  <si>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</si>
  <si>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</si>
  <si>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</si>
  <si>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</si>
  <si>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</si>
  <si>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</si>
  <si>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</si>
  <si>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</si>
  <si>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</si>
  <si>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</si>
  <si>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</si>
  <si>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</si>
  <si>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</si>
  <si>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</si>
  <si>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</si>
  <si>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</si>
  <si>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</si>
  <si>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</si>
  <si>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</si>
  <si>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</si>
  <si>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</si>
  <si>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</si>
  <si>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</si>
  <si>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</si>
  <si>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</si>
  <si>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</si>
  <si>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</si>
  <si>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</si>
  <si>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</si>
  <si>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</si>
  <si>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</si>
  <si>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</si>
  <si>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</si>
  <si>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</si>
  <si>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</si>
  <si>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</si>
  <si>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</si>
  <si>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</si>
  <si>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</si>
  <si>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</si>
  <si>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</si>
  <si>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</si>
  <si>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</si>
  <si>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</si>
  <si>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</si>
  <si>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</si>
  <si>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</si>
  <si>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</si>
  <si>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</si>
  <si>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</si>
  <si>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</si>
  <si>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</si>
  <si>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</si>
  <si>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</si>
  <si>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</si>
  <si>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</si>
  <si>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</si>
  <si>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</si>
  <si>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</si>
  <si>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</si>
  <si>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</si>
  <si>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</si>
  <si>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</si>
  <si>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</si>
  <si>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</si>
  <si>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</si>
  <si>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</si>
  <si>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</si>
  <si>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</si>
  <si>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</si>
  <si>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</si>
  <si>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</si>
  <si>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</si>
  <si>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</si>
  <si>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</si>
  <si>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</si>
  <si>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</si>
  <si>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</si>
  <si>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</si>
  <si>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</si>
  <si>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</si>
  <si>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</si>
  <si>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</si>
  <si>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</si>
  <si>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</si>
  <si>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</si>
  <si>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</si>
  <si>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</si>
  <si>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</si>
  <si>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</si>
  <si>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</si>
  <si>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</si>
  <si>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</si>
  <si>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</si>
  <si>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</si>
  <si>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</si>
  <si>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</si>
  <si>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</si>
  <si>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</si>
  <si>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</si>
  <si>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</si>
  <si>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</si>
  <si>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</si>
  <si>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</si>
  <si>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</si>
  <si>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</si>
  <si>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</si>
  <si>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</si>
  <si>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</si>
  <si>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</si>
  <si>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</si>
  <si>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</si>
  <si>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</si>
  <si>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</si>
  <si>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</si>
  <si>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</si>
  <si>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</si>
  <si>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</si>
  <si>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</si>
  <si>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</si>
  <si>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</si>
  <si>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</si>
  <si>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</si>
  <si>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</si>
  <si>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</si>
  <si>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</si>
  <si>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</si>
  <si>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</si>
  <si>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</si>
  <si>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</si>
  <si>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</si>
  <si>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</si>
  <si>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</si>
  <si>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</si>
  <si>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</si>
  <si>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</si>
  <si>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</si>
  <si>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</si>
  <si>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</si>
  <si>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</si>
  <si>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</si>
  <si>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</si>
  <si>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</si>
  <si>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</si>
  <si>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</si>
  <si>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</si>
  <si>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</si>
  <si>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</si>
  <si>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</si>
  <si>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</si>
  <si>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</si>
  <si>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</si>
  <si>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</si>
  <si>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</si>
  <si>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</si>
  <si>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</si>
  <si>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</si>
  <si>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</si>
  <si>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</si>
  <si>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</si>
  <si>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</si>
  <si>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</si>
  <si>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</si>
  <si>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</si>
  <si>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</si>
  <si>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</si>
  <si>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</si>
  <si>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</si>
  <si>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</si>
  <si>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</si>
  <si>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</si>
  <si>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</si>
  <si>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</si>
  <si>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</si>
  <si>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</si>
  <si>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</si>
  <si>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</si>
  <si>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</si>
  <si>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</si>
  <si>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</si>
  <si>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</si>
  <si>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</si>
  <si>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</si>
  <si>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</si>
  <si>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</si>
  <si>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</si>
  <si>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</si>
  <si>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</si>
  <si>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</si>
  <si>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</si>
  <si>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</si>
  <si>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</si>
  <si>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</si>
  <si>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</si>
  <si>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</si>
  <si>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</si>
  <si>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</si>
  <si>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</si>
  <si>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</si>
  <si>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</si>
  <si>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</si>
  <si>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</si>
  <si>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</si>
  <si>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</si>
  <si>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</si>
  <si>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</si>
  <si>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</si>
  <si>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</si>
  <si>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</si>
  <si>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</si>
  <si>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</si>
  <si>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</si>
  <si>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</si>
  <si>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</si>
  <si>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</si>
  <si>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</si>
  <si>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</si>
  <si>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</si>
  <si>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</si>
  <si>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</si>
  <si>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</si>
  <si>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</si>
  <si>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</si>
  <si>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</si>
  <si>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</si>
  <si>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</si>
  <si>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</si>
  <si>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</si>
  <si>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</si>
  <si>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</si>
  <si>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</si>
  <si>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</si>
  <si>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</si>
  <si>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</si>
  <si>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</si>
  <si>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</si>
  <si>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</si>
  <si>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</si>
  <si>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</si>
  <si>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</si>
  <si>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</si>
  <si>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</si>
  <si>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</si>
  <si>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</si>
  <si>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</si>
  <si>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</si>
  <si>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</si>
  <si>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</si>
  <si>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</si>
  <si>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</si>
  <si>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</si>
  <si>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</si>
  <si>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</si>
  <si>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</si>
  <si>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</si>
  <si>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</si>
  <si>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</si>
  <si>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</si>
  <si>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</si>
  <si>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</si>
  <si>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</si>
  <si>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</si>
  <si>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</si>
  <si>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</si>
  <si>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</si>
  <si>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</si>
  <si>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</si>
  <si>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</si>
  <si>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</si>
  <si>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</si>
  <si>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</si>
  <si>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</si>
  <si>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</si>
  <si>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</si>
  <si>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</si>
  <si>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</si>
  <si>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</si>
  <si>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</si>
  <si>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</si>
  <si>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</si>
  <si>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</si>
  <si>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</si>
  <si>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</si>
  <si>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</si>
  <si>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</si>
  <si>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</si>
  <si>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</si>
  <si>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</si>
  <si>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</si>
  <si>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</si>
  <si>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</si>
  <si>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</si>
  <si>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</si>
  <si>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</si>
  <si>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</si>
  <si>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</si>
  <si>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</si>
  <si>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</si>
  <si>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</si>
  <si>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</si>
  <si>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</si>
  <si>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</si>
  <si>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</si>
  <si>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</si>
  <si>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</si>
  <si>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</si>
  <si>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</si>
  <si>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</si>
  <si>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</si>
  <si>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</si>
  <si>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</si>
  <si>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</si>
  <si>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</si>
  <si>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</si>
  <si>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</si>
  <si>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</si>
  <si>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</si>
  <si>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</si>
  <si>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</si>
  <si>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</si>
  <si>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</si>
  <si>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</si>
  <si>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</si>
  <si>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</si>
  <si>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</si>
  <si>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</si>
  <si>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</si>
  <si>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</si>
  <si>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</si>
  <si>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</si>
  <si>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</si>
  <si>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</si>
  <si>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</si>
  <si>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</si>
  <si>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</si>
  <si>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</si>
  <si>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</si>
  <si>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</si>
  <si>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</si>
  <si>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</si>
  <si>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</si>
  <si>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</si>
  <si>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</si>
  <si>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</si>
  <si>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</si>
  <si>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</si>
  <si>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</si>
  <si>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</si>
  <si>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</si>
  <si>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</si>
  <si>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</si>
  <si>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</si>
  <si>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</si>
  <si>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</si>
  <si>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</si>
  <si>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</si>
  <si>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</si>
  <si>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</si>
  <si>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</si>
  <si>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</si>
  <si>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</si>
  <si>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</si>
  <si>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</si>
  <si>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</si>
  <si>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</si>
  <si>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</si>
  <si>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</si>
  <si>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</si>
  <si>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</si>
  <si>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</si>
  <si>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</si>
  <si>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</si>
  <si>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</si>
  <si>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</si>
  <si>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</si>
  <si>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</si>
  <si>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</si>
  <si>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</si>
  <si>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</si>
  <si>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</si>
  <si>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</si>
  <si>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</si>
  <si>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</si>
  <si>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</si>
  <si>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</si>
  <si>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</si>
  <si>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</si>
  <si>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</si>
  <si>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</si>
  <si>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</si>
  <si>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</si>
  <si>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</si>
  <si>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</si>
  <si>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</si>
  <si>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</si>
  <si>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</si>
  <si>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</si>
  <si>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</si>
  <si>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</si>
  <si>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</si>
  <si>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</si>
  <si>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</si>
  <si>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</si>
  <si>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</si>
  <si>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</si>
  <si>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</si>
  <si>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</si>
  <si>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</si>
  <si>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</si>
  <si>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</si>
  <si>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</si>
  <si>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</si>
  <si>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</si>
  <si>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</si>
  <si>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</si>
  <si>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</si>
  <si>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</si>
  <si>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</si>
  <si>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</si>
  <si>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</si>
  <si>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</si>
  <si>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</si>
  <si>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</si>
  <si>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</si>
  <si>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</si>
  <si>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</si>
  <si>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</si>
  <si>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</si>
  <si>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</si>
  <si>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</si>
  <si>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</si>
  <si>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</si>
  <si>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</si>
  <si>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</si>
  <si>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</si>
  <si>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</si>
  <si>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</si>
  <si>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</si>
  <si>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</si>
  <si>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</si>
  <si>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</si>
  <si>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</si>
  <si>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</si>
  <si>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</si>
  <si>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</si>
  <si>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</si>
  <si>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</si>
  <si>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</si>
  <si>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</si>
  <si>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</si>
  <si>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</si>
  <si>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</si>
  <si>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</si>
  <si>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</si>
  <si>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</si>
  <si>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</si>
  <si>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</si>
  <si>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</si>
  <si>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</si>
  <si>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</si>
  <si>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</si>
  <si>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</si>
  <si>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</si>
  <si>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</si>
  <si>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</si>
  <si>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</si>
  <si>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</si>
  <si>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</si>
  <si>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</si>
  <si>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</si>
  <si>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</si>
  <si>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</si>
  <si>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</si>
  <si>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</si>
  <si>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</si>
  <si>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</si>
  <si>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</si>
  <si>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</si>
  <si>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</si>
  <si>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</si>
  <si>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</si>
  <si>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</si>
  <si>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</si>
  <si>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</si>
  <si>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</si>
  <si>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</si>
  <si>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</si>
  <si>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</si>
  <si>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</si>
  <si>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</si>
  <si>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</si>
  <si>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</si>
  <si>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</si>
  <si>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</si>
  <si>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</si>
  <si>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</si>
  <si>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</si>
  <si>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</si>
  <si>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</si>
  <si>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</si>
  <si>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</si>
  <si>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</si>
  <si>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</si>
  <si>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</si>
  <si>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</si>
  <si>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</si>
  <si>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</si>
  <si>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</si>
  <si>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</si>
  <si>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</si>
  <si>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</si>
  <si>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</si>
  <si>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</si>
  <si>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</si>
  <si>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</si>
  <si>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</si>
  <si>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</si>
  <si>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</si>
  <si>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</si>
  <si>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</si>
  <si>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</si>
  <si>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</si>
  <si>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</si>
  <si>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</si>
  <si>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</si>
  <si>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</si>
  <si>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</si>
  <si>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</si>
  <si>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</si>
  <si>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</si>
  <si>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</si>
  <si>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</si>
  <si>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</si>
  <si>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</si>
  <si>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</si>
  <si>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</si>
  <si>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</si>
  <si>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</si>
  <si>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</si>
  <si>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</si>
  <si>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</si>
  <si>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</si>
  <si>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</si>
  <si>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</si>
  <si>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</si>
  <si>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</si>
  <si>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</si>
  <si>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</si>
  <si>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</si>
  <si>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</si>
  <si>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</si>
  <si>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</si>
  <si>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</si>
  <si>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</si>
  <si>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</si>
  <si>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</si>
  <si>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</si>
  <si>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</si>
  <si>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</si>
  <si>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</si>
  <si>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</si>
  <si>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</si>
  <si>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</si>
  <si>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</si>
  <si>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</si>
  <si>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</si>
  <si>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</si>
  <si>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</si>
  <si>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</si>
  <si>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</si>
  <si>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</si>
  <si>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</si>
  <si>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</si>
  <si>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</si>
  <si>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</si>
  <si>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</si>
  <si>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</si>
  <si>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</si>
  <si>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</si>
  <si>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</si>
  <si>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</si>
  <si>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</si>
  <si>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</si>
  <si>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</si>
  <si>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</si>
  <si>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</si>
  <si>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</si>
  <si>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</si>
  <si>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</si>
  <si>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</si>
  <si>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</si>
  <si>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</si>
  <si>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</si>
  <si>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</si>
  <si>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</si>
  <si>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</si>
  <si>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</si>
  <si>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</si>
  <si>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</si>
  <si>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</si>
  <si>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</si>
  <si>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</si>
  <si>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</si>
  <si>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</si>
  <si>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</si>
  <si>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</si>
  <si>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</si>
  <si>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</si>
  <si>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</si>
  <si>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</si>
  <si>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</si>
  <si>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</si>
  <si>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</si>
  <si>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</si>
  <si>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</si>
  <si>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</si>
  <si>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</si>
  <si>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</si>
  <si>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</si>
  <si>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</si>
  <si>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</si>
  <si>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</si>
  <si>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</si>
  <si>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</si>
  <si>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</si>
  <si>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</si>
  <si>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</si>
  <si>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</si>
  <si>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</si>
  <si>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</si>
  <si>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</si>
  <si>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</si>
  <si>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</si>
  <si>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</si>
  <si>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</si>
  <si>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</si>
  <si>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</si>
  <si>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</si>
  <si>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</si>
  <si>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</si>
  <si>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</si>
  <si>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</si>
  <si>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</si>
  <si>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</si>
  <si>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</si>
  <si>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</si>
  <si>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</si>
  <si>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</si>
  <si>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</si>
  <si>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</si>
  <si>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</si>
  <si>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</si>
  <si>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</si>
  <si>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</si>
  <si>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</si>
  <si>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</si>
  <si>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</si>
  <si>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</si>
  <si>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</si>
  <si>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</si>
  <si>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</si>
  <si>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</si>
  <si>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</si>
  <si>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</si>
  <si>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</si>
  <si>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</si>
  <si>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</si>
  <si>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</si>
  <si>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</si>
  <si>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</si>
  <si>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</si>
  <si>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</si>
  <si>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</si>
  <si>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</si>
  <si>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</si>
  <si>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</si>
  <si>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</si>
  <si>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</si>
  <si>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</si>
  <si>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</si>
  <si>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</si>
  <si>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</si>
  <si>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</si>
  <si>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</si>
  <si>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</si>
  <si>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</si>
  <si>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</si>
  <si>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</si>
  <si>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</si>
  <si>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</si>
  <si>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</si>
  <si>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</si>
  <si>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</si>
  <si>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</si>
  <si>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</si>
  <si>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</si>
  <si>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</si>
  <si>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</si>
  <si>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</si>
  <si>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</si>
  <si>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</si>
  <si>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</si>
  <si>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</si>
  <si>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</si>
  <si>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</si>
  <si>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</si>
  <si>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</si>
  <si>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</si>
  <si>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</si>
  <si>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</si>
  <si>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</si>
  <si>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</si>
  <si>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</si>
  <si>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</si>
  <si>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</si>
  <si>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</si>
  <si>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</si>
  <si>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</si>
  <si>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</si>
  <si>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</si>
  <si>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</si>
  <si>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</si>
  <si>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</si>
  <si>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</si>
  <si>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</si>
  <si>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</si>
  <si>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</si>
  <si>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</si>
  <si>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</si>
  <si>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</si>
  <si>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</si>
  <si>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</si>
  <si>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</si>
  <si>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</si>
  <si>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</si>
  <si>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</si>
  <si>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</si>
  <si>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</si>
  <si>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</si>
  <si>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</si>
  <si>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</si>
  <si>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</si>
  <si>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</si>
  <si>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</si>
  <si>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</si>
  <si>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</si>
  <si>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</si>
  <si>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</si>
  <si>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</si>
  <si>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</si>
  <si>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</si>
  <si>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</si>
  <si>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</si>
  <si>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</si>
  <si>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</si>
  <si>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</si>
  <si>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</si>
  <si>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</si>
  <si>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</si>
  <si>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</si>
  <si>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</si>
  <si>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</si>
  <si>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</si>
  <si>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</si>
  <si>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</si>
  <si>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</si>
  <si>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</si>
  <si>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</si>
  <si>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</si>
  <si>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</si>
  <si>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</si>
  <si>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</si>
  <si>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</si>
  <si>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</si>
  <si>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</si>
  <si>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</si>
  <si>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</si>
  <si>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</si>
  <si>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</si>
  <si>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</si>
  <si>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</si>
  <si>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</si>
  <si>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</si>
  <si>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</si>
  <si>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</si>
  <si>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</si>
  <si>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</si>
  <si>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</si>
  <si>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</si>
  <si>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</si>
  <si>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</si>
  <si>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</si>
  <si>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</si>
  <si>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</si>
  <si>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</si>
  <si>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</si>
  <si>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</si>
  <si>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</si>
  <si>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</si>
  <si>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</si>
  <si>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</si>
  <si>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</si>
  <si>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</si>
  <si>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</si>
  <si>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</si>
  <si>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</si>
  <si>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</si>
  <si>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</si>
  <si>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</si>
  <si>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</si>
  <si>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</si>
  <si>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</si>
  <si>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</si>
  <si>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</si>
  <si>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</si>
  <si>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</si>
  <si>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</si>
  <si>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</si>
  <si>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</si>
  <si>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</si>
  <si>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</si>
  <si>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</si>
  <si>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</si>
  <si>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</si>
  <si>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</si>
  <si>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</si>
  <si>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</si>
  <si>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</si>
  <si>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</si>
  <si>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</si>
  <si>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</si>
  <si>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</si>
  <si>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</si>
  <si>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</si>
  <si>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</si>
  <si>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</si>
  <si>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</si>
  <si>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</si>
  <si>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</si>
  <si>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</si>
  <si>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</si>
  <si>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</si>
  <si>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</si>
  <si>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</si>
  <si>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</si>
  <si>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</si>
  <si>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</si>
  <si>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</si>
  <si>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</si>
  <si>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</si>
  <si>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</si>
  <si>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</si>
  <si>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</si>
  <si>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</si>
  <si>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</si>
  <si>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</si>
  <si>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</si>
  <si>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</si>
  <si>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</si>
  <si>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</si>
  <si>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</si>
  <si>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</si>
  <si>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</si>
  <si>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</si>
  <si>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</si>
  <si>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</si>
  <si>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</si>
  <si>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</si>
  <si>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</si>
  <si>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</si>
  <si>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</si>
  <si>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</si>
  <si>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</si>
  <si>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</si>
  <si>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</si>
  <si>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</si>
  <si>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</si>
  <si>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</si>
  <si>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</si>
  <si>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</si>
  <si>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</si>
  <si>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</si>
  <si>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</si>
  <si>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</si>
  <si>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</si>
  <si>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</si>
  <si>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</si>
  <si>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</si>
  <si>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</si>
  <si>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</si>
  <si>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</si>
  <si>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</si>
  <si>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</si>
  <si>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</si>
  <si>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</si>
  <si>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</si>
  <si>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</si>
  <si>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</si>
  <si>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</si>
  <si>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</si>
  <si>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</si>
  <si>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</si>
  <si>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</si>
  <si>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</si>
  <si>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</si>
  <si>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</si>
  <si>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</si>
  <si>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</si>
  <si>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</si>
  <si>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</si>
  <si>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</si>
  <si>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</si>
  <si>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</si>
  <si>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</si>
  <si>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</si>
  <si>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</si>
  <si>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</si>
  <si>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</si>
  <si>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</si>
  <si>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</si>
  <si>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</si>
  <si>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</si>
  <si>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</si>
  <si>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</si>
  <si>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</si>
  <si>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</si>
  <si>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</si>
  <si>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</si>
  <si>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</si>
  <si>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</si>
  <si>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</si>
  <si>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</si>
  <si>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</si>
  <si>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</si>
  <si>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</si>
  <si>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</si>
  <si>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</si>
  <si>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</si>
  <si>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</si>
  <si>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</si>
  <si>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</si>
  <si>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</si>
  <si>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</si>
  <si>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</si>
  <si>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</si>
  <si>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</si>
  <si>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</si>
  <si>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</si>
  <si>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</si>
  <si>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</si>
  <si>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</si>
  <si>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</si>
  <si>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</si>
  <si>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</si>
  <si>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</si>
  <si>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</si>
  <si>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</si>
  <si>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</si>
  <si>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</si>
  <si>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</si>
  <si>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</si>
  <si>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</si>
  <si>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</si>
  <si>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</si>
  <si>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</si>
  <si>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</si>
  <si>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</si>
  <si>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</si>
  <si>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</si>
  <si>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</si>
  <si>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</si>
  <si>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</si>
  <si>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</si>
  <si>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</si>
  <si>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</si>
  <si>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</si>
  <si>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</si>
  <si>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</si>
  <si>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</si>
  <si>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</si>
  <si>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</si>
  <si>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</si>
  <si>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</si>
  <si>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</si>
  <si>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</si>
  <si>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</si>
  <si>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</si>
  <si>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</si>
  <si>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</si>
  <si>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</si>
  <si>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</si>
  <si>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</si>
  <si>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</si>
  <si>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</si>
  <si>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</si>
  <si>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</si>
  <si>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</si>
  <si>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</si>
  <si>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</si>
  <si>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</si>
  <si>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</si>
  <si>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</si>
  <si>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</si>
  <si>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</si>
  <si>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</si>
  <si>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</si>
  <si>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</si>
  <si>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</si>
  <si>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</si>
  <si>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</si>
  <si>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</si>
  <si>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</si>
  <si>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</si>
  <si>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</si>
  <si>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</si>
  <si>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</si>
  <si>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</si>
  <si>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</si>
  <si>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V271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</si>
  <si>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</si>
  <si>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</si>
  <si>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V272</t>
  </si>
  <si>
    <t xml:space="preserve">Vascular ultrasound free lectures: carotid and venous ultrasound</t>
  </si>
  <si>
    <t xml:space="preserve">https://www.youtube.com/watch?v=fWYo00L5w6o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</si>
  <si>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</si>
  <si>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</si>
  <si>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</si>
  <si>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</si>
  <si>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</si>
  <si>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</si>
  <si>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</si>
  <si>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</si>
  <si>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</si>
  <si>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</si>
  <si>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</si>
  <si>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</si>
  <si>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</si>
  <si>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V276</t>
  </si>
  <si>
    <t xml:space="preserve">Venous ultrasound course: Deciphering DVT waveforms</t>
  </si>
  <si>
    <t xml:space="preserve">https://www.youtube.com/watch?v=zFtlbk2yzn8</t>
  </si>
  <si>
    <t xml:space="preserve">V277</t>
  </si>
  <si>
    <t xml:space="preserve">Part 1: Varicose veins ultrasound assessment: GSV anatomy assessment</t>
  </si>
  <si>
    <t xml:space="preserve">https://www.youtube.com/watch?v=n5HblR27soE</t>
  </si>
  <si>
    <t xml:space="preserve">V278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</si>
  <si>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</si>
  <si>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</si>
  <si>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V279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</si>
  <si>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</si>
  <si>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</si>
  <si>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</si>
  <si>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V280</t>
  </si>
  <si>
    <t xml:space="preserve">Abdominal Aortic Aneurysm (AAA): Ultrasound Scanning Technique</t>
  </si>
  <si>
    <t xml:space="preserve">https://www.youtube.com/watch?v=IbSW2GCMsoQ</t>
  </si>
  <si>
    <t xml:space="preserve">V281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</si>
  <si>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</si>
  <si>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</si>
  <si>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</si>
  <si>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</si>
  <si>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</si>
  <si>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</si>
  <si>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</si>
  <si>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</si>
  <si>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</si>
  <si>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</si>
  <si>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Doppler Imaging of Liver Transplants Diagnoses and Dilemmas</t>
  </si>
  <si>
    <t xml:space="preserve">https://www.youtube.com/watch?v=3El9mtbhkX4</t>
  </si>
  <si>
    <t xml:space="preserve">V284</t>
  </si>
  <si>
    <t xml:space="preserve">Orthotopic Liver Transplant Hepatic Artery and Portal Vein Complications</t>
  </si>
  <si>
    <t xml:space="preserve">https://www.youtube.com/watch?v=jF22GbTfFS4</t>
  </si>
  <si>
    <t xml:space="preserve">V285</t>
  </si>
  <si>
    <t xml:space="preserve">Doppler Ultrasound of the Liver and Portal Hypertension</t>
  </si>
  <si>
    <t xml:space="preserve">https://www.youtube.com/watch?v=R_BbuhzjQzc</t>
  </si>
  <si>
    <t xml:space="preserve">V286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</si>
  <si>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</si>
  <si>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</si>
  <si>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</si>
  <si>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</si>
  <si>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</si>
  <si>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</si>
  <si>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</si>
  <si>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</si>
  <si>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</si>
  <si>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</si>
  <si>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</si>
  <si>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</si>
  <si>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</si>
  <si>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</si>
  <si>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</si>
  <si>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</si>
  <si>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</si>
  <si>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</si>
  <si>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</si>
  <si>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</si>
  <si>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</si>
  <si>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</si>
  <si>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</si>
  <si>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</si>
  <si>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</si>
  <si>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</si>
  <si>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</si>
  <si>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</si>
  <si>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</si>
  <si>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</si>
  <si>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</si>
  <si>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</si>
  <si>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</si>
  <si>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</si>
  <si>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</si>
  <si>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</si>
  <si>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</si>
  <si>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</si>
  <si>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</si>
  <si>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</si>
  <si>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</si>
  <si>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</si>
  <si>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</si>
  <si>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</si>
  <si>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</si>
  <si>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</si>
  <si>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</si>
  <si>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</si>
  <si>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</si>
  <si>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</si>
  <si>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</si>
  <si>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</si>
  <si>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</si>
  <si>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</si>
  <si>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</si>
  <si>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</si>
  <si>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</si>
  <si>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</si>
  <si>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</si>
  <si>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</si>
  <si>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</si>
  <si>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</si>
  <si>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</si>
  <si>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</si>
  <si>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</si>
  <si>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</si>
  <si>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</si>
  <si>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</si>
  <si>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</si>
  <si>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</si>
  <si>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</si>
  <si>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</si>
  <si>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</si>
  <si>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</si>
  <si>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</si>
  <si>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</si>
  <si>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</si>
  <si>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</si>
  <si>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</si>
  <si>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</si>
  <si>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</si>
  <si>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</si>
  <si>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</si>
  <si>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</si>
  <si>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</si>
  <si>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</si>
  <si>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</si>
  <si>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</si>
  <si>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</si>
  <si>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</si>
  <si>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</si>
  <si>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</si>
  <si>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</si>
  <si>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</si>
  <si>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</si>
  <si>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</si>
  <si>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</si>
  <si>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</si>
  <si>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</si>
  <si>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</si>
  <si>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</si>
  <si>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</si>
  <si>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</si>
  <si>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</si>
  <si>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</si>
  <si>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</si>
  <si>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</si>
  <si>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</si>
  <si>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https://www.youtube.com/watch?v=I4lJJs_eUGg</t>
  </si>
  <si>
    <t xml:space="preserve">Sonographic evaluation of the liver transplant - Lecture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</si>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</sst>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TeGAC9MoZow" TargetMode="External"/><Relationship Id="rId271" Type="http://schemas.openxmlformats.org/officeDocument/2006/relationships/hyperlink" Target="https://www.youtube.com/watch?v=sOwTdJPSBeI" TargetMode="External"/><Relationship Id="rId272" Type="http://schemas.openxmlformats.org/officeDocument/2006/relationships/hyperlink" Target="https://www.youtube.com/watch?v=fWYo00L5w6o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fC7gjgVx0LI" TargetMode="External"/><Relationship Id="rId276" Type="http://schemas.openxmlformats.org/officeDocument/2006/relationships/hyperlink" Target="https://www.youtube.com/watch?v=zFtlbk2yzn8" TargetMode="External"/><Relationship Id="rId277" Type="http://schemas.openxmlformats.org/officeDocument/2006/relationships/hyperlink" Target="https://www.youtube.com/watch?v=n5HblR27soE" TargetMode="External"/><Relationship Id="rId278" Type="http://schemas.openxmlformats.org/officeDocument/2006/relationships/hyperlink" Target="https://www.youtube.com/watch?v=QFDDU7lpsuA" TargetMode="External"/><Relationship Id="rId279" Type="http://schemas.openxmlformats.org/officeDocument/2006/relationships/hyperlink" Target="https://www.youtube.com/watch?v=JwIWZuq5o14" TargetMode="External"/><Relationship Id="rId280" Type="http://schemas.openxmlformats.org/officeDocument/2006/relationships/hyperlink" Target="https://www.youtube.com/watch?v=IbSW2GCMsoQ" TargetMode="External"/><Relationship Id="rId281" Type="http://schemas.openxmlformats.org/officeDocument/2006/relationships/hyperlink" Target="https://www.youtube.com/watch?v=QaQNYFjvKxs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3El9mtbhkX4" TargetMode="External"/><Relationship Id="rId284" Type="http://schemas.openxmlformats.org/officeDocument/2006/relationships/hyperlink" Target="https://www.youtube.com/watch?v=jF22GbTfFS4" TargetMode="External"/><Relationship Id="rId285" Type="http://schemas.openxmlformats.org/officeDocument/2006/relationships/hyperlink" Target="https://www.youtube.com/watch?v=R_BbuhzjQzc" TargetMode="External"/><Relationship Id="rId286" Type="http://schemas.openxmlformats.org/officeDocument/2006/relationships/hyperlink" Target="https://www.youtube.com/watch?v=1kuYwCDc0tM" TargetMode="External"/><Relationship Id="rId287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I4lJJs_eUG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2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4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1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2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4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4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1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4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2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2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4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4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1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4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2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/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2049</v>
      </c>
      <c r="B271" s="6" t="s">
        <v>432</v>
      </c>
      <c r="C271" s="6"/>
      <c r="D271" s="6" t="str">
        <f aca="false">IFERROR(INDEX(Mundarija!$D:$D,MATCH(B271,Mundarija!$A:$A,0)),"kod topilmadi")</f>
        <v>25.2. Karotid va vertebral arteriyalar.</v>
      </c>
      <c r="E271" s="6" t="s">
        <v>2050</v>
      </c>
      <c r="F271" s="11" t="s">
        <v>2051</v>
      </c>
      <c r="G271" s="6" t="s">
        <v>2052</v>
      </c>
      <c r="H271" s="6" t="s">
        <v>2053</v>
      </c>
      <c r="I271" s="6" t="s">
        <v>812</v>
      </c>
      <c r="J271" s="6" t="s">
        <v>812</v>
      </c>
      <c r="K271" s="6" t="s">
        <v>813</v>
      </c>
      <c r="L271" s="6" t="s">
        <v>839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2054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2055</v>
      </c>
      <c r="F272" s="11" t="s">
        <v>2056</v>
      </c>
      <c r="G272" s="6" t="s">
        <v>1194</v>
      </c>
      <c r="H272" s="6" t="s">
        <v>895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897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2057</v>
      </c>
      <c r="B273" s="6" t="s">
        <v>432</v>
      </c>
      <c r="C273" s="6" t="s">
        <v>438</v>
      </c>
      <c r="D273" s="6" t="str">
        <f aca="false">IFERROR(INDEX(Mundarija!$D:$D,MATCH(B273,Mundarija!$A:$A,0)),"kod topilmadi")</f>
        <v>25.2. Karotid va vertebral arteriyalar.</v>
      </c>
      <c r="E273" s="6" t="s">
        <v>2058</v>
      </c>
      <c r="F273" s="11" t="s">
        <v>2059</v>
      </c>
      <c r="G273" s="6" t="s">
        <v>2044</v>
      </c>
      <c r="H273" s="6" t="s">
        <v>2045</v>
      </c>
      <c r="I273" s="6" t="s">
        <v>812</v>
      </c>
      <c r="J273" s="6" t="s">
        <v>812</v>
      </c>
      <c r="K273" s="6" t="s">
        <v>813</v>
      </c>
      <c r="L273" s="6" t="s">
        <v>839</v>
      </c>
      <c r="M273" s="6" t="s">
        <v>847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2060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2061</v>
      </c>
      <c r="F274" s="11" t="s">
        <v>2062</v>
      </c>
      <c r="G274" s="6" t="s">
        <v>2063</v>
      </c>
      <c r="H274" s="6" t="s">
        <v>2064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2065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2066</v>
      </c>
      <c r="F275" s="11" t="s">
        <v>2067</v>
      </c>
      <c r="G275" s="6" t="s">
        <v>2044</v>
      </c>
      <c r="H275" s="6" t="s">
        <v>2045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826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2068</v>
      </c>
      <c r="B276" s="6" t="s">
        <v>434</v>
      </c>
      <c r="C276" s="6"/>
      <c r="D276" s="6" t="str">
        <f aca="false">IFERROR(INDEX(Mundarija!$D:$D,MATCH(B276,Mundarija!$A:$A,0)),"kod topilmadi")</f>
        <v>25.3. Aterosklerotik blyashkalar, stenoz va okklyuziya.</v>
      </c>
      <c r="E276" s="6" t="s">
        <v>2069</v>
      </c>
      <c r="F276" s="11" t="s">
        <v>2070</v>
      </c>
      <c r="G276" s="6" t="s">
        <v>2071</v>
      </c>
      <c r="H276" s="6" t="s">
        <v>2072</v>
      </c>
      <c r="I276" s="6" t="s">
        <v>812</v>
      </c>
      <c r="J276" s="6" t="s">
        <v>812</v>
      </c>
      <c r="K276" s="6" t="s">
        <v>813</v>
      </c>
      <c r="L276" s="6" t="s">
        <v>1683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2073</v>
      </c>
      <c r="B277" s="6" t="s">
        <v>438</v>
      </c>
      <c r="C277" s="6"/>
      <c r="D277" s="6" t="str">
        <f aca="false">IFERROR(INDEX(Mundarija!$D:$D,MATCH(B277,Mundarija!$A:$A,0)),"kod topilmadi")</f>
        <v>25.5. Chuqur vena trombozi: kompressiya va Doppler.</v>
      </c>
      <c r="E277" s="6" t="s">
        <v>2074</v>
      </c>
      <c r="F277" s="11" t="s">
        <v>2075</v>
      </c>
      <c r="G277" s="6" t="s">
        <v>1158</v>
      </c>
      <c r="H277" s="6" t="s">
        <v>1777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847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2076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2077</v>
      </c>
      <c r="F278" s="11" t="s">
        <v>2078</v>
      </c>
      <c r="G278" s="6" t="s">
        <v>2044</v>
      </c>
      <c r="H278" s="6" t="s">
        <v>2045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826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2079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2080</v>
      </c>
      <c r="F279" s="11" t="s">
        <v>2081</v>
      </c>
      <c r="G279" s="6" t="s">
        <v>2044</v>
      </c>
      <c r="H279" s="6" t="s">
        <v>2045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2082</v>
      </c>
      <c r="B280" s="6" t="s">
        <v>440</v>
      </c>
      <c r="C280" s="6"/>
      <c r="D280" s="6" t="str">
        <f aca="false">IFERROR(INDEX(Mundarija!$D:$D,MATCH(B280,Mundarija!$A:$A,0)),"kod topilmadi")</f>
        <v>25.6. Yuzaki venalar va varikoz.</v>
      </c>
      <c r="E280" s="6" t="s">
        <v>2083</v>
      </c>
      <c r="F280" s="11" t="s">
        <v>2084</v>
      </c>
      <c r="G280" s="6" t="s">
        <v>1344</v>
      </c>
      <c r="H280" s="6" t="s">
        <v>2085</v>
      </c>
      <c r="I280" s="6" t="s">
        <v>812</v>
      </c>
      <c r="J280" s="6" t="s">
        <v>812</v>
      </c>
      <c r="K280" s="6" t="s">
        <v>813</v>
      </c>
      <c r="L280" s="6" t="s">
        <v>1683</v>
      </c>
      <c r="M280" s="6" t="s">
        <v>847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2086</v>
      </c>
      <c r="B281" s="6" t="s">
        <v>442</v>
      </c>
      <c r="C281" s="6" t="s">
        <v>251</v>
      </c>
      <c r="D281" s="6" t="str">
        <f aca="false">IFERROR(INDEX(Mundarija!$D:$D,MATCH(B281,Mundarija!$A:$A,0)),"kod topilmadi")</f>
        <v>25.7. Qorin aortasi va pastki kava vena.</v>
      </c>
      <c r="E281" s="6" t="s">
        <v>2087</v>
      </c>
      <c r="F281" s="11" t="s">
        <v>2088</v>
      </c>
      <c r="G281" s="6" t="s">
        <v>1253</v>
      </c>
      <c r="H281" s="6" t="s">
        <v>1575</v>
      </c>
      <c r="I281" s="6" t="s">
        <v>812</v>
      </c>
      <c r="J281" s="6" t="s">
        <v>812</v>
      </c>
      <c r="K281" s="6" t="s">
        <v>813</v>
      </c>
      <c r="L281" s="6" t="s">
        <v>814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2089</v>
      </c>
      <c r="B282" s="6" t="s">
        <v>442</v>
      </c>
      <c r="C282" s="6" t="s">
        <v>255</v>
      </c>
      <c r="D282" s="6" t="str">
        <f aca="false">IFERROR(INDEX(Mundarija!$D:$D,MATCH(B282,Mundarija!$A:$A,0)),"kod topilmadi")</f>
        <v>25.7. Qorin aortasi va pastki kava vena.</v>
      </c>
      <c r="E282" s="6" t="s">
        <v>2090</v>
      </c>
      <c r="F282" s="11" t="s">
        <v>2091</v>
      </c>
      <c r="G282" s="6" t="s">
        <v>2092</v>
      </c>
      <c r="H282" s="6" t="s">
        <v>2093</v>
      </c>
      <c r="I282" s="6" t="s">
        <v>812</v>
      </c>
      <c r="J282" s="6" t="s">
        <v>812</v>
      </c>
      <c r="K282" s="6" t="s">
        <v>813</v>
      </c>
      <c r="L282" s="6" t="s">
        <v>814</v>
      </c>
      <c r="M282" s="6" t="s">
        <v>826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2094</v>
      </c>
      <c r="B283" s="6" t="s">
        <v>442</v>
      </c>
      <c r="C283" s="6" t="s">
        <v>251</v>
      </c>
      <c r="D283" s="6" t="str">
        <f aca="false">IFERROR(INDEX(Mundarija!$D:$D,MATCH(B283,Mundarija!$A:$A,0)),"kod topilmadi")</f>
        <v>25.7. Qorin aortasi va pastki kava vena.</v>
      </c>
      <c r="E283" s="6" t="s">
        <v>2095</v>
      </c>
      <c r="F283" s="11" t="s">
        <v>2096</v>
      </c>
      <c r="G283" s="6" t="s">
        <v>2097</v>
      </c>
      <c r="H283" s="6" t="s">
        <v>2098</v>
      </c>
      <c r="I283" s="6" t="s">
        <v>812</v>
      </c>
      <c r="J283" s="6" t="s">
        <v>812</v>
      </c>
      <c r="K283" s="6" t="s">
        <v>813</v>
      </c>
      <c r="L283" s="6" t="s">
        <v>814</v>
      </c>
      <c r="M283" s="6" t="s">
        <v>847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2099</v>
      </c>
      <c r="B284" s="6" t="s">
        <v>446</v>
      </c>
      <c r="C284" s="6" t="s">
        <v>190</v>
      </c>
      <c r="D284" s="6" t="str">
        <f aca="false">IFERROR(INDEX(Mundarija!$D:$D,MATCH(B284,Mundarija!$A:$A,0)),"kod topilmadi")</f>
        <v>25.9. Transplantat tomirlari.</v>
      </c>
      <c r="E284" s="6" t="s">
        <v>2100</v>
      </c>
      <c r="F284" s="11" t="s">
        <v>2101</v>
      </c>
      <c r="G284" s="6" t="s">
        <v>1170</v>
      </c>
      <c r="H284" s="6" t="s">
        <v>845</v>
      </c>
      <c r="I284" s="6" t="s">
        <v>812</v>
      </c>
      <c r="J284" s="6" t="s">
        <v>812</v>
      </c>
      <c r="K284" s="6" t="s">
        <v>813</v>
      </c>
      <c r="L284" s="6" t="s">
        <v>1683</v>
      </c>
      <c r="M284" s="6" t="s">
        <v>847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2102</v>
      </c>
      <c r="B285" s="6" t="s">
        <v>446</v>
      </c>
      <c r="C285" s="6" t="s">
        <v>190</v>
      </c>
      <c r="D285" s="6" t="str">
        <f aca="false">IFERROR(INDEX(Mundarija!$D:$D,MATCH(B285,Mundarija!$A:$A,0)),"kod topilmadi")</f>
        <v>25.9. Transplantat tomirlari.</v>
      </c>
      <c r="E285" s="6" t="s">
        <v>2103</v>
      </c>
      <c r="F285" s="11" t="s">
        <v>2104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1648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23.85" hidden="false" customHeight="false" outlineLevel="0" collapsed="false">
      <c r="A286" s="6" t="s">
        <v>2105</v>
      </c>
      <c r="B286" s="6" t="s">
        <v>181</v>
      </c>
      <c r="C286" s="6"/>
      <c r="D286" s="6" t="str">
        <f aca="false">IFERROR(INDEX(Mundarija!$D:$D,MATCH(B286,Mundarija!$A:$A,0)),"kod topilmadi")</f>
        <v>10.4. Portal gipertenziya, portal va jigar venalari.</v>
      </c>
      <c r="E286" s="6" t="s">
        <v>2106</v>
      </c>
      <c r="F286" s="11" t="s">
        <v>2107</v>
      </c>
      <c r="G286" s="6" t="s">
        <v>1170</v>
      </c>
      <c r="H286" s="6" t="s">
        <v>845</v>
      </c>
      <c r="I286" s="6" t="s">
        <v>812</v>
      </c>
      <c r="J286" s="6" t="s">
        <v>812</v>
      </c>
      <c r="K286" s="6" t="s">
        <v>813</v>
      </c>
      <c r="L286" s="6" t="s">
        <v>839</v>
      </c>
      <c r="M286" s="6" t="s">
        <v>847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  <row r="287" customFormat="false" ht="23.85" hidden="false" customHeight="false" outlineLevel="0" collapsed="false">
      <c r="A287" s="6" t="s">
        <v>2108</v>
      </c>
      <c r="B287" s="6" t="s">
        <v>181</v>
      </c>
      <c r="C287" s="6"/>
      <c r="D287" s="6" t="str">
        <f aca="false">IFERROR(INDEX(Mundarija!$D:$D,MATCH(B287,Mundarija!$A:$A,0)),"kod topilmadi")</f>
        <v>10.4. Portal gipertenziya, portal va jigar venalari.</v>
      </c>
      <c r="E287" s="6" t="s">
        <v>2109</v>
      </c>
      <c r="F287" s="11" t="s">
        <v>2110</v>
      </c>
      <c r="G287" s="6" t="s">
        <v>2111</v>
      </c>
      <c r="H287" s="6" t="s">
        <v>845</v>
      </c>
      <c r="I287" s="6" t="s">
        <v>812</v>
      </c>
      <c r="J287" s="6" t="s">
        <v>812</v>
      </c>
      <c r="K287" s="6" t="s">
        <v>813</v>
      </c>
      <c r="L287" s="6" t="s">
        <v>839</v>
      </c>
      <c r="M287" s="6" t="s">
        <v>847</v>
      </c>
      <c r="N287" s="12" t="s">
        <v>816</v>
      </c>
      <c r="O287" s="6" t="s">
        <v>817</v>
      </c>
      <c r="P287" s="6" t="s">
        <v>2</v>
      </c>
      <c r="Q287" s="6" t="s">
        <v>20</v>
      </c>
      <c r="R287" s="12"/>
      <c r="S287" s="12"/>
      <c r="T287" s="12"/>
      <c r="U287" s="12"/>
      <c r="V287" s="12"/>
      <c r="W287" s="12"/>
      <c r="X287" s="6" t="str">
        <f aca="false">IF(COUNT(R287:W287)=6,SUM(R287:W287),"ko‘rilmagan")</f>
        <v>ko‘rilmagan</v>
      </c>
      <c r="Y287" s="12"/>
    </row>
  </sheetData>
  <autoFilter ref="A1:Y287"/>
  <dataValidations count="1">
    <dataValidation allowBlank="true" error="0 dan 5 gacha butun son" errorStyle="stop" operator="between" showDropDown="false" showErrorMessage="false" showInputMessage="false" sqref="R2:W487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TeGAC9MoZow"/>
    <hyperlink ref="F272" r:id="rId271" display="https://www.youtube.com/watch?v=sOwTdJPSBeI"/>
    <hyperlink ref="F273" r:id="rId272" display="https://www.youtube.com/watch?v=fWYo00L5w6o"/>
    <hyperlink ref="F274" r:id="rId273" display="https://www.youtube.com/watch?v=pXjCmheNuug"/>
    <hyperlink ref="F275" r:id="rId274" display="https://www.youtube.com/watch?v=76hyW1-XkGk"/>
    <hyperlink ref="F276" r:id="rId275" display="https://www.youtube.com/watch?v=fC7gjgVx0LI"/>
    <hyperlink ref="F277" r:id="rId276" display="https://www.youtube.com/watch?v=zFtlbk2yzn8"/>
    <hyperlink ref="F278" r:id="rId277" display="https://www.youtube.com/watch?v=n5HblR27soE"/>
    <hyperlink ref="F279" r:id="rId278" display="https://www.youtube.com/watch?v=QFDDU7lpsuA"/>
    <hyperlink ref="F280" r:id="rId279" display="https://www.youtube.com/watch?v=JwIWZuq5o14"/>
    <hyperlink ref="F281" r:id="rId280" display="https://www.youtube.com/watch?v=IbSW2GCMsoQ"/>
    <hyperlink ref="F282" r:id="rId281" display="https://www.youtube.com/watch?v=QaQNYFjvKxs"/>
    <hyperlink ref="F283" r:id="rId282" display="https://www.youtube.com/watch?v=w8wc8-40F1E"/>
    <hyperlink ref="F284" r:id="rId283" display="https://www.youtube.com/watch?v=3El9mtbhkX4"/>
    <hyperlink ref="F285" r:id="rId284" display="https://www.youtube.com/watch?v=jF22GbTfFS4"/>
    <hyperlink ref="F286" r:id="rId285" display="https://www.youtube.com/watch?v=R_BbuhzjQzc"/>
    <hyperlink ref="F287" r:id="rId286" display="https://www.youtube.com/watch?v=1kuYwCDc0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2112</v>
      </c>
      <c r="C1" s="5" t="s">
        <v>2113</v>
      </c>
      <c r="D1" s="5" t="s">
        <v>2114</v>
      </c>
    </row>
    <row r="2" customFormat="false" ht="23.85" hidden="false" customHeight="false" outlineLevel="0" collapsed="false">
      <c r="A2" s="11" t="s">
        <v>2115</v>
      </c>
      <c r="B2" s="6" t="s">
        <v>2116</v>
      </c>
      <c r="C2" s="6" t="s">
        <v>2117</v>
      </c>
      <c r="D2" s="6" t="s">
        <v>2118</v>
      </c>
    </row>
    <row r="3" customFormat="false" ht="15" hidden="false" customHeight="false" outlineLevel="0" collapsed="false">
      <c r="A3" s="11" t="s">
        <v>2119</v>
      </c>
      <c r="B3" s="6" t="s">
        <v>2120</v>
      </c>
      <c r="C3" s="6" t="s">
        <v>2121</v>
      </c>
      <c r="D3" s="6" t="s">
        <v>2118</v>
      </c>
    </row>
    <row r="4" customFormat="false" ht="15" hidden="false" customHeight="false" outlineLevel="0" collapsed="false">
      <c r="A4" s="11" t="s">
        <v>2122</v>
      </c>
      <c r="B4" s="6" t="s">
        <v>2123</v>
      </c>
      <c r="C4" s="6" t="s">
        <v>2124</v>
      </c>
      <c r="D4" s="6" t="s">
        <v>2118</v>
      </c>
    </row>
    <row r="5" customFormat="false" ht="23.85" hidden="false" customHeight="false" outlineLevel="0" collapsed="false">
      <c r="A5" s="11" t="s">
        <v>2125</v>
      </c>
      <c r="B5" s="6" t="s">
        <v>2126</v>
      </c>
      <c r="C5" s="6" t="s">
        <v>2127</v>
      </c>
      <c r="D5" s="6" t="s">
        <v>2118</v>
      </c>
    </row>
    <row r="6" customFormat="false" ht="23.85" hidden="false" customHeight="false" outlineLevel="0" collapsed="false">
      <c r="A6" s="11" t="s">
        <v>2128</v>
      </c>
      <c r="B6" s="6" t="s">
        <v>2129</v>
      </c>
      <c r="C6" s="6" t="s">
        <v>2130</v>
      </c>
      <c r="D6" s="6" t="s">
        <v>2131</v>
      </c>
    </row>
    <row r="7" customFormat="false" ht="23.85" hidden="false" customHeight="false" outlineLevel="0" collapsed="false">
      <c r="A7" s="11" t="s">
        <v>2132</v>
      </c>
      <c r="B7" s="6" t="s">
        <v>2133</v>
      </c>
      <c r="C7" s="6" t="s">
        <v>2134</v>
      </c>
      <c r="D7" s="6" t="s">
        <v>2135</v>
      </c>
    </row>
    <row r="8" customFormat="false" ht="15" hidden="false" customHeight="false" outlineLevel="0" collapsed="false">
      <c r="A8" s="11" t="s">
        <v>2136</v>
      </c>
      <c r="B8" s="6" t="s">
        <v>2137</v>
      </c>
      <c r="C8" s="6" t="s">
        <v>2138</v>
      </c>
      <c r="D8" s="6" t="s">
        <v>2135</v>
      </c>
    </row>
    <row r="9" customFormat="false" ht="15" hidden="false" customHeight="false" outlineLevel="0" collapsed="false">
      <c r="A9" s="11" t="s">
        <v>2139</v>
      </c>
      <c r="B9" s="6" t="s">
        <v>2140</v>
      </c>
      <c r="C9" s="6" t="s">
        <v>2141</v>
      </c>
      <c r="D9" s="6" t="s">
        <v>2142</v>
      </c>
    </row>
    <row r="10" customFormat="false" ht="15" hidden="false" customHeight="false" outlineLevel="0" collapsed="false">
      <c r="A10" s="11" t="s">
        <v>2143</v>
      </c>
      <c r="B10" s="6" t="s">
        <v>2144</v>
      </c>
      <c r="C10" s="6" t="s">
        <v>2145</v>
      </c>
      <c r="D10" s="6" t="s">
        <v>2142</v>
      </c>
    </row>
    <row r="11" customFormat="false" ht="15" hidden="false" customHeight="false" outlineLevel="0" collapsed="false">
      <c r="A11" s="11" t="s">
        <v>2146</v>
      </c>
      <c r="B11" s="6" t="s">
        <v>2147</v>
      </c>
      <c r="C11" s="6" t="s">
        <v>2148</v>
      </c>
      <c r="D11" s="6" t="s">
        <v>2142</v>
      </c>
    </row>
    <row r="12" customFormat="false" ht="15" hidden="false" customHeight="false" outlineLevel="0" collapsed="false">
      <c r="A12" s="11" t="s">
        <v>2149</v>
      </c>
      <c r="B12" s="6" t="s">
        <v>2150</v>
      </c>
      <c r="C12" s="6" t="s">
        <v>2151</v>
      </c>
      <c r="D12" s="6" t="s">
        <v>2131</v>
      </c>
    </row>
    <row r="13" customFormat="false" ht="23.85" hidden="false" customHeight="false" outlineLevel="0" collapsed="false">
      <c r="A13" s="11" t="s">
        <v>2152</v>
      </c>
      <c r="B13" s="6" t="s">
        <v>2153</v>
      </c>
      <c r="C13" s="6" t="s">
        <v>2154</v>
      </c>
      <c r="D13" s="6" t="s">
        <v>2155</v>
      </c>
    </row>
    <row r="14" customFormat="false" ht="15" hidden="false" customHeight="false" outlineLevel="0" collapsed="false">
      <c r="A14" s="11" t="s">
        <v>2156</v>
      </c>
      <c r="B14" s="6" t="s">
        <v>2157</v>
      </c>
      <c r="C14" s="6" t="s">
        <v>2158</v>
      </c>
      <c r="D14" s="6" t="s">
        <v>2135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2159</v>
      </c>
      <c r="D15" s="6" t="s">
        <v>2160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2159</v>
      </c>
      <c r="D16" s="6" t="s">
        <v>2160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2159</v>
      </c>
      <c r="D17" s="6" t="s">
        <v>2160</v>
      </c>
    </row>
    <row r="18" customFormat="false" ht="15" hidden="false" customHeight="false" outlineLevel="0" collapsed="false">
      <c r="A18" s="11" t="s">
        <v>2161</v>
      </c>
      <c r="B18" s="6" t="s">
        <v>2162</v>
      </c>
      <c r="C18" s="6" t="s">
        <v>2141</v>
      </c>
      <c r="D18" s="6" t="s">
        <v>2142</v>
      </c>
    </row>
    <row r="19" customFormat="false" ht="15" hidden="false" customHeight="false" outlineLevel="0" collapsed="false">
      <c r="A19" s="11" t="s">
        <v>2163</v>
      </c>
      <c r="B19" s="6" t="s">
        <v>2164</v>
      </c>
      <c r="C19" s="6" t="s">
        <v>2145</v>
      </c>
      <c r="D19" s="6" t="s">
        <v>2142</v>
      </c>
    </row>
    <row r="20" customFormat="false" ht="23.85" hidden="false" customHeight="false" outlineLevel="0" collapsed="false">
      <c r="A20" s="11" t="s">
        <v>2165</v>
      </c>
      <c r="B20" s="6" t="s">
        <v>2166</v>
      </c>
      <c r="C20" s="6" t="s">
        <v>2167</v>
      </c>
      <c r="D20" s="6" t="s">
        <v>2135</v>
      </c>
    </row>
    <row r="21" customFormat="false" ht="23.85" hidden="false" customHeight="false" outlineLevel="0" collapsed="false">
      <c r="A21" s="11" t="s">
        <v>2168</v>
      </c>
      <c r="B21" s="6" t="s">
        <v>2169</v>
      </c>
      <c r="C21" s="6" t="s">
        <v>2170</v>
      </c>
      <c r="D21" s="6" t="s">
        <v>2135</v>
      </c>
    </row>
    <row r="22" customFormat="false" ht="15" hidden="false" customHeight="false" outlineLevel="0" collapsed="false">
      <c r="A22" s="11" t="s">
        <v>2171</v>
      </c>
      <c r="B22" s="6" t="s">
        <v>2172</v>
      </c>
      <c r="C22" s="6" t="s">
        <v>2173</v>
      </c>
      <c r="D22" s="6" t="s">
        <v>2142</v>
      </c>
    </row>
    <row r="23" customFormat="false" ht="23.85" hidden="false" customHeight="false" outlineLevel="0" collapsed="false">
      <c r="A23" s="11" t="s">
        <v>2174</v>
      </c>
      <c r="B23" s="6" t="s">
        <v>2175</v>
      </c>
      <c r="C23" s="6" t="s">
        <v>2173</v>
      </c>
      <c r="D23" s="6" t="s">
        <v>2142</v>
      </c>
    </row>
    <row r="24" customFormat="false" ht="15" hidden="false" customHeight="false" outlineLevel="0" collapsed="false">
      <c r="A24" s="11" t="s">
        <v>2176</v>
      </c>
      <c r="B24" s="6" t="s">
        <v>2177</v>
      </c>
      <c r="C24" s="6" t="s">
        <v>2173</v>
      </c>
      <c r="D24" s="6" t="s">
        <v>2142</v>
      </c>
    </row>
    <row r="25" customFormat="false" ht="15" hidden="false" customHeight="false" outlineLevel="0" collapsed="false">
      <c r="A25" s="11" t="s">
        <v>2178</v>
      </c>
      <c r="B25" s="6" t="s">
        <v>2179</v>
      </c>
      <c r="C25" s="6" t="s">
        <v>2180</v>
      </c>
      <c r="D25" s="6" t="s">
        <v>2142</v>
      </c>
    </row>
    <row r="26" customFormat="false" ht="15" hidden="false" customHeight="false" outlineLevel="0" collapsed="false">
      <c r="A26" s="11" t="s">
        <v>2181</v>
      </c>
      <c r="B26" s="6" t="s">
        <v>2182</v>
      </c>
      <c r="C26" s="6" t="s">
        <v>2183</v>
      </c>
      <c r="D26" s="6" t="s">
        <v>2142</v>
      </c>
    </row>
    <row r="27" customFormat="false" ht="15" hidden="false" customHeight="false" outlineLevel="0" collapsed="false">
      <c r="A27" s="11" t="s">
        <v>2184</v>
      </c>
      <c r="B27" s="6" t="s">
        <v>2185</v>
      </c>
      <c r="C27" s="6" t="s">
        <v>2186</v>
      </c>
      <c r="D27" s="6" t="s">
        <v>2135</v>
      </c>
    </row>
    <row r="28" customFormat="false" ht="15" hidden="false" customHeight="false" outlineLevel="0" collapsed="false">
      <c r="A28" s="11" t="s">
        <v>2187</v>
      </c>
      <c r="B28" s="6" t="s">
        <v>2188</v>
      </c>
      <c r="C28" s="6" t="s">
        <v>2189</v>
      </c>
      <c r="D28" s="6" t="s">
        <v>2135</v>
      </c>
    </row>
    <row r="29" customFormat="false" ht="15" hidden="false" customHeight="false" outlineLevel="0" collapsed="false">
      <c r="A29" s="11" t="s">
        <v>2190</v>
      </c>
      <c r="B29" s="6" t="s">
        <v>2191</v>
      </c>
      <c r="C29" s="6" t="s">
        <v>2192</v>
      </c>
      <c r="D29" s="6" t="s">
        <v>2135</v>
      </c>
    </row>
    <row r="30" customFormat="false" ht="15" hidden="false" customHeight="false" outlineLevel="0" collapsed="false">
      <c r="A30" s="11" t="s">
        <v>2193</v>
      </c>
      <c r="B30" s="6" t="s">
        <v>2194</v>
      </c>
      <c r="C30" s="6" t="s">
        <v>2180</v>
      </c>
      <c r="D30" s="6" t="s">
        <v>2142</v>
      </c>
    </row>
    <row r="31" customFormat="false" ht="15" hidden="false" customHeight="false" outlineLevel="0" collapsed="false">
      <c r="A31" s="11" t="s">
        <v>2195</v>
      </c>
      <c r="B31" s="6" t="s">
        <v>2196</v>
      </c>
      <c r="C31" s="6" t="s">
        <v>2173</v>
      </c>
      <c r="D31" s="6" t="s">
        <v>2142</v>
      </c>
    </row>
    <row r="32" customFormat="false" ht="15" hidden="false" customHeight="false" outlineLevel="0" collapsed="false">
      <c r="A32" s="11" t="s">
        <v>2197</v>
      </c>
      <c r="B32" s="6" t="s">
        <v>2198</v>
      </c>
      <c r="C32" s="6" t="s">
        <v>2173</v>
      </c>
      <c r="D32" s="6" t="s">
        <v>2142</v>
      </c>
    </row>
    <row r="33" customFormat="false" ht="15" hidden="false" customHeight="false" outlineLevel="0" collapsed="false">
      <c r="A33" s="11" t="s">
        <v>2199</v>
      </c>
      <c r="B33" s="6" t="s">
        <v>2200</v>
      </c>
      <c r="C33" s="6" t="s">
        <v>2180</v>
      </c>
      <c r="D33" s="6" t="s">
        <v>2142</v>
      </c>
    </row>
    <row r="34" customFormat="false" ht="15" hidden="false" customHeight="false" outlineLevel="0" collapsed="false">
      <c r="A34" s="11" t="s">
        <v>2201</v>
      </c>
      <c r="B34" s="6" t="s">
        <v>2202</v>
      </c>
      <c r="C34" s="6" t="s">
        <v>2173</v>
      </c>
      <c r="D34" s="6" t="s">
        <v>2142</v>
      </c>
    </row>
    <row r="35" customFormat="false" ht="23.85" hidden="false" customHeight="false" outlineLevel="0" collapsed="false">
      <c r="A35" s="11" t="s">
        <v>2203</v>
      </c>
      <c r="B35" s="6" t="s">
        <v>2204</v>
      </c>
      <c r="C35" s="6" t="s">
        <v>2180</v>
      </c>
      <c r="D35" s="6" t="s">
        <v>2142</v>
      </c>
    </row>
    <row r="36" customFormat="false" ht="15" hidden="false" customHeight="false" outlineLevel="0" collapsed="false">
      <c r="A36" s="11" t="s">
        <v>2205</v>
      </c>
      <c r="B36" s="6" t="s">
        <v>2206</v>
      </c>
      <c r="C36" s="6" t="s">
        <v>2180</v>
      </c>
      <c r="D36" s="6" t="s">
        <v>2142</v>
      </c>
    </row>
    <row r="37" customFormat="false" ht="15" hidden="false" customHeight="false" outlineLevel="0" collapsed="false">
      <c r="A37" s="11" t="s">
        <v>2207</v>
      </c>
      <c r="B37" s="6" t="s">
        <v>2208</v>
      </c>
      <c r="C37" s="6" t="s">
        <v>2180</v>
      </c>
      <c r="D37" s="6" t="s">
        <v>2142</v>
      </c>
    </row>
    <row r="38" customFormat="false" ht="15" hidden="false" customHeight="false" outlineLevel="0" collapsed="false">
      <c r="A38" s="11" t="s">
        <v>2209</v>
      </c>
      <c r="B38" s="6" t="s">
        <v>2210</v>
      </c>
      <c r="C38" s="6" t="s">
        <v>2183</v>
      </c>
      <c r="D38" s="6" t="s">
        <v>2142</v>
      </c>
    </row>
    <row r="39" customFormat="false" ht="15" hidden="false" customHeight="false" outlineLevel="0" collapsed="false">
      <c r="A39" s="11" t="s">
        <v>2211</v>
      </c>
      <c r="B39" s="6" t="s">
        <v>2212</v>
      </c>
      <c r="C39" s="6" t="s">
        <v>2213</v>
      </c>
      <c r="D39" s="6" t="s">
        <v>2135</v>
      </c>
    </row>
    <row r="40" customFormat="false" ht="15" hidden="false" customHeight="false" outlineLevel="0" collapsed="false">
      <c r="A40" s="11" t="s">
        <v>2214</v>
      </c>
      <c r="B40" s="6" t="s">
        <v>2215</v>
      </c>
      <c r="C40" s="6" t="s">
        <v>2216</v>
      </c>
      <c r="D40" s="6" t="s">
        <v>2135</v>
      </c>
    </row>
    <row r="41" customFormat="false" ht="15" hidden="false" customHeight="false" outlineLevel="0" collapsed="false">
      <c r="A41" s="11" t="s">
        <v>2217</v>
      </c>
      <c r="B41" s="6" t="s">
        <v>2218</v>
      </c>
      <c r="C41" s="6" t="s">
        <v>2173</v>
      </c>
      <c r="D41" s="6" t="s">
        <v>2142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I4lJJs_eUG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2219</v>
      </c>
      <c r="D1" s="5" t="s">
        <v>2220</v>
      </c>
      <c r="E1" s="5" t="s">
        <v>2221</v>
      </c>
      <c r="F1" s="5" t="s">
        <v>2222</v>
      </c>
      <c r="G1" s="5" t="s">
        <v>2223</v>
      </c>
      <c r="H1" s="5" t="s">
        <v>2155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2224</v>
      </c>
      <c r="C35" s="16" t="n">
        <f aca="false">SUM(C2:C34)</f>
        <v>253</v>
      </c>
      <c r="D35" s="16" t="n">
        <f aca="false">SUM(D2:D34)</f>
        <v>178</v>
      </c>
      <c r="E35" s="17" t="n">
        <f aca="false">IF(C35=0,0,D35/C35)</f>
        <v>0.703557312252965</v>
      </c>
      <c r="F35" s="16" t="n">
        <f aca="false">SUM(F2:F34)</f>
        <v>71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2225</v>
      </c>
    </row>
    <row r="38" customFormat="false" ht="15" hidden="false" customHeight="false" outlineLevel="0" collapsed="false">
      <c r="A38" s="10" t="s">
        <v>2226</v>
      </c>
      <c r="B38" s="10" t="s">
        <v>2227</v>
      </c>
      <c r="C38" s="10" t="s">
        <v>2228</v>
      </c>
    </row>
    <row r="39" customFormat="false" ht="23.85" hidden="false" customHeight="false" outlineLevel="0" collapsed="false">
      <c r="A39" s="6" t="s">
        <v>2229</v>
      </c>
      <c r="B39" s="6" t="s">
        <v>2230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2231</v>
      </c>
      <c r="B40" s="6" t="s">
        <v>2232</v>
      </c>
      <c r="C40" s="15" t="n">
        <f aca="false">E35</f>
        <v>0.703557312252965</v>
      </c>
    </row>
    <row r="41" customFormat="false" ht="23.85" hidden="false" customHeight="false" outlineLevel="0" collapsed="false">
      <c r="A41" s="6" t="s">
        <v>2233</v>
      </c>
      <c r="B41" s="6" t="s">
        <v>2234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2235</v>
      </c>
      <c r="B42" s="6" t="s">
        <v>2236</v>
      </c>
      <c r="C42" s="15" t="n">
        <f aca="false">(COUNTIF(Katalog!$Q$2:$Q$287,"Havola tekshirilgan*")+COUNTIF(Katalog!$Q$2:$Q$287,"Metadata tekshirilgan*"))/COUNTA(Katalog!$A$2:$A$287)</f>
        <v>0.98951048951049</v>
      </c>
    </row>
    <row r="43" customFormat="false" ht="23.85" hidden="false" customHeight="false" outlineLevel="0" collapsed="false">
      <c r="A43" s="6" t="s">
        <v>2237</v>
      </c>
      <c r="B43" s="6" t="s">
        <v>2238</v>
      </c>
      <c r="C43" s="15" t="n">
        <f aca="false">COUNT(Katalog!$X$2:$X$287)/COUNTA(Katalog!$A$2:$A$287)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2239</v>
      </c>
      <c r="B1" s="5" t="s">
        <v>2240</v>
      </c>
      <c r="C1" s="5" t="s">
        <v>2241</v>
      </c>
      <c r="D1" s="5" t="s">
        <v>41</v>
      </c>
      <c r="E1" s="5" t="s">
        <v>2242</v>
      </c>
    </row>
    <row r="2" customFormat="false" ht="23.85" hidden="false" customHeight="false" outlineLevel="0" collapsed="false">
      <c r="A2" s="6" t="s">
        <v>2243</v>
      </c>
      <c r="B2" s="6" t="s">
        <v>2244</v>
      </c>
      <c r="C2" s="6" t="s">
        <v>2245</v>
      </c>
      <c r="D2" s="6" t="s">
        <v>2246</v>
      </c>
      <c r="E2" s="6" t="s">
        <v>2247</v>
      </c>
    </row>
    <row r="3" customFormat="false" ht="23.85" hidden="false" customHeight="false" outlineLevel="0" collapsed="false">
      <c r="A3" s="6" t="s">
        <v>2248</v>
      </c>
      <c r="B3" s="6" t="s">
        <v>2249</v>
      </c>
      <c r="C3" s="6" t="s">
        <v>2250</v>
      </c>
      <c r="D3" s="6" t="s">
        <v>2251</v>
      </c>
      <c r="E3" s="6" t="s">
        <v>2252</v>
      </c>
    </row>
    <row r="4" customFormat="false" ht="35.05" hidden="false" customHeight="false" outlineLevel="0" collapsed="false">
      <c r="A4" s="6" t="s">
        <v>2253</v>
      </c>
      <c r="B4" s="6" t="s">
        <v>2254</v>
      </c>
      <c r="C4" s="6" t="s">
        <v>2255</v>
      </c>
      <c r="D4" s="6" t="s">
        <v>2256</v>
      </c>
      <c r="E4" s="6" t="s">
        <v>2257</v>
      </c>
    </row>
    <row r="5" customFormat="false" ht="23.85" hidden="false" customHeight="false" outlineLevel="0" collapsed="false">
      <c r="A5" s="6" t="s">
        <v>2258</v>
      </c>
      <c r="B5" s="6" t="s">
        <v>2259</v>
      </c>
      <c r="C5" s="6" t="s">
        <v>2260</v>
      </c>
      <c r="D5" s="6" t="s">
        <v>2256</v>
      </c>
      <c r="E5" s="6" t="s">
        <v>2261</v>
      </c>
    </row>
    <row r="6" customFormat="false" ht="23.85" hidden="false" customHeight="false" outlineLevel="0" collapsed="false">
      <c r="A6" s="6" t="s">
        <v>2262</v>
      </c>
      <c r="B6" s="6" t="s">
        <v>2263</v>
      </c>
      <c r="C6" s="6" t="s">
        <v>2264</v>
      </c>
      <c r="D6" s="6" t="s">
        <v>2256</v>
      </c>
      <c r="E6" s="6" t="s">
        <v>2265</v>
      </c>
    </row>
    <row r="7" customFormat="false" ht="23.85" hidden="false" customHeight="false" outlineLevel="0" collapsed="false">
      <c r="A7" s="6" t="s">
        <v>2266</v>
      </c>
      <c r="B7" s="6" t="s">
        <v>2267</v>
      </c>
      <c r="C7" s="6" t="s">
        <v>2268</v>
      </c>
      <c r="D7" s="6" t="s">
        <v>2256</v>
      </c>
      <c r="E7" s="6" t="s">
        <v>2269</v>
      </c>
    </row>
    <row r="8" customFormat="false" ht="23.85" hidden="false" customHeight="false" outlineLevel="0" collapsed="false">
      <c r="A8" s="6" t="s">
        <v>2270</v>
      </c>
      <c r="B8" s="6" t="s">
        <v>2271</v>
      </c>
      <c r="C8" s="6" t="s">
        <v>2272</v>
      </c>
      <c r="D8" s="6" t="s">
        <v>2273</v>
      </c>
      <c r="E8" s="6" t="s">
        <v>2274</v>
      </c>
    </row>
    <row r="9" customFormat="false" ht="23.85" hidden="false" customHeight="false" outlineLevel="0" collapsed="false">
      <c r="A9" s="6" t="s">
        <v>2275</v>
      </c>
      <c r="B9" s="6" t="s">
        <v>2276</v>
      </c>
      <c r="C9" s="6" t="s">
        <v>2277</v>
      </c>
      <c r="D9" s="6" t="s">
        <v>2278</v>
      </c>
      <c r="E9" s="6" t="s">
        <v>2279</v>
      </c>
    </row>
    <row r="11" customFormat="false" ht="15" hidden="false" customHeight="false" outlineLevel="0" collapsed="false">
      <c r="A11" s="9" t="s">
        <v>2280</v>
      </c>
    </row>
    <row r="12" customFormat="false" ht="15" hidden="false" customHeight="false" outlineLevel="0" collapsed="false">
      <c r="A12" s="10" t="s">
        <v>2281</v>
      </c>
      <c r="B12" s="10" t="s">
        <v>2282</v>
      </c>
      <c r="C12" s="10" t="s">
        <v>2113</v>
      </c>
      <c r="D12" s="10" t="s">
        <v>2283</v>
      </c>
    </row>
    <row r="13" customFormat="false" ht="15" hidden="false" customHeight="false" outlineLevel="0" collapsed="false">
      <c r="A13" s="6" t="s">
        <v>2284</v>
      </c>
      <c r="B13" s="6" t="s">
        <v>2285</v>
      </c>
      <c r="C13" s="6" t="s">
        <v>2286</v>
      </c>
      <c r="D13" s="6" t="s">
        <v>2287</v>
      </c>
    </row>
    <row r="14" customFormat="false" ht="35.05" hidden="false" customHeight="false" outlineLevel="0" collapsed="false">
      <c r="A14" s="6" t="s">
        <v>2284</v>
      </c>
      <c r="B14" s="6" t="s">
        <v>2288</v>
      </c>
      <c r="C14" s="6" t="s">
        <v>2289</v>
      </c>
      <c r="D14" s="6" t="s">
        <v>2290</v>
      </c>
    </row>
    <row r="15" customFormat="false" ht="23.85" hidden="false" customHeight="false" outlineLevel="0" collapsed="false">
      <c r="A15" s="6" t="s">
        <v>2284</v>
      </c>
      <c r="B15" s="6" t="s">
        <v>2291</v>
      </c>
      <c r="C15" s="6" t="s">
        <v>2292</v>
      </c>
      <c r="D15" s="6" t="s">
        <v>2293</v>
      </c>
    </row>
    <row r="16" customFormat="false" ht="23.85" hidden="false" customHeight="false" outlineLevel="0" collapsed="false">
      <c r="A16" s="6" t="s">
        <v>2284</v>
      </c>
      <c r="B16" s="6" t="s">
        <v>2294</v>
      </c>
      <c r="C16" s="6" t="s">
        <v>2295</v>
      </c>
      <c r="D16" s="6" t="s">
        <v>2296</v>
      </c>
    </row>
    <row r="17" customFormat="false" ht="23.85" hidden="false" customHeight="false" outlineLevel="0" collapsed="false">
      <c r="A17" s="6" t="s">
        <v>2284</v>
      </c>
      <c r="B17" s="6" t="s">
        <v>2297</v>
      </c>
      <c r="C17" s="6" t="s">
        <v>2298</v>
      </c>
      <c r="D17" s="6" t="s">
        <v>2299</v>
      </c>
    </row>
    <row r="18" customFormat="false" ht="23.85" hidden="false" customHeight="false" outlineLevel="0" collapsed="false">
      <c r="A18" s="6" t="s">
        <v>2284</v>
      </c>
      <c r="B18" s="6" t="s">
        <v>2300</v>
      </c>
      <c r="C18" s="6" t="s">
        <v>2301</v>
      </c>
      <c r="D18" s="6" t="s">
        <v>2302</v>
      </c>
    </row>
    <row r="19" customFormat="false" ht="35.05" hidden="false" customHeight="false" outlineLevel="0" collapsed="false">
      <c r="A19" s="6" t="s">
        <v>2303</v>
      </c>
      <c r="B19" s="6" t="s">
        <v>95</v>
      </c>
      <c r="C19" s="6" t="s">
        <v>2304</v>
      </c>
      <c r="D19" s="6" t="s">
        <v>2305</v>
      </c>
    </row>
    <row r="20" customFormat="false" ht="15" hidden="false" customHeight="false" outlineLevel="0" collapsed="false">
      <c r="A20" s="6" t="s">
        <v>2306</v>
      </c>
      <c r="B20" s="6" t="s">
        <v>63</v>
      </c>
      <c r="C20" s="6" t="s">
        <v>2307</v>
      </c>
      <c r="D20" s="6" t="s">
        <v>2308</v>
      </c>
    </row>
    <row r="21" customFormat="false" ht="35.05" hidden="false" customHeight="false" outlineLevel="0" collapsed="false">
      <c r="A21" s="6" t="s">
        <v>2306</v>
      </c>
      <c r="B21" s="6" t="s">
        <v>68</v>
      </c>
      <c r="C21" s="6" t="s">
        <v>2309</v>
      </c>
      <c r="D21" s="6" t="s">
        <v>2310</v>
      </c>
    </row>
    <row r="22" customFormat="false" ht="23.85" hidden="false" customHeight="false" outlineLevel="0" collapsed="false">
      <c r="A22" s="6" t="s">
        <v>2306</v>
      </c>
      <c r="B22" s="6" t="s">
        <v>2311</v>
      </c>
      <c r="C22" s="6" t="s">
        <v>2312</v>
      </c>
      <c r="D22" s="6" t="s">
        <v>2313</v>
      </c>
    </row>
    <row r="23" customFormat="false" ht="23.85" hidden="false" customHeight="false" outlineLevel="0" collapsed="false">
      <c r="A23" s="6" t="s">
        <v>2306</v>
      </c>
      <c r="B23" s="6" t="s">
        <v>2314</v>
      </c>
      <c r="C23" s="6" t="s">
        <v>2315</v>
      </c>
      <c r="D23" s="6" t="s">
        <v>2316</v>
      </c>
    </row>
    <row r="24" customFormat="false" ht="23.85" hidden="false" customHeight="false" outlineLevel="0" collapsed="false">
      <c r="A24" s="6" t="s">
        <v>2222</v>
      </c>
      <c r="B24" s="6" t="s">
        <v>185</v>
      </c>
      <c r="C24" s="6" t="s">
        <v>2317</v>
      </c>
      <c r="D24" s="6" t="s">
        <v>2318</v>
      </c>
    </row>
    <row r="25" customFormat="false" ht="23.85" hidden="false" customHeight="false" outlineLevel="0" collapsed="false">
      <c r="A25" s="6" t="s">
        <v>2222</v>
      </c>
      <c r="B25" s="6" t="s">
        <v>201</v>
      </c>
      <c r="C25" s="6" t="s">
        <v>2319</v>
      </c>
      <c r="D25" s="6" t="s">
        <v>2320</v>
      </c>
    </row>
    <row r="26" customFormat="false" ht="15" hidden="false" customHeight="false" outlineLevel="0" collapsed="false">
      <c r="A26" s="6" t="s">
        <v>2222</v>
      </c>
      <c r="B26" s="6" t="s">
        <v>354</v>
      </c>
      <c r="C26" s="6" t="s">
        <v>2321</v>
      </c>
      <c r="D26" s="6" t="s">
        <v>2322</v>
      </c>
    </row>
    <row r="27" customFormat="false" ht="35.05" hidden="false" customHeight="false" outlineLevel="0" collapsed="false">
      <c r="A27" s="6" t="s">
        <v>2323</v>
      </c>
      <c r="B27" s="6" t="s">
        <v>482</v>
      </c>
      <c r="C27" s="6" t="s">
        <v>2324</v>
      </c>
      <c r="D27" s="6" t="s">
        <v>2325</v>
      </c>
    </row>
    <row r="29" customFormat="false" ht="15" hidden="false" customHeight="false" outlineLevel="0" collapsed="false">
      <c r="A29" s="9" t="s">
        <v>2326</v>
      </c>
    </row>
    <row r="30" customFormat="false" ht="15" hidden="false" customHeight="false" outlineLevel="0" collapsed="false">
      <c r="A30" s="10" t="s">
        <v>2327</v>
      </c>
      <c r="B30" s="10" t="s">
        <v>2328</v>
      </c>
      <c r="C30" s="10" t="s">
        <v>2329</v>
      </c>
      <c r="D30" s="10" t="s">
        <v>41</v>
      </c>
    </row>
    <row r="31" customFormat="false" ht="46.25" hidden="false" customHeight="false" outlineLevel="0" collapsed="false">
      <c r="A31" s="6" t="s">
        <v>2330</v>
      </c>
      <c r="B31" s="6" t="s">
        <v>2331</v>
      </c>
      <c r="C31" s="6" t="s">
        <v>2332</v>
      </c>
      <c r="D31" s="6" t="s">
        <v>2333</v>
      </c>
    </row>
    <row r="32" customFormat="false" ht="23.85" hidden="false" customHeight="false" outlineLevel="0" collapsed="false">
      <c r="A32" s="6" t="s">
        <v>2334</v>
      </c>
      <c r="B32" s="6" t="s">
        <v>2335</v>
      </c>
      <c r="C32" s="6" t="s">
        <v>2336</v>
      </c>
      <c r="D32" s="6" t="s">
        <v>2333</v>
      </c>
    </row>
    <row r="33" customFormat="false" ht="35.05" hidden="false" customHeight="false" outlineLevel="0" collapsed="false">
      <c r="A33" s="6" t="s">
        <v>2337</v>
      </c>
      <c r="B33" s="6" t="s">
        <v>2338</v>
      </c>
      <c r="C33" s="6" t="s">
        <v>2339</v>
      </c>
      <c r="D33" s="6" t="s">
        <v>2340</v>
      </c>
    </row>
    <row r="34" customFormat="false" ht="23.85" hidden="false" customHeight="false" outlineLevel="0" collapsed="false">
      <c r="A34" s="6" t="s">
        <v>2341</v>
      </c>
      <c r="B34" s="6" t="s">
        <v>2342</v>
      </c>
      <c r="C34" s="6" t="s">
        <v>2343</v>
      </c>
      <c r="D34" s="6" t="s">
        <v>2344</v>
      </c>
    </row>
    <row r="35" customFormat="false" ht="23.85" hidden="false" customHeight="false" outlineLevel="0" collapsed="false">
      <c r="A35" s="6" t="s">
        <v>2345</v>
      </c>
      <c r="B35" s="6" t="s">
        <v>2346</v>
      </c>
      <c r="C35" s="6" t="s">
        <v>2347</v>
      </c>
      <c r="D35" s="6" t="s">
        <v>2348</v>
      </c>
    </row>
    <row r="36" customFormat="false" ht="35.05" hidden="false" customHeight="false" outlineLevel="0" collapsed="false">
      <c r="A36" s="6" t="s">
        <v>2349</v>
      </c>
      <c r="B36" s="6" t="s">
        <v>2350</v>
      </c>
      <c r="C36" s="6" t="s">
        <v>2351</v>
      </c>
      <c r="D36" s="6" t="s">
        <v>2352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2026-10-17T09:58:27Z</dcterms:created>
  <dc:creator>openpyxl</dc:creator>
  <dc:description/>
  <dc:language>en-US</dc:language>
  <cp:lastModifiedBy/>
  <dcterms:modified xsi:type="dcterms:W3CDTF">2026-10-17T09:58:27Z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