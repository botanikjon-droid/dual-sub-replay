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o‘llanma" sheetId="1" state="visible" r:id="rId3"/>
    <sheet name="Mundarija" sheetId="2" state="visible" r:id="rId4"/>
    <sheet name="Qidiruv navbati" sheetId="3" state="visible" r:id="rId5"/>
    <sheet name="Boshqa til zaxirasi" sheetId="4" state="visible" r:id="rId6"/>
    <sheet name="Katalog" sheetId="5" state="visible" r:id="rId7"/>
    <sheet name="Rad va ziddiyat" sheetId="6" state="visible" r:id="rId8"/>
    <sheet name="Qamrov" sheetId="7" state="visible" r:id="rId9"/>
    <sheet name="Audit" sheetId="8" state="visible" r:id="rId10"/>
  </sheets>
  <definedNames>
    <definedName function="false" hidden="true" localSheetId="4" name="_xlnm._FilterDatabase" vbProcedure="false">Katalog!$A$1:$Y$448</definedName>
    <definedName function="false" hidden="true" localSheetId="1" name="_xlnm._FilterDatabase" vbProcedure="false">Mundarija!$A$1:$I$254</definedName>
    <definedName function="false" hidden="true" localSheetId="2" name="_xlnm._FilterDatabase" vbProcedure="false">'Qidiruv navbati'!$A$1:$F$175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<sst xmlns="http://schemas.openxmlformats.org/spreadsheetml/2006/main" count="9556" uniqueCount="3116">
  <si>
    <t xml:space="preserve">SHOKALON — videodarslar katalogi, 10-versiya</t>
  </si>
  <si>
    <t xml:space="preserve">Tayyorlangan sana</t>
  </si>
  <si>
    <t xml:space="preserve">2026-10-17</t>
  </si>
  <si>
    <t xml:space="preserve">Nima bor</t>
  </si>
  <si>
    <t xml:space="preserve">33 bob, 253 kichik mavzu (Mundarija); 447 ta video (Katalog) — ilovadagi barcha darslar shu yerda kod va Video ID bilan; rad etilgan havolalar; bob bo‘yicha qamrov; audit va loyihadan chetga chiqishlar.</t>
  </si>
  <si>
    <t xml:space="preserve">Mavzu kodi</t>
  </si>
  <si>
    <t xml:space="preserve">BB.CC.TT — BB: bo‘lim (01–13), CC: bob (01–33, butun kurs bo‘yicha), TT: kichik mavzu. Masalan 03.11.06 = III bo‘lim, 11-bob, 6-mavzu (CBD). Kodlar mundarija matni o‘zgarsa ham o‘zgarmaydi.</t>
  </si>
  <si>
    <t xml:space="preserve">Video ID</t>
  </si>
  <si>
    <t xml:space="preserve">V001, V002 … — topilish tartibida beriladi va hech qachon almashtirilmaydi. V001–V013 — 2026-10-11 dagi oldingi ish (saqlandi).</t>
  </si>
  <si>
    <t xml:space="preserve">Fayl nomi</t>
  </si>
  <si>
    <t xml:space="preserve">SHK_{kod nuqtasiz}_{Video ID}_{variant}.srt. Masalan: SHK_031106_V004_ORIGINAL.srt va SHK_031106_V004_UZ-LATIN.srt. Bir video bir nechta mavzuga tegsa, fayl faqat asosiy kod bilan nomlanadi.</t>
  </si>
  <si>
    <t xml:space="preserve">Subtitr variantlari</t>
  </si>
  <si>
    <t xml:space="preserve">ORIGINAL (muallif subtitri), ASR-EN (YouTube avtomatik), UZ-LATIN, UZ-LATIN-v2 … Versiya raqami faqat oshadi.</t>
  </si>
  <si>
    <t xml:space="preserve">Tekshiruv holatlari</t>
  </si>
  <si>
    <t xml:space="preserve">Metadata tekshirilgan (YouTube sahifasi)</t>
  </si>
  <si>
    <t xml:space="preserve">Nomi, kanali va nashr sanasi YouTube sahifasidan olindi va qidiruv natijasidagi nom bilan mos keldi. Video ko‘rilmagan.</t>
  </si>
  <si>
    <t xml:space="preserve">Metadata tekshirilgan (ikkilamchi sahifa)</t>
  </si>
  <si>
    <t xml:space="preserve">Ma’lumot Tom Wade MD saytidagi joylashtirilgan video sahifasidan olingan. Video ko‘rilmagan.</t>
  </si>
  <si>
    <t xml:space="preserve">Metadata qisman</t>
  </si>
  <si>
    <t xml:space="preserve">Faqat qidiruv natijasi bor; kanal yoki mazmun tasdiqlanmagan.</t>
  </si>
  <si>
    <t xml:space="preserve">Havola tekshirilgan (oEmbed, GitHub serveri)</t>
  </si>
  <si>
    <t xml:space="preserve">Video mavjud, ochiq; nomi va kanali YouTube’ning rasmiy oEmbed javobidan. Subtitr va O‘zbekistonda ochilishi tekshirilmagan. Video ko‘rilmagan.</t>
  </si>
  <si>
    <t xml:space="preserve">Ishlamaydi</t>
  </si>
  <si>
    <t xml:space="preserve">Server tekshiruvida video ochilmadi. Qator saqlanadi (ID o‘zgarmasin), lekin qamrovga kirmaydi.</t>
  </si>
  <si>
    <t xml:space="preserve">Mundarija holatlari</t>
  </si>
  <si>
    <t xml:space="preserve">Mavjud va tekshirilgan · Mavjud, lekin tekshirilmagan · Qisman to‘ldirilgan · Yetishmaydi · Takroriy · Yangilash kerak. Hech bir video hali to‘liq ko‘rilmagani uchun “Mavjud va tekshirilgan” holati hozircha yo‘q.</t>
  </si>
  <si>
    <t xml:space="preserve">Siz to‘ldiradigan kataklar</t>
  </si>
  <si>
    <t xml:space="preserve">Sariq kataklar: Katalogdagi 6 ta baho ustuni (0–5), Subtitr turi va Izoh. Ballni faqat videoni ko‘rgach qo‘ying; 6 tasi to‘lsa, jami avtomatik hisoblanadi.</t>
  </si>
  <si>
    <t xml:space="preserve">Baho mezonlari (0–5)</t>
  </si>
  <si>
    <t xml:space="preserve">Mavzuga moslik · Tibbiy ishonchlilik · Amaliy demonstratsiya · Tushuntirish sifati · O‘quv darajasi · Vizual aniqlik. Jami 30.</t>
  </si>
  <si>
    <t xml:space="preserve">Cheklovlar</t>
  </si>
  <si>
    <t xml:space="preserve">Davomiylik bo‘sh yoki “&gt;” bilan yozilgan joylarda YouTube sahifasi davomiylikni bermadi; “&gt;” = oxirgi bob belgisigacha bo‘lgan vaqt. Subtitr borligi hech bir video uchun tekshirilmadi (sahifa ko‘rsatmadi). Litsenziya turi tekshirilmadi.</t>
  </si>
  <si>
    <t xml:space="preserve">Papka tuzilmasi (taklif)</t>
  </si>
  <si>
    <t xml:space="preserve">01_CURRICULUM · 02_VIDEO_CATALOG (shu fayl) · 03_SUBTITLES_ORIGINAL · 04_SUBTITLES_TRANSLATED · 05_SUBTITLE_QA · 06_ULTRASOUND_ATLAS · 07_TESTS · 08_PRESENTATIONS · 09_REFERENCES · 10_RELEASES. Ilovaga (Dual Replay) katalog keyinroq shu fayldan avtomatik yasaladigan JSON sifatida kiradi.</t>
  </si>
  <si>
    <t xml:space="preserve">Kod</t>
  </si>
  <si>
    <t xml:space="preserve">Bo‘lim</t>
  </si>
  <si>
    <t xml:space="preserve">Bob</t>
  </si>
  <si>
    <t xml:space="preserve">Kichik mavzu</t>
  </si>
  <si>
    <t xml:space="preserve">Videolar soni</t>
  </si>
  <si>
    <t xml:space="preserve">Qisman (audit)</t>
  </si>
  <si>
    <t xml:space="preserve">Takror (audit)</t>
  </si>
  <si>
    <t xml:space="preserve">Holat</t>
  </si>
  <si>
    <t xml:space="preserve">Audit izohi</t>
  </si>
  <si>
    <t xml:space="preserve">01.01.01</t>
  </si>
  <si>
    <t xml:space="preserve">I. ULTRATOVUSH FIZIKASI VA APPARAT BILAN ISHLASH</t>
  </si>
  <si>
    <t xml:space="preserve">1-bob. Ultratovush fizikasi</t>
  </si>
  <si>
    <t xml:space="preserve">1.1. Tovush va ultratovushning tabiati, chastota, davr, amplituda va to‘lqin uzunligi.</t>
  </si>
  <si>
    <t xml:space="preserve">01.01.02</t>
  </si>
  <si>
    <t xml:space="preserve">1.2. Tovush tezligi, akustik impedans va to‘qimalar chegarasida aks etish.</t>
  </si>
  <si>
    <t xml:space="preserve">01.01.03</t>
  </si>
  <si>
    <t xml:space="preserve">1.3. Refleksiya, refraksiya, sochilish, diffraksiya va absorbsiya.</t>
  </si>
  <si>
    <t xml:space="preserve">01.01.04</t>
  </si>
  <si>
    <t xml:space="preserve">1.4. Attenuatsiya, chuqurlik va chastota o‘rtasidagi bog‘liqlik.</t>
  </si>
  <si>
    <t xml:space="preserve">01.01.05</t>
  </si>
  <si>
    <t xml:space="preserve">1.5. Echogenlik, akustik interfeyslar va tasvir hosil bo‘lishining fizik asoslari.</t>
  </si>
  <si>
    <t xml:space="preserve">ha</t>
  </si>
  <si>
    <t xml:space="preserve">01.02.01</t>
  </si>
  <si>
    <t xml:space="preserve">2-bob. UZI apparati va datchiklar</t>
  </si>
  <si>
    <t xml:space="preserve">2.1. Pyezoelektrik effekt va transduserning ishlash prinsipi.</t>
  </si>
  <si>
    <t xml:space="preserve">01.02.02</t>
  </si>
  <si>
    <t xml:space="preserve">2.2. Konveks, chiziqli, sektor/fazalangan va endokavitar datchiklar.</t>
  </si>
  <si>
    <t xml:space="preserve">01.02.03</t>
  </si>
  <si>
    <t xml:space="preserve">2.3. Datchik chastotasi va tekshiruvga mos datchikni tanlash.</t>
  </si>
  <si>
    <t xml:space="preserve">01.02.04</t>
  </si>
  <si>
    <t xml:space="preserve">2.4. Eksenel, lateral va elevatsion rezolyutsiya.</t>
  </si>
  <si>
    <t xml:space="preserve">Atama: “eksenel” → “aksial” rezolyutsiya</t>
  </si>
  <si>
    <t xml:space="preserve">01.02.05</t>
  </si>
  <si>
    <t xml:space="preserve">2.5. B-rejim, M-rejim va tasvirni qayta ishlash.</t>
  </si>
  <si>
    <t xml:space="preserve">01.02.06</t>
  </si>
  <si>
    <t xml:space="preserve">2.6. Panoramik tasvir, compound imaging, harmonic imaging va speklni kamaytirish.</t>
  </si>
  <si>
    <t xml:space="preserve">Atama: compound/harmonic imaging → kompaund va garmonik tasvirlash</t>
  </si>
  <si>
    <t xml:space="preserve">01.02.07</t>
  </si>
  <si>
    <t xml:space="preserve">2.7. Datchiklarni tozalash, dezinfeksiya va infeksiya nazorati.</t>
  </si>
  <si>
    <t xml:space="preserve">01.03.01</t>
  </si>
  <si>
    <t xml:space="preserve">3-bob. Tasvirni optimallashtirish</t>
  </si>
  <si>
    <t xml:space="preserve">3.1. Gain va TGC.</t>
  </si>
  <si>
    <t xml:space="preserve">01.03.02</t>
  </si>
  <si>
    <t xml:space="preserve">3.2. Depth, fokus va ko‘rish maydoni.</t>
  </si>
  <si>
    <t xml:space="preserve">01.03.03</t>
  </si>
  <si>
    <t xml:space="preserve">3.3. Dynamic range, chastota, frame rate va tasvir tezligi.</t>
  </si>
  <si>
    <t xml:space="preserve">01.03.04</t>
  </si>
  <si>
    <t xml:space="preserve">3.4. Zoom, cine-loop, o‘lchash va tasvirni saqlash.</t>
  </si>
  <si>
    <t xml:space="preserve">01.03.05</t>
  </si>
  <si>
    <t xml:space="preserve">3.5. Turli a’zolar uchun boshlang‘ich sozlamalar.</t>
  </si>
  <si>
    <t xml:space="preserve">01.03.06</t>
  </si>
  <si>
    <t xml:space="preserve">3.6. Texnik xatolar va tasvir sifatini nazorat qilish.</t>
  </si>
  <si>
    <t xml:space="preserve">01.04.01</t>
  </si>
  <si>
    <t xml:space="preserve">4-bob. Ultratovush artefaktlari</t>
  </si>
  <si>
    <t xml:space="preserve">4.1. Akustik soya va posterior akustik kuchayish.</t>
  </si>
  <si>
    <t xml:space="preserve">01.04.02</t>
  </si>
  <si>
    <t xml:space="preserve">4.2. Reverberatsiya, kometa dumi va ring-down.</t>
  </si>
  <si>
    <t xml:space="preserve">01.04.03</t>
  </si>
  <si>
    <t xml:space="preserve">4.3. Ko‘zgu artefakti va refraksiya.</t>
  </si>
  <si>
    <t xml:space="preserve">01.04.04</t>
  </si>
  <si>
    <t xml:space="preserve">4.4. Yon lob, qalin kesim va anizotropiya artefaktlari.</t>
  </si>
  <si>
    <t xml:space="preserve">01.04.05</t>
  </si>
  <si>
    <t xml:space="preserve">4.5. Doppler aliasing va boshqa Doppler artefaktlari.</t>
  </si>
  <si>
    <t xml:space="preserve">Tartib: Doppler artefakti 5-bob (Doppler asoslari)dan oldin keladi; 5-bob oxiriga ko‘chirish taklif etiladi</t>
  </si>
  <si>
    <t xml:space="preserve">01.04.06</t>
  </si>
  <si>
    <t xml:space="preserve">4.6. Artefaktlarni patologiyadan farqlash va diagnostik ahamiyati.</t>
  </si>
  <si>
    <t xml:space="preserve">01.05.01</t>
  </si>
  <si>
    <t xml:space="preserve">5-bob. Doppler ultratovush asoslari</t>
  </si>
  <si>
    <t xml:space="preserve">5.1. Doppler effekti va Doppler tenglamasi.</t>
  </si>
  <si>
    <t xml:space="preserve">01.05.02</t>
  </si>
  <si>
    <t xml:space="preserve">5.2. Color Doppler va Power Doppler.</t>
  </si>
  <si>
    <t xml:space="preserve">01.05.03</t>
  </si>
  <si>
    <t xml:space="preserve">5.3. Pulsli spektral Doppler va uzluksiz to‘lqinli Doppler.</t>
  </si>
  <si>
    <t xml:space="preserve">01.05.04</t>
  </si>
  <si>
    <t xml:space="preserve">5.4. PRF, scale, wall filter, gain va sample volume.</t>
  </si>
  <si>
    <t xml:space="preserve">01.05.05</t>
  </si>
  <si>
    <t xml:space="preserve">5.5. Doppler burchagi va burchak korreksiyasi.</t>
  </si>
  <si>
    <t xml:space="preserve">01.05.06</t>
  </si>
  <si>
    <t xml:space="preserve">5.6. Tezlik, RI, PI va boshqa gemodinamik ko‘rsatkichlar.</t>
  </si>
  <si>
    <t xml:space="preserve">01.05.07</t>
  </si>
  <si>
    <t xml:space="preserve">5.7. Past oqimli qon tomirlarini tekshirish va Doppler xatolari.</t>
  </si>
  <si>
    <t xml:space="preserve">01.04.05 bilan qisman takror (Doppler xatolari)</t>
  </si>
  <si>
    <t xml:space="preserve">01.06.01</t>
  </si>
  <si>
    <t xml:space="preserve">6-bob. Biologik xavfsizlik</t>
  </si>
  <si>
    <t xml:space="preserve">6.1. Ultratovushning termal va mexanik bioeffektlari.</t>
  </si>
  <si>
    <t xml:space="preserve">01.06.02</t>
  </si>
  <si>
    <t xml:space="preserve">6.2. Thermal Index (TI) va Mechanical Index (MI).</t>
  </si>
  <si>
    <t xml:space="preserve">01.06.03</t>
  </si>
  <si>
    <t xml:space="preserve">6.3. ALARA tamoyili va tekshiruv davomiyligi.</t>
  </si>
  <si>
    <t xml:space="preserve">01.06.04</t>
  </si>
  <si>
    <t xml:space="preserve">6.4. Homiladorlar va bolalarda xavfsiz tekshiruv.</t>
  </si>
  <si>
    <t xml:space="preserve">01.06.05</t>
  </si>
  <si>
    <t xml:space="preserve">6.5. Datchik gigiyenasi va infeksiya profilaktikasi.</t>
  </si>
  <si>
    <t xml:space="preserve">01.02.07 bilan takror (datchik gigiyenasi). Bittasida qoldirib, ikkinchisida havola berish taklif etiladi</t>
  </si>
  <si>
    <t xml:space="preserve">01.06.06</t>
  </si>
  <si>
    <t xml:space="preserve">6.6. Kontrastli UZI xavfsizligi va maxsus tayyorgarlik talablari.</t>
  </si>
  <si>
    <t xml:space="preserve">Kontrast fizikasi 31-bobda; o‘zaro havola kerak</t>
  </si>
  <si>
    <t xml:space="preserve">02.07.01</t>
  </si>
  <si>
    <t xml:space="preserve">II. TEKSHIRUV METODIKASI VA DIAGNOSTIK TAFAKKUR</t>
  </si>
  <si>
    <t xml:space="preserve">7-bob. Bemorni tekshiruvga tayyorlash</t>
  </si>
  <si>
    <t xml:space="preserve">7.1. Anamnez, klinik savol va yo‘llanmani tahlil qilish.</t>
  </si>
  <si>
    <t xml:space="preserve">02.07.02</t>
  </si>
  <si>
    <t xml:space="preserve">7.2. Qorin bo‘shlig‘i tekshiruvi uchun tayyorgarlik.</t>
  </si>
  <si>
    <t xml:space="preserve">02.07.03</t>
  </si>
  <si>
    <t xml:space="preserve">7.3. Siydik pufagi va chanoq a’zolariga tayyorgarlik.</t>
  </si>
  <si>
    <t xml:space="preserve">02.07.04</t>
  </si>
  <si>
    <t xml:space="preserve">7.4. Transvaginal va transrektal tekshiruvga tayyorgarlik, rozilik va maxfiylik.</t>
  </si>
  <si>
    <t xml:space="preserve">02.07.05</t>
  </si>
  <si>
    <t xml:space="preserve">7.5. Bolalar va shoshilinch bemorlarni tekshirish.</t>
  </si>
  <si>
    <t xml:space="preserve">02.07.06</t>
  </si>
  <si>
    <t xml:space="preserve">7.6. Tekshiruv cheklovlari va yetarli bo‘lmagan vizualizatsiyani qayd etish.</t>
  </si>
  <si>
    <t xml:space="preserve">02.08.01</t>
  </si>
  <si>
    <t xml:space="preserve">8-bob. Skanerlash texnikasi va ergonomika</t>
  </si>
  <si>
    <t xml:space="preserve">8.1. Datchikni ushlash, bosimni boshqarish va harakatlantirish.</t>
  </si>
  <si>
    <t xml:space="preserve">02.08.02</t>
  </si>
  <si>
    <t xml:space="preserve">8.2. Bo‘ylama, ko‘ndalang va qiya tekisliklar.</t>
  </si>
  <si>
    <t xml:space="preserve">02.08.03</t>
  </si>
  <si>
    <t xml:space="preserve">8.3. Anatomik orientatsiya va ekranda tasvirni yo‘naltirish.</t>
  </si>
  <si>
    <t xml:space="preserve">02.08.04</t>
  </si>
  <si>
    <t xml:space="preserve">8.4. Standart kesimlar va to‘liq tekshiruv protokollari.</t>
  </si>
  <si>
    <t xml:space="preserve">02.08.05</t>
  </si>
  <si>
    <t xml:space="preserve">8.5. O‘lchash xatolari va takrorlanuvchanlik.</t>
  </si>
  <si>
    <t xml:space="preserve">02.08.06</t>
  </si>
  <si>
    <t xml:space="preserve">8.6. Sonografist ergonomikasi va kasbiy shikastlanishlarning oldini olish.</t>
  </si>
  <si>
    <t xml:space="preserve">02.09.01</t>
  </si>
  <si>
    <t xml:space="preserve">9-bob. Sonografik diagnostika va xulosa yozish</t>
  </si>
  <si>
    <t xml:space="preserve">9.1. Normal anatomiyani patologiyadan farqlash.</t>
  </si>
  <si>
    <t xml:space="preserve">02.09.02</t>
  </si>
  <si>
    <t xml:space="preserve">9.2. O‘lcham, shakl, kontur, echogenlik va qon oqimini tavsiflash.</t>
  </si>
  <si>
    <t xml:space="preserve">02.09.03</t>
  </si>
  <si>
    <t xml:space="preserve">9.3. Fokal va diffuz o‘zgarishlarni baholash.</t>
  </si>
  <si>
    <t xml:space="preserve">02.09.04</t>
  </si>
  <si>
    <t xml:space="preserve">9.4. Differensial diagnostika va klinik ma’lumotlardan foydalanish.</t>
  </si>
  <si>
    <t xml:space="preserve">02.09.05</t>
  </si>
  <si>
    <t xml:space="preserve">9.5. Standart protokol, xulosa va tavsiyalarni shakllantirish.</t>
  </si>
  <si>
    <t xml:space="preserve">02.09.06</t>
  </si>
  <si>
    <t xml:space="preserve">9.6. Cheklovlar, tasodifiy topilmalar va shoshilinch belgilar.</t>
  </si>
  <si>
    <t xml:space="preserve">02.09.07</t>
  </si>
  <si>
    <t xml:space="preserve">9.7. Tasvirlarni arxivlash, sifat nazorati va klinik kuzatuv.</t>
  </si>
  <si>
    <t xml:space="preserve">03.10.01</t>
  </si>
  <si>
    <t xml:space="preserve">III. QORIN BO‘SHLIG‘I VA RETROPERITONEAL SOHA</t>
  </si>
  <si>
    <t xml:space="preserve">10-bob. Jigar</t>
  </si>
  <si>
    <t xml:space="preserve">10.1. Jigar segmentlari, normal anatomiyasi va o‘lchamlari.</t>
  </si>
  <si>
    <t xml:space="preserve">03.10.02</t>
  </si>
  <si>
    <t xml:space="preserve">10.2. Jigarni standart tekshirish protokoli.</t>
  </si>
  <si>
    <t xml:space="preserve">03.10.03</t>
  </si>
  <si>
    <t xml:space="preserve">10.3. Diffuz kasalliklar: steatoz, gepatit va sirroz.</t>
  </si>
  <si>
    <t xml:space="preserve">03.10.04</t>
  </si>
  <si>
    <t xml:space="preserve">10.4. Portal gipertenziya, portal va jigar venalari.</t>
  </si>
  <si>
    <t xml:space="preserve">03.10.05</t>
  </si>
  <si>
    <t xml:space="preserve">10.5. Fokal hosilalar: kista, gemangioma va boshqa benign o‘zgarishlar.</t>
  </si>
  <si>
    <t xml:space="preserve">03.10.06</t>
  </si>
  <si>
    <t xml:space="preserve">10.6. Malign hosilalar, metastazlar va jigar abssessi.</t>
  </si>
  <si>
    <t xml:space="preserve">Taklif: US LI-RADS (xavf guruhida skrining) qo‘shish</t>
  </si>
  <si>
    <t xml:space="preserve">03.10.07</t>
  </si>
  <si>
    <t xml:space="preserve">10.7. Jigar elastografiyasi: ko‘rsatmalar, texnika va cheklovlar.</t>
  </si>
  <si>
    <t xml:space="preserve">03.10.08</t>
  </si>
  <si>
    <t xml:space="preserve">10.8. Jigar transplantatini tekshirish.</t>
  </si>
  <si>
    <t xml:space="preserve">03.10.09</t>
  </si>
  <si>
    <t xml:space="preserve">10.9. Fokal jigar hosilalarida differensial diagnostika.</t>
  </si>
  <si>
    <t xml:space="preserve">03.11.01</t>
  </si>
  <si>
    <t xml:space="preserve">11-bob. O‘t pufagi va o‘t yo‘llari</t>
  </si>
  <si>
    <t xml:space="preserve">11.1. Normal anatomiya va tekshiruv texnikasi.</t>
  </si>
  <si>
    <t xml:space="preserve">03.11.02</t>
  </si>
  <si>
    <t xml:space="preserve">11.2. Xolelitiaz va xoledoxolitiaz.</t>
  </si>
  <si>
    <t xml:space="preserve">03.11.03</t>
  </si>
  <si>
    <t xml:space="preserve">11.3. O‘tkir va surunkali xoletsistit.</t>
  </si>
  <si>
    <t xml:space="preserve">03.11.04</t>
  </si>
  <si>
    <t xml:space="preserve">11.4. O‘t pufagi poliplari, adenomiomatoz va o‘smalar.</t>
  </si>
  <si>
    <t xml:space="preserve">Taklif: ACR GB-RADS (o‘t pufagi devori) qo‘shish</t>
  </si>
  <si>
    <t xml:space="preserve">03.11.05</t>
  </si>
  <si>
    <t xml:space="preserve">11.5. Intrahepatik va ekstrahepatik o‘t yo‘llari kengayishi.</t>
  </si>
  <si>
    <t xml:space="preserve">03.11.06</t>
  </si>
  <si>
    <t xml:space="preserve">11.6. Umumiy o‘t yo‘li (CBD)ni turli kesimlarda topish va tekshirish.</t>
  </si>
  <si>
    <t xml:space="preserve">03.11.07</t>
  </si>
  <si>
    <t xml:space="preserve">11.7. Mexanik sariqlikning sonografik sabablari.</t>
  </si>
  <si>
    <t xml:space="preserve">03.11.08</t>
  </si>
  <si>
    <t xml:space="preserve">11.8. O‘t yo‘llari kasalliklarida differensial diagnostika.</t>
  </si>
  <si>
    <t xml:space="preserve">03.12.01</t>
  </si>
  <si>
    <t xml:space="preserve">12-bob. Oshqozon osti bezi</t>
  </si>
  <si>
    <t xml:space="preserve">12.1. Normal anatomiya va vizualizatsiya usullari.</t>
  </si>
  <si>
    <t xml:space="preserve">03.12.02</t>
  </si>
  <si>
    <t xml:space="preserve">12.2. O‘tkir va surunkali pankreatit.</t>
  </si>
  <si>
    <t xml:space="preserve">03.12.03</t>
  </si>
  <si>
    <t xml:space="preserve">12.3. Psevdokista va boshqa suyuqlikli hosilalar.</t>
  </si>
  <si>
    <t xml:space="preserve">03.12.04</t>
  </si>
  <si>
    <t xml:space="preserve">12.4. Pankreas o‘smalari va kengaygan pankreatik yo‘l.</t>
  </si>
  <si>
    <t xml:space="preserve">03.12.05</t>
  </si>
  <si>
    <t xml:space="preserve">12.5. Ko‘rish cheklovlari va differensial diagnostika.</t>
  </si>
  <si>
    <t xml:space="preserve">03.13.01</t>
  </si>
  <si>
    <t xml:space="preserve">13-bob. Taloq</t>
  </si>
  <si>
    <t xml:space="preserve">13.1. Normal anatomiya va o‘lchamlari.</t>
  </si>
  <si>
    <t xml:space="preserve">03.13.02</t>
  </si>
  <si>
    <t xml:space="preserve">13.2. Splenomegaliya va portal gipertenziya bilan bog‘liqligi.</t>
  </si>
  <si>
    <t xml:space="preserve">03.13.03</t>
  </si>
  <si>
    <t xml:space="preserve">13.3. Infarkt, travma va gematoma.</t>
  </si>
  <si>
    <t xml:space="preserve">03.13.04</t>
  </si>
  <si>
    <t xml:space="preserve">13.4. Kistalar, abssesslar va fokal hosilalar.</t>
  </si>
  <si>
    <t xml:space="preserve">03.14.01</t>
  </si>
  <si>
    <t xml:space="preserve">14-bob. Buyraklar va siydik yo‘llari</t>
  </si>
  <si>
    <t xml:space="preserve">14.1. Buyrak anatomiyasi, o‘lchamlari va normal parenxima.</t>
  </si>
  <si>
    <t xml:space="preserve">03.14.02</t>
  </si>
  <si>
    <t xml:space="preserve">14.2. Buyrak kistalari va Bosniak tasnifining UZI imkoniyatlari hamda cheklovlari.</t>
  </si>
  <si>
    <t xml:space="preserve">03.14.03</t>
  </si>
  <si>
    <t xml:space="preserve">14.3. Nefrolitiaz va gidronefroz.</t>
  </si>
  <si>
    <t xml:space="preserve">03.14.04</t>
  </si>
  <si>
    <t xml:space="preserve">14.4. Solid hosilalar va buyrak o‘smalari.</t>
  </si>
  <si>
    <t xml:space="preserve">03.14.05</t>
  </si>
  <si>
    <t xml:space="preserve">14.5. Diffuz parenximatoz o‘zgarishlar.</t>
  </si>
  <si>
    <t xml:space="preserve">03.14.06</t>
  </si>
  <si>
    <t xml:space="preserve">14.6. Buyrak arteriyasi va venasining Doppler tekshiruvi.</t>
  </si>
  <si>
    <t xml:space="preserve">03.14.07</t>
  </si>
  <si>
    <t xml:space="preserve">14.7. Buyrak transplantatini tekshirish.</t>
  </si>
  <si>
    <t xml:space="preserve">03.14.08</t>
  </si>
  <si>
    <t xml:space="preserve">14.8. Siydik pufagi, qoldiq siydik va siydik yo‘llari patologiyalari.</t>
  </si>
  <si>
    <t xml:space="preserve">03.14.09</t>
  </si>
  <si>
    <t xml:space="preserve">14.9. Buyrak usti bezlari va ularning UZI imkoniyatlari.</t>
  </si>
  <si>
    <t xml:space="preserve">03.15.01</t>
  </si>
  <si>
    <t xml:space="preserve">15-bob. Qorin bo‘shlig‘ining boshqa tuzilmalari</t>
  </si>
  <si>
    <t xml:space="preserve">15.1. Qorin aortasi: diametr, anevrizma va stenoz.</t>
  </si>
  <si>
    <t xml:space="preserve">07.25.07 bilan takror (qorin aortasi)</t>
  </si>
  <si>
    <t xml:space="preserve">03.15.02</t>
  </si>
  <si>
    <t xml:space="preserve">15.2. Pastki kava vena va uning klinik ahamiyati.</t>
  </si>
  <si>
    <t xml:space="preserve">07.25.07 bilan takror (pastki kava vena)</t>
  </si>
  <si>
    <t xml:space="preserve">03.15.03</t>
  </si>
  <si>
    <t xml:space="preserve">15.3. Retroperitoneal soha va limfa tugunlari.</t>
  </si>
  <si>
    <t xml:space="preserve">03.15.04</t>
  </si>
  <si>
    <t xml:space="preserve">15.4. Erkin suyuqlik, peritoneal va mezenterial o‘zgarishlar.</t>
  </si>
  <si>
    <t xml:space="preserve">03.15.05</t>
  </si>
  <si>
    <t xml:space="preserve">15.5. Qorin devori churralari va yumshoq to‘qimalar.</t>
  </si>
  <si>
    <t xml:space="preserve">03.15.06</t>
  </si>
  <si>
    <t xml:space="preserve">15.6. Ichak ultratovushi: devor qatlamlari va harakat.</t>
  </si>
  <si>
    <t xml:space="preserve">03.15.07</t>
  </si>
  <si>
    <t xml:space="preserve">15.7. Appenditsit, ichak tutilishi va ichak yallig‘lanishlari.</t>
  </si>
  <si>
    <t xml:space="preserve">03.15.08</t>
  </si>
  <si>
    <t xml:space="preserve">15.8. Oshqozon-ichak UZI: imkoniyatlar, cheklovlar va qo‘shimcha tekshiruv zarurati.</t>
  </si>
  <si>
    <t xml:space="preserve">04.16.01</t>
  </si>
  <si>
    <t xml:space="preserve">IV. CHANOQ A’ZOLARI VA UROLOGIYA</t>
  </si>
  <si>
    <t xml:space="preserve">16-bob. Ginekologik ultratovush</t>
  </si>
  <si>
    <t xml:space="preserve">16.1. Bachadon, endometriy va tuxumdonlarning normal anatomiyasi.</t>
  </si>
  <si>
    <t xml:space="preserve">04.16.02</t>
  </si>
  <si>
    <t xml:space="preserve">16.2. Transabdominal va transvaginal tekshiruv protokoli.</t>
  </si>
  <si>
    <t xml:space="preserve">04.16.03</t>
  </si>
  <si>
    <t xml:space="preserve">16.3. Hayz sikli davomida endometriy va tuxumdon o‘zgarishlari.</t>
  </si>
  <si>
    <t xml:space="preserve">04.16.04</t>
  </si>
  <si>
    <t xml:space="preserve">16.4. Mioma, adenomioz va endometrial patologiyalar.</t>
  </si>
  <si>
    <t xml:space="preserve">04.16.05</t>
  </si>
  <si>
    <t xml:space="preserve">16.5. Tuxumdon kistalari va adneksal hosilalar.</t>
  </si>
  <si>
    <t xml:space="preserve">04.16.06</t>
  </si>
  <si>
    <t xml:space="preserve">16.6. O-RADS US va IOTA asoslari.</t>
  </si>
  <si>
    <t xml:space="preserve">04.16.07</t>
  </si>
  <si>
    <t xml:space="preserve">16.7. Endometrioz, chanoq yallig‘lanish kasalliklari va gidrosalpinks.</t>
  </si>
  <si>
    <t xml:space="preserve">04.16.08</t>
  </si>
  <si>
    <t xml:space="preserve">16.8. Chanoqdagi erkin suyuqlik va ektopik homiladorlikdan shubhalanish.</t>
  </si>
  <si>
    <t xml:space="preserve">04.16.09</t>
  </si>
  <si>
    <t xml:space="preserve">16.9. Kontratseptiv vositalar, jumladan bachadon ichi vositasi.</t>
  </si>
  <si>
    <t xml:space="preserve">04.16.10</t>
  </si>
  <si>
    <t xml:space="preserve">16.10. Bolalar va o‘smirlar ginekologiyasi.</t>
  </si>
  <si>
    <t xml:space="preserve">04.17.01</t>
  </si>
  <si>
    <t xml:space="preserve">17-bob. Erkaklar urologik ultratovushi</t>
  </si>
  <si>
    <t xml:space="preserve">17.1. Moyak va epididimis anatomiyasi.</t>
  </si>
  <si>
    <t xml:space="preserve">04.17.02</t>
  </si>
  <si>
    <t xml:space="preserve">17.2. Moyak torsiyasi: shoshilinch belgilar va Doppler.</t>
  </si>
  <si>
    <t xml:space="preserve">04.17.03</t>
  </si>
  <si>
    <t xml:space="preserve">17.3. Epididimit, orxit va skrotal abssess.</t>
  </si>
  <si>
    <t xml:space="preserve">04.17.04</t>
  </si>
  <si>
    <t xml:space="preserve">17.4. Varikotsele va gidrotsele.</t>
  </si>
  <si>
    <t xml:space="preserve">04.17.05</t>
  </si>
  <si>
    <t xml:space="preserve">17.5. Moyak ichi va tashqarisidagi hosilalar.</t>
  </si>
  <si>
    <t xml:space="preserve">04.17.06</t>
  </si>
  <si>
    <t xml:space="preserve">17.6. Skrotal travma.</t>
  </si>
  <si>
    <t xml:space="preserve">04.17.07</t>
  </si>
  <si>
    <t xml:space="preserve">17.7. Prostata bezi va transabdominal/transrektal tekshiruv asoslari.</t>
  </si>
  <si>
    <t xml:space="preserve">04.17.08</t>
  </si>
  <si>
    <t xml:space="preserve">17.8. Prostata kattalashuvi, yallig‘lanishi va o‘smalardan shubhalanish.</t>
  </si>
  <si>
    <t xml:space="preserve">04.17.09</t>
  </si>
  <si>
    <t xml:space="preserve">17.9. Jinsiy olat ultratovushi va maxsus Doppler tekshiruvlariga kirish.</t>
  </si>
  <si>
    <t xml:space="preserve">05.18.01</t>
  </si>
  <si>
    <t xml:space="preserve">V. AKUSHERLIK VA PERINATOLOGIYA</t>
  </si>
  <si>
    <t xml:space="preserve">18-bob. Erta homiladorlik</t>
  </si>
  <si>
    <t xml:space="preserve">18.1. Bachadon ichidagi homiladorlikni tasdiqlash.</t>
  </si>
  <si>
    <t xml:space="preserve">05.18.02</t>
  </si>
  <si>
    <t xml:space="preserve">18.2. Gestatsion xalta, sariq xalta va embrion.</t>
  </si>
  <si>
    <t xml:space="preserve">05.18.03</t>
  </si>
  <si>
    <t xml:space="preserve">18.3. CRL va homiladorlik muddatini aniqlash.</t>
  </si>
  <si>
    <t xml:space="preserve">05.18.04</t>
  </si>
  <si>
    <t xml:space="preserve">18.4. Yurak faoliyati va erta rivojlanishni baholash.</t>
  </si>
  <si>
    <t xml:space="preserve">05.18.05</t>
  </si>
  <si>
    <t xml:space="preserve">18.5. Homila tushishi va rivojlanmay qolgan homiladorlik mezonlari.</t>
  </si>
  <si>
    <t xml:space="preserve">05.18.06</t>
  </si>
  <si>
    <t xml:space="preserve">18.6. Ektopik homiladorlik va homiladorlik joylashuvi noma’lum bo‘lgan holatlar.</t>
  </si>
  <si>
    <t xml:space="preserve">04.16.08 bilan qisman takror (ektopik homiladorlik)</t>
  </si>
  <si>
    <t xml:space="preserve">05.18.07</t>
  </si>
  <si>
    <t xml:space="preserve">18.7. Trofoblastik kasalliklardan shubhalanish.</t>
  </si>
  <si>
    <t xml:space="preserve">05.19.01</t>
  </si>
  <si>
    <t xml:space="preserve">19-bob. Birinchi trimestr skriningi</t>
  </si>
  <si>
    <t xml:space="preserve">19.1. 11–14 haftalik tekshiruv protokoli.</t>
  </si>
  <si>
    <t xml:space="preserve">05.19.02</t>
  </si>
  <si>
    <t xml:space="preserve">19.2. CRL, NT va boshqa standart o‘lchovlar.</t>
  </si>
  <si>
    <t xml:space="preserve">05.19.03</t>
  </si>
  <si>
    <t xml:space="preserve">19.3. Burun suyagi, venoz kanal va trikuspid oqimi — ko‘rsatmalar bo‘yicha.</t>
  </si>
  <si>
    <t xml:space="preserve">05.19.04</t>
  </si>
  <si>
    <t xml:space="preserve">19.4. Aneuploidiyalar xavfini sonografik baholash.</t>
  </si>
  <si>
    <t xml:space="preserve">05.19.05</t>
  </si>
  <si>
    <t xml:space="preserve">19.5. Skrining imkoniyatlari va cheklovlari.</t>
  </si>
  <si>
    <t xml:space="preserve">05.20.01</t>
  </si>
  <si>
    <t xml:space="preserve">20-bob. Ikkinchi va uchinchi trimestr</t>
  </si>
  <si>
    <t xml:space="preserve">20.1. Homila anatomiyasini tizimli tekshirish.</t>
  </si>
  <si>
    <t xml:space="preserve">05.20.02</t>
  </si>
  <si>
    <t xml:space="preserve">20.2. Fetometriya: BPD, HC, AC va FL.</t>
  </si>
  <si>
    <t xml:space="preserve">05.20.03</t>
  </si>
  <si>
    <t xml:space="preserve">20.3. Homila vaznini hisoblash va gestatsion yoshga moslik.</t>
  </si>
  <si>
    <t xml:space="preserve">05.20.04</t>
  </si>
  <si>
    <t xml:space="preserve">20.4. Bosh miya, umurtqa va yuz anatomiyasi.</t>
  </si>
  <si>
    <t xml:space="preserve">05.20.05</t>
  </si>
  <si>
    <t xml:space="preserve">20.5. Yurak va ko‘krak qafasi.</t>
  </si>
  <si>
    <t xml:space="preserve">05.20.06</t>
  </si>
  <si>
    <t xml:space="preserve">20.6. Qorin a’zolari, buyraklar va siydik pufagi.</t>
  </si>
  <si>
    <t xml:space="preserve">05.20.07</t>
  </si>
  <si>
    <t xml:space="preserve">20.7. Skelet, qo‘l-oyoqlar va yumshoq to‘qimalar.</t>
  </si>
  <si>
    <t xml:space="preserve">05.20.08</t>
  </si>
  <si>
    <t xml:space="preserve">20.8. Yo‘ldosh, kindik tizimi va amniotik suyuqlik.</t>
  </si>
  <si>
    <t xml:space="preserve">Taklif: yo‘ldosh akkretasi spektri (PAS) qo‘shish</t>
  </si>
  <si>
    <t xml:space="preserve">05.20.09</t>
  </si>
  <si>
    <t xml:space="preserve">20.9. Bachadon bo‘yni va muddatidan oldin tug‘ruq xavfi.</t>
  </si>
  <si>
    <t xml:space="preserve">05.20.10</t>
  </si>
  <si>
    <t xml:space="preserve">20.10. Ko‘p homilali homiladorlik.</t>
  </si>
  <si>
    <t xml:space="preserve">05.20.11</t>
  </si>
  <si>
    <t xml:space="preserve">20.11. Homila o‘sishining cheklanishi (FGR) va makrosomiya.</t>
  </si>
  <si>
    <t xml:space="preserve">05.20.12</t>
  </si>
  <si>
    <t xml:space="preserve">20.12. Homila anomaliyalarini aniqlash va yo‘naltirish.</t>
  </si>
  <si>
    <t xml:space="preserve">05.21.01</t>
  </si>
  <si>
    <t xml:space="preserve">21-bob. Akusherlik Doppleri va maxsus tekshiruvlar</t>
  </si>
  <si>
    <t xml:space="preserve">21.1. Bachadon arteriyalari Doppleri.</t>
  </si>
  <si>
    <t xml:space="preserve">05.21.02</t>
  </si>
  <si>
    <t xml:space="preserve">21.2. Kindik arteriyasi Doppleri.</t>
  </si>
  <si>
    <t xml:space="preserve">05.21.03</t>
  </si>
  <si>
    <t xml:space="preserve">21.3. O‘rta miya arteriyasi (MCA) va klinik ko‘rsatmalar.</t>
  </si>
  <si>
    <t xml:space="preserve">05.21.04</t>
  </si>
  <si>
    <t xml:space="preserve">21.4. Serebroplatsentar nisbat va gemodinamik baholash.</t>
  </si>
  <si>
    <t xml:space="preserve">05.21.05</t>
  </si>
  <si>
    <t xml:space="preserve">21.5. FGR va preeklampsiya xavfini baholashda Doppler.</t>
  </si>
  <si>
    <t xml:space="preserve">05.21.06</t>
  </si>
  <si>
    <t xml:space="preserve">21.6. Biofizik profil va amniotik suyuqlikni baholash.</t>
  </si>
  <si>
    <t xml:space="preserve">05.21.07</t>
  </si>
  <si>
    <t xml:space="preserve">21.7. Egizak homiladorlik asoratlari.</t>
  </si>
  <si>
    <t xml:space="preserve">05.21.08</t>
  </si>
  <si>
    <t xml:space="preserve">21.8. Homila exokardiyografiyasiga kirish.</t>
  </si>
  <si>
    <t xml:space="preserve">05.21.09</t>
  </si>
  <si>
    <t xml:space="preserve">21.9. 3D/4D akusherlik tekshiruvi va uning cheklovlari.</t>
  </si>
  <si>
    <t xml:space="preserve">06.22.01</t>
  </si>
  <si>
    <t xml:space="preserve">VI. QALQONSIMON BEZ, SUT BEZI VA YUZAKI TUZILMALAR</t>
  </si>
  <si>
    <t xml:space="preserve">22-bob. Qalqonsimon va paratiroid bezlar</t>
  </si>
  <si>
    <t xml:space="preserve">22.1. Normal anatomiya va o‘lchash.</t>
  </si>
  <si>
    <t xml:space="preserve">06.22.02</t>
  </si>
  <si>
    <t xml:space="preserve">22.2. Diffuz buqoq va tireoidit.</t>
  </si>
  <si>
    <t xml:space="preserve">06.22.03</t>
  </si>
  <si>
    <t xml:space="preserve">22.3. Tugunlarning sonografik xususiyatlari.</t>
  </si>
  <si>
    <t xml:space="preserve">06.22.04</t>
  </si>
  <si>
    <t xml:space="preserve">22.4. ACR TI-RADS: tavsif, ball va toifalar.</t>
  </si>
  <si>
    <t xml:space="preserve">06.22.05</t>
  </si>
  <si>
    <t xml:space="preserve">22.5. Shubhali limfa tugunlari va bo‘yin limfa tugunlari.</t>
  </si>
  <si>
    <t xml:space="preserve">06.22.06</t>
  </si>
  <si>
    <t xml:space="preserve">22.6. Paratiroid bezlarini ko‘rish va cheklovlar.</t>
  </si>
  <si>
    <t xml:space="preserve">06.22.07</t>
  </si>
  <si>
    <t xml:space="preserve">22.7. UZI nazoratida biopsiyaga nazariy kirish.</t>
  </si>
  <si>
    <t xml:space="preserve">06.23.01</t>
  </si>
  <si>
    <t xml:space="preserve">23-bob. Sut bezi</t>
  </si>
  <si>
    <t xml:space="preserve">23.1. Normal anatomiya va yoshga bog‘liq o‘zgarishlar.</t>
  </si>
  <si>
    <t xml:space="preserve">06.23.02</t>
  </si>
  <si>
    <t xml:space="preserve">23.2. Tekshiruv texnikasi va standart tekisliklar.</t>
  </si>
  <si>
    <t xml:space="preserve">06.23.03</t>
  </si>
  <si>
    <t xml:space="preserve">23.3. Oddiy kista, fibroadenoma va benign hosilalar.</t>
  </si>
  <si>
    <t xml:space="preserve">06.23.04</t>
  </si>
  <si>
    <t xml:space="preserve">23.4. Malign o‘smalarning sonografik belgilari.</t>
  </si>
  <si>
    <t xml:space="preserve">06.23.05</t>
  </si>
  <si>
    <t xml:space="preserve">23.5. BI-RADS US tavsiflash va xulosa.</t>
  </si>
  <si>
    <t xml:space="preserve">06.23.06</t>
  </si>
  <si>
    <t xml:space="preserve">23.6. Sut bezi yallig‘lanishi va abssess.</t>
  </si>
  <si>
    <t xml:space="preserve">06.23.07</t>
  </si>
  <si>
    <t xml:space="preserve">23.7. Sut bezi va qo‘ltiq osti limfa tugunlari.</t>
  </si>
  <si>
    <t xml:space="preserve">06.23.08</t>
  </si>
  <si>
    <t xml:space="preserve">23.8. Implantlar va maxsus klinik vaziyatlar.</t>
  </si>
  <si>
    <t xml:space="preserve">06.24.01</t>
  </si>
  <si>
    <t xml:space="preserve">24-bob. Boshqa yuzaki tuzilmalar</t>
  </si>
  <si>
    <t xml:space="preserve">24.1. So‘lak bezlari va sialolitiaz.</t>
  </si>
  <si>
    <t xml:space="preserve">06.24.02</t>
  </si>
  <si>
    <t xml:space="preserve">24.2. Yuzaki va periferik limfa tugunlari.</t>
  </si>
  <si>
    <t xml:space="preserve">06.24.03</t>
  </si>
  <si>
    <t xml:space="preserve">24.3. Teri osti va yumshoq to‘qima hosilalari.</t>
  </si>
  <si>
    <t xml:space="preserve">06.24.04</t>
  </si>
  <si>
    <t xml:space="preserve">24.4. Ko‘z va retrobulbar sohaning maxsus tekshiruvlariga kirish.</t>
  </si>
  <si>
    <t xml:space="preserve">06.24.05</t>
  </si>
  <si>
    <t xml:space="preserve">24.5. Yuzaki tomirlar va fistulalar.</t>
  </si>
  <si>
    <t xml:space="preserve">07.25.01</t>
  </si>
  <si>
    <t xml:space="preserve">VII. QON TOMIRLAR VA GEMODINAMIKA</t>
  </si>
  <si>
    <t xml:space="preserve">25-bob. Arterial va venoz Doppler</t>
  </si>
  <si>
    <t xml:space="preserve">25.1. Qon tomirlarning normal sonografik anatomiyasi.</t>
  </si>
  <si>
    <t xml:space="preserve">07.25.02</t>
  </si>
  <si>
    <t xml:space="preserve">25.2. Karotid va vertebral arteriyalar.</t>
  </si>
  <si>
    <t xml:space="preserve">07.25.03</t>
  </si>
  <si>
    <t xml:space="preserve">25.3. Aterosklerotik blyashkalar, stenoz va okklyuziya.</t>
  </si>
  <si>
    <t xml:space="preserve">07.25.04</t>
  </si>
  <si>
    <t xml:space="preserve">25.4. Yuqori va pastki ekstremita arteriyalari.</t>
  </si>
  <si>
    <t xml:space="preserve">07.25.05</t>
  </si>
  <si>
    <t xml:space="preserve">25.5. Chuqur vena trombozi: kompressiya va Doppler.</t>
  </si>
  <si>
    <t xml:space="preserve">07.25.06</t>
  </si>
  <si>
    <t xml:space="preserve">25.6. Yuzaki venalar va varikoz.</t>
  </si>
  <si>
    <t xml:space="preserve">07.25.07</t>
  </si>
  <si>
    <t xml:space="preserve">25.7. Qorin aortasi va pastki kava vena.</t>
  </si>
  <si>
    <t xml:space="preserve">07.25.08</t>
  </si>
  <si>
    <t xml:space="preserve">25.8. Gemodializ arteriovenoz kirish yo‘llari.</t>
  </si>
  <si>
    <t xml:space="preserve">07.25.09</t>
  </si>
  <si>
    <t xml:space="preserve">25.9. Transplantat tomirlari.</t>
  </si>
  <si>
    <t xml:space="preserve">07.25.10</t>
  </si>
  <si>
    <t xml:space="preserve">25.10. Transkranial Doppler (TCD): asoslar, imkoniyatlar va cheklovlar.</t>
  </si>
  <si>
    <t xml:space="preserve">08.26.01</t>
  </si>
  <si>
    <t xml:space="preserve">VIII. ECHOKARDIOGRAFIYA</t>
  </si>
  <si>
    <t xml:space="preserve">26-bob. Yurak UZI asoslari</t>
  </si>
  <si>
    <t xml:space="preserve">26.1. Yurak anatomiyasi va standart akustik oynalar.</t>
  </si>
  <si>
    <t xml:space="preserve">08.26.02</t>
  </si>
  <si>
    <t xml:space="preserve">26.2. Parasternal, apikal, subkostal va suprasternal kesimlar.</t>
  </si>
  <si>
    <t xml:space="preserve">08.26.03</t>
  </si>
  <si>
    <t xml:space="preserve">26.3. M-rejim va 2D tasvir.</t>
  </si>
  <si>
    <t xml:space="preserve">08.26.04</t>
  </si>
  <si>
    <t xml:space="preserve">26.4. Pulsli, uzluksiz, rangli va to‘qima Doppleri.</t>
  </si>
  <si>
    <t xml:space="preserve">08.26.05</t>
  </si>
  <si>
    <t xml:space="preserve">26.5. Yurak kameralari va devor qalinligi.</t>
  </si>
  <si>
    <t xml:space="preserve">08.26.06</t>
  </si>
  <si>
    <t xml:space="preserve">26.6. Chap qorincha sistolik funksiyasi va EF.</t>
  </si>
  <si>
    <t xml:space="preserve">08.26.07</t>
  </si>
  <si>
    <t xml:space="preserve">26.7. Diastolik funksiya va tegishli ko‘rsatkichlar.</t>
  </si>
  <si>
    <t xml:space="preserve">08.26.08</t>
  </si>
  <si>
    <t xml:space="preserve">26.8. Klapanlar: stenoz va regurgitatsiya.</t>
  </si>
  <si>
    <t xml:space="preserve">08.26.09</t>
  </si>
  <si>
    <t xml:space="preserve">26.9. Kardiomiopatiyalar va yurak yetishmovchiligi.</t>
  </si>
  <si>
    <t xml:space="preserve">08.26.10</t>
  </si>
  <si>
    <t xml:space="preserve">26.10. Perikardial suyuqlik va tamponada.</t>
  </si>
  <si>
    <t xml:space="preserve">08.26.11</t>
  </si>
  <si>
    <t xml:space="preserve">26.11. O‘pka gipertenziyasi va o‘ng yurakni baholash.</t>
  </si>
  <si>
    <t xml:space="preserve">08.26.12</t>
  </si>
  <si>
    <t xml:space="preserve">26.12. Tug‘ma yurak nuqsonlariga kirish.</t>
  </si>
  <si>
    <t xml:space="preserve">08.26.13</t>
  </si>
  <si>
    <t xml:space="preserve">26.13. EchoKG hisobotini standartlashtirish va texnik cheklovlar.</t>
  </si>
  <si>
    <t xml:space="preserve">09.27.01</t>
  </si>
  <si>
    <t xml:space="preserve">IX. PEDIATRIK ULTRATOVUSH</t>
  </si>
  <si>
    <t xml:space="preserve">27-bob. Bolalar va neonatologiyada UZI</t>
  </si>
  <si>
    <t xml:space="preserve">27.1. Yoshga mos datchik va sozlamalar.</t>
  </si>
  <si>
    <t xml:space="preserve">09.27.02</t>
  </si>
  <si>
    <t xml:space="preserve">27.2. Yangi tug‘ilgan chaqaloq bosh miyasi — neyrosonografiya.</t>
  </si>
  <si>
    <t xml:space="preserve">Taklif: neyrosonografiyani alohida bobga kengaytirish (siz bu tekshiruvni amalda qilasiz)</t>
  </si>
  <si>
    <t xml:space="preserve">09.27.03</t>
  </si>
  <si>
    <t xml:space="preserve">27.3. Qorin bo‘shlig‘i a’zolari.</t>
  </si>
  <si>
    <t xml:space="preserve">09.27.04</t>
  </si>
  <si>
    <t xml:space="preserve">27.4. Buyrak va siydik yo‘llari.</t>
  </si>
  <si>
    <t xml:space="preserve">09.27.05</t>
  </si>
  <si>
    <t xml:space="preserve">27.5. Pilorostenoz va invaginatsiya.</t>
  </si>
  <si>
    <t xml:space="preserve">09.27.06</t>
  </si>
  <si>
    <t xml:space="preserve">27.6. Ichak yallig‘lanishlari va nekrotik enterokolitga shubha.</t>
  </si>
  <si>
    <t xml:space="preserve">09.27.07</t>
  </si>
  <si>
    <t xml:space="preserve">27.7. Chaqaloqlarda son bo‘g‘imi UZI.</t>
  </si>
  <si>
    <t xml:space="preserve">09.27.08</t>
  </si>
  <si>
    <t xml:space="preserve">27.8. Bolalarda mushak-skelet tizimi.</t>
  </si>
  <si>
    <t xml:space="preserve">09.27.09</t>
  </si>
  <si>
    <t xml:space="preserve">27.9. Bolalar yuragi va tomirlari.</t>
  </si>
  <si>
    <t xml:space="preserve">08.26.12 bilan qisman takror (bolalar yuragi)</t>
  </si>
  <si>
    <t xml:space="preserve">09.27.10</t>
  </si>
  <si>
    <t xml:space="preserve">27.10. Yoshga bog‘liq normal o‘lchamlar va pediatrik xavfsizlik.</t>
  </si>
  <si>
    <t xml:space="preserve">10.28.01</t>
  </si>
  <si>
    <t xml:space="preserve">X. MUSKUL-SKELET VA YUMSHOQ TO‘QIMALAR</t>
  </si>
  <si>
    <t xml:space="preserve">28-bob. Mushak-skelet ultratovushi</t>
  </si>
  <si>
    <t xml:space="preserve">28.1. Mushak, pay, boylam va fassiyalarning sonografik anatomiyasi.</t>
  </si>
  <si>
    <t xml:space="preserve">10.28.02</t>
  </si>
  <si>
    <t xml:space="preserve">28.2. Yelka bo‘g‘imi va rotator manjeta.</t>
  </si>
  <si>
    <t xml:space="preserve">10.28.03</t>
  </si>
  <si>
    <t xml:space="preserve">28.3. Tirsak, bilak va qo‘l panjasi.</t>
  </si>
  <si>
    <t xml:space="preserve">10.28.04</t>
  </si>
  <si>
    <t xml:space="preserve">28.4. Tizza, son va oyoq panjasi.</t>
  </si>
  <si>
    <t xml:space="preserve">10.28.05</t>
  </si>
  <si>
    <t xml:space="preserve">28.5. Tendinopatiya va pay yirtilishlari.</t>
  </si>
  <si>
    <t xml:space="preserve">10.28.06</t>
  </si>
  <si>
    <t xml:space="preserve">28.6. Mushak yirtilishi, gematoma va miozit.</t>
  </si>
  <si>
    <t xml:space="preserve">10.28.07</t>
  </si>
  <si>
    <t xml:space="preserve">28.7. Artrit, sinovit va bo‘g‘im suyuqligi.</t>
  </si>
  <si>
    <t xml:space="preserve">10.28.08</t>
  </si>
  <si>
    <t xml:space="preserve">28.8. Periferik nervlar va tunnel sindromlari.</t>
  </si>
  <si>
    <t xml:space="preserve">10.28.09</t>
  </si>
  <si>
    <t xml:space="preserve">28.9. Churralar va yumshoq to‘qima hosilalari.</t>
  </si>
  <si>
    <t xml:space="preserve">10.28.10</t>
  </si>
  <si>
    <t xml:space="preserve">28.10. Mushak-skelet elastografiyasi: imkoniyatlar va cheklovlar.</t>
  </si>
  <si>
    <t xml:space="preserve">11.29.01</t>
  </si>
  <si>
    <t xml:space="preserve">XI. SHOSHILINCH UZI VA POCUS</t>
  </si>
  <si>
    <t xml:space="preserve">29-bob. Shoshilinch va intensiv terapiya ultratovushi</t>
  </si>
  <si>
    <t xml:space="preserve">29.1. POCUS va klinik savolga yo‘naltirilgan tekshiruv.</t>
  </si>
  <si>
    <t xml:space="preserve">11.29.02</t>
  </si>
  <si>
    <t xml:space="preserve">29.2. FAST va E-FAST.</t>
  </si>
  <si>
    <t xml:space="preserve">11.29.03</t>
  </si>
  <si>
    <t xml:space="preserve">29.3. O‘pka UZI: A-chiziqlar, B-chiziqlar, plevra va pnevmotoraks belgilari.</t>
  </si>
  <si>
    <t xml:space="preserve">11.29.04</t>
  </si>
  <si>
    <t xml:space="preserve">29.4. Plevral suyuqlik va konsolidatsiya.</t>
  </si>
  <si>
    <t xml:space="preserve">11.29.05</t>
  </si>
  <si>
    <t xml:space="preserve">29.5. Shok holatida yurak va vena tizimini baholash.</t>
  </si>
  <si>
    <t xml:space="preserve">11.29.06</t>
  </si>
  <si>
    <t xml:space="preserve">29.6. Yurak tamponadasi va o‘tkir o‘ng qorincha zo‘riqishiga shubha.</t>
  </si>
  <si>
    <t xml:space="preserve">11.29.07</t>
  </si>
  <si>
    <t xml:space="preserve">29.7. Chuqur vena trombozini tezkor baholash.</t>
  </si>
  <si>
    <t xml:space="preserve">11.29.08</t>
  </si>
  <si>
    <t xml:space="preserve">29.8. Shoshilinch qorin patologiyalari.</t>
  </si>
  <si>
    <t xml:space="preserve">11.29.09</t>
  </si>
  <si>
    <t xml:space="preserve">29.9. POCUS protokollarining cheklovlari va keyingi diagnostika.</t>
  </si>
  <si>
    <t xml:space="preserve">12.30.01</t>
  </si>
  <si>
    <t xml:space="preserve">XII. ELASTOGRAFIYA, INTERVENSION UZI VA INNOVATSIYALAR</t>
  </si>
  <si>
    <t xml:space="preserve">30-bob. Elastografiya</t>
  </si>
  <si>
    <t xml:space="preserve">30.1. Elastografiyaning fizik asoslari.</t>
  </si>
  <si>
    <t xml:space="preserve">12.30.02</t>
  </si>
  <si>
    <t xml:space="preserve">30.2. Strain elastografiya.</t>
  </si>
  <si>
    <t xml:space="preserve">12.30.03</t>
  </si>
  <si>
    <t xml:space="preserve">30.3. Shear-wave elastografiya.</t>
  </si>
  <si>
    <t xml:space="preserve">12.30.04</t>
  </si>
  <si>
    <t xml:space="preserve">30.4. Jigarda tekshiruvga tayyorgarlik va o‘lchash texnikasi.</t>
  </si>
  <si>
    <t xml:space="preserve">03.10.07 bilan qisman takror (jigar elastografiyasi texnikasi)</t>
  </si>
  <si>
    <t xml:space="preserve">12.30.05</t>
  </si>
  <si>
    <t xml:space="preserve">30.5. O‘lchov ishonchliligi, sifat mezonlari va xatolar.</t>
  </si>
  <si>
    <t xml:space="preserve">12.30.06</t>
  </si>
  <si>
    <t xml:space="preserve">30.6. Jigar fibrozi va klinik shkalalar bilan bog‘liqlik.</t>
  </si>
  <si>
    <t xml:space="preserve">03.10.07 bilan qisman takror (fibroz va shkalalar)</t>
  </si>
  <si>
    <t xml:space="preserve">12.30.07</t>
  </si>
  <si>
    <t xml:space="preserve">30.7. Turli apparatlar natijalarini taqqoslash cheklovlari.</t>
  </si>
  <si>
    <t xml:space="preserve">12.30.08</t>
  </si>
  <si>
    <t xml:space="preserve">30.8. Elastografiyaning boshqa a’zolardagi qo‘llanilishi.</t>
  </si>
  <si>
    <t xml:space="preserve">12.31.01</t>
  </si>
  <si>
    <t xml:space="preserve">31-bob. Kontrastli UZI va ilg‘or texnologiyalar</t>
  </si>
  <si>
    <t xml:space="preserve">31.1. CEUS fizikasi va mikro-pufakchali kontrast moddalar.</t>
  </si>
  <si>
    <t xml:space="preserve">12.31.02</t>
  </si>
  <si>
    <t xml:space="preserve">31.2. Kontrastli jigar UZI va fokal hosilalarni baholash.</t>
  </si>
  <si>
    <t xml:space="preserve">12.31.03</t>
  </si>
  <si>
    <t xml:space="preserve">31.3. Boshqa a’zolarda CEUS: dalillar, ko‘rsatmalar va cheklovlar.</t>
  </si>
  <si>
    <t xml:space="preserve">12.31.04</t>
  </si>
  <si>
    <t xml:space="preserve">31.4. 3D/4D tasvirlash va avtomatlashtirilgan o‘lchovlar.</t>
  </si>
  <si>
    <t xml:space="preserve">12.31.05</t>
  </si>
  <si>
    <t xml:space="preserve">31.5. Sun’iy intellekt va kompyuter yordamidagi diagnostika.</t>
  </si>
  <si>
    <t xml:space="preserve">12.31.06</t>
  </si>
  <si>
    <t xml:space="preserve">31.6. Portativ UZI va qo‘l qurilmalari.</t>
  </si>
  <si>
    <t xml:space="preserve">12.31.07</t>
  </si>
  <si>
    <t xml:space="preserve">31.7. EUS va intraoperatsion ultratovushga kirish.</t>
  </si>
  <si>
    <t xml:space="preserve">12.32.01</t>
  </si>
  <si>
    <t xml:space="preserve">32-bob. Intervension ultratovush</t>
  </si>
  <si>
    <t xml:space="preserve">32.1. Intervension UZI ko‘rsatmalari va xavfsizlik.</t>
  </si>
  <si>
    <t xml:space="preserve">12.32.02</t>
  </si>
  <si>
    <t xml:space="preserve">32.2. UZI nazoratida ignani ko‘rish: in-plane va out-of-plane.</t>
  </si>
  <si>
    <t xml:space="preserve">12.32.03</t>
  </si>
  <si>
    <t xml:space="preserve">32.3. Ingichka ignali aspiratsiya va core-biopsiya.</t>
  </si>
  <si>
    <t xml:space="preserve">06.22.07 bilan qisman takror (biopsiya)</t>
  </si>
  <si>
    <t xml:space="preserve">12.32.04</t>
  </si>
  <si>
    <t xml:space="preserve">32.4. Suyuqlik aspiratsiyasi va drenaj.</t>
  </si>
  <si>
    <t xml:space="preserve">12.32.05</t>
  </si>
  <si>
    <t xml:space="preserve">32.5. Biopsiyadan keyingi kuzatuv va asoratlar.</t>
  </si>
  <si>
    <t xml:space="preserve">12.32.06</t>
  </si>
  <si>
    <t xml:space="preserve">32.6. Nerv blokadalari va bo‘g‘im inyeksiyalariga kirish.</t>
  </si>
  <si>
    <t xml:space="preserve">12.32.07</t>
  </si>
  <si>
    <t xml:space="preserve">32.7. Malaka, rozilik, mahalliy tartib va maxsus ruxsat talablari.</t>
  </si>
  <si>
    <t xml:space="preserve">13.33.01</t>
  </si>
  <si>
    <t xml:space="preserve">XIII. SIFAT, RAQAMLI ISH JARAYONI VA KASBIY RIVOJLANISH</t>
  </si>
  <si>
    <t xml:space="preserve">33-bob. Sifat nazorati va kasbiy rivojlanish</t>
  </si>
  <si>
    <t xml:space="preserve">33.1. Standart protokollar va tekshiruvning to‘liqligi.</t>
  </si>
  <si>
    <t xml:space="preserve">01.03.06 va 02.08.04 bilan qisman takror (protokol va sifat)</t>
  </si>
  <si>
    <t xml:space="preserve">13.33.02</t>
  </si>
  <si>
    <t xml:space="preserve">33.2. Normal qiymatlar va ularning yosh, jins hamda klinik holatga bog‘liqligi.</t>
  </si>
  <si>
    <t xml:space="preserve">13.33.03</t>
  </si>
  <si>
    <t xml:space="preserve">33.3. Diagnostik xatolar, tuzoqlar va klinik holatlarni tahlil qilish.</t>
  </si>
  <si>
    <t xml:space="preserve">13.33.04</t>
  </si>
  <si>
    <t xml:space="preserve">33.4. PACS, DICOM, tasvirlarni arxivlash va teleradiologiya.</t>
  </si>
  <si>
    <t xml:space="preserve">13.33.05</t>
  </si>
  <si>
    <t xml:space="preserve">33.5. Hisobot yozish, kodlash va tibbiy hujjatlashtirish.</t>
  </si>
  <si>
    <t xml:space="preserve">13.33.06</t>
  </si>
  <si>
    <t xml:space="preserve">33.6. Sifat auditi va tekshiruv natijalarini kuzatish.</t>
  </si>
  <si>
    <t xml:space="preserve">13.33.07</t>
  </si>
  <si>
    <t xml:space="preserve">33.7. Dalillarga asoslangan tibbiyot va klinik tavsiyalarni tekshirish.</t>
  </si>
  <si>
    <t xml:space="preserve">13.33.08</t>
  </si>
  <si>
    <t xml:space="preserve">33.8. Malaka oshirish, kompetensiya va mahalliy me’yoriy talablar.</t>
  </si>
  <si>
    <t xml:space="preserve">Videolar</t>
  </si>
  <si>
    <t xml:space="preserve">Inglizcha qidiruv kalit so‘zlari</t>
  </si>
  <si>
    <t xml:space="preserve">Oxirgi qidiruv</t>
  </si>
  <si>
    <t xml:space="preserve">Qisman — qo‘shimcha qidiruv kerak</t>
  </si>
  <si>
    <t xml:space="preserve">echogenicity acoustic interface image formation ultrasound physics</t>
  </si>
  <si>
    <t xml:space="preserve">choosing ultrasound transducer frequency; probe selection linear curvilinear phased array</t>
  </si>
  <si>
    <t xml:space="preserve">spatial compound imaging ultrasound; panoramic extended field of view ultrasound; speckle reduction</t>
  </si>
  <si>
    <t xml:space="preserve">transducer reprocessing high level disinfection endocavity probe guideline</t>
  </si>
  <si>
    <t xml:space="preserve">ultrasound cine loop zoom measurement calipers image storage</t>
  </si>
  <si>
    <t xml:space="preserve">mirror image artifact ultrasound; refraction artifact; edge shadowing</t>
  </si>
  <si>
    <t xml:space="preserve">side lobe artifact; slice thickness artifact; anisotropy tendon ultrasound</t>
  </si>
  <si>
    <t xml:space="preserve">Doppler angle correction 60 degrees; insonation angle velocity error</t>
  </si>
  <si>
    <t xml:space="preserve">ultrasound safety pregnancy ALARA obstetric thermal index; neonatal ultrasound safety</t>
  </si>
  <si>
    <t xml:space="preserve">contrast enhanced ultrasound safety microbubble contraindications</t>
  </si>
  <si>
    <t xml:space="preserve">Qayta qidirish kerak</t>
  </si>
  <si>
    <t xml:space="preserve">limited ultrasound exam documentation; suboptimal visualization report</t>
  </si>
  <si>
    <t xml:space="preserve">longitudinal transverse oblique ultrasound planes; sagittal coronal scanning planes</t>
  </si>
  <si>
    <t xml:space="preserve">ultrasound measurement reproducibility interobserver; caliper placement errors</t>
  </si>
  <si>
    <t xml:space="preserve">normal versus abnormal ultrasound images approach</t>
  </si>
  <si>
    <t xml:space="preserve">pancreas ultrasound anatomy landmarks splenic vein; how to see pancreas</t>
  </si>
  <si>
    <t xml:space="preserve">pancreatic pseudocyst ultrasound; walled-off necrosis; pancreatic cystic lesions</t>
  </si>
  <si>
    <t xml:space="preserve">nephrolithiasis ultrasound twinkling artifact; hydronephrosis grading</t>
  </si>
  <si>
    <t xml:space="preserve">gastrointestinal ultrasound limitations; bowel ultrasound indications</t>
  </si>
  <si>
    <t xml:space="preserve">Topildi</t>
  </si>
  <si>
    <t xml:space="preserve">normal uterus ovaries ultrasound anatomy</t>
  </si>
  <si>
    <t xml:space="preserve">transvaginal ultrasound technique; transabdominal pelvic ultrasound protocol</t>
  </si>
  <si>
    <t xml:space="preserve">endometrium menstrual cycle ultrasound; corpus luteum; follicle monitoring</t>
  </si>
  <si>
    <t xml:space="preserve">uterine fibroids ultrasound FIGO; adenomyosis MUSA; endometrial polyp</t>
  </si>
  <si>
    <t xml:space="preserve">adnexal mass ultrasound; ovarian cyst types; endometrioma; adnexal torsion</t>
  </si>
  <si>
    <t xml:space="preserve">O-RADS US; IOTA simple rules; ADNEX model</t>
  </si>
  <si>
    <t xml:space="preserve">endometriosis ultrasound IDEA; hydrosalpinx; tubo-ovarian abscess; pelvic inflammatory disease</t>
  </si>
  <si>
    <t xml:space="preserve">pelvic free fluid ultrasound; ectopic pregnancy ultrasound signs</t>
  </si>
  <si>
    <t xml:space="preserve">IUD position ultrasound; malpositioned IUD 3D</t>
  </si>
  <si>
    <t xml:space="preserve">pediatric gynecology ultrasound; ovarian masses children; pediatric ovarian torsion</t>
  </si>
  <si>
    <t xml:space="preserve">scrotal ultrasound anatomy testis epididymis</t>
  </si>
  <si>
    <t xml:space="preserve">testicular torsion ultrasound Doppler whirlpool sign</t>
  </si>
  <si>
    <t xml:space="preserve">epididymitis orchitis ultrasound; scrotal abscess</t>
  </si>
  <si>
    <t xml:space="preserve">varicocele ultrasound Valsalva grading; hydrocele ultrasound</t>
  </si>
  <si>
    <t xml:space="preserve">testicular mass ultrasound; intratesticular vs extratesticular lesions; seminoma ultrasound</t>
  </si>
  <si>
    <t xml:space="preserve">scrotal trauma ultrasound; testicular rupture; hematocele</t>
  </si>
  <si>
    <t xml:space="preserve">prostate ultrasound transabdominal transrectal anatomy</t>
  </si>
  <si>
    <t xml:space="preserve">BPH prostate volume ultrasound; prostatitis abscess; prostate cancer TRUS</t>
  </si>
  <si>
    <t xml:space="preserve">penile Doppler ultrasound erectile dysfunction; Peyronie disease ultrasound</t>
  </si>
  <si>
    <t xml:space="preserve">intrauterine pregnancy ultrasound confirmation; double decidual sac sign</t>
  </si>
  <si>
    <t xml:space="preserve">gestational sac yolk sac embryo early pregnancy ultrasound</t>
  </si>
  <si>
    <t xml:space="preserve">crown rump length measurement dating ultrasound</t>
  </si>
  <si>
    <t xml:space="preserve">embryonic cardiac activity first trimester ultrasound</t>
  </si>
  <si>
    <t xml:space="preserve">early pregnancy failure criteria ultrasound SRU; miscarriage ultrasound</t>
  </si>
  <si>
    <t xml:space="preserve">ectopic pregnancy ultrasound; pregnancy of unknown location</t>
  </si>
  <si>
    <t xml:space="preserve">molar pregnancy ultrasound; gestational trophoblastic disease</t>
  </si>
  <si>
    <t xml:space="preserve">11-14 week scan ISUOG guideline; first trimester ultrasound protocol</t>
  </si>
  <si>
    <t xml:space="preserve">nuchal translucency measurement FMF; CRL NT technique</t>
  </si>
  <si>
    <t xml:space="preserve">nasal bone 11-13 weeks; ductus venosus Doppler; tricuspid regurgitation first trimester</t>
  </si>
  <si>
    <t xml:space="preserve">first trimester anomaly scan; aneuploidy markers ultrasound</t>
  </si>
  <si>
    <t xml:space="preserve">limitations of first trimester screening ultrasound; detection rates; false positives</t>
  </si>
  <si>
    <t xml:space="preserve">second trimester anomaly scan ISUOG; mid-trimester fetal anatomy</t>
  </si>
  <si>
    <t xml:space="preserve">fetal biometry BPD HC AC FL measurement</t>
  </si>
  <si>
    <t xml:space="preserve">estimated fetal weight Hadlock; fetal growth assessment</t>
  </si>
  <si>
    <t xml:space="preserve">fetal brain spine face ultrasound; posterior fossa; cisterna magna</t>
  </si>
  <si>
    <t xml:space="preserve">fetal heart four chamber outflow tracts; ISUOG fetal heart screening</t>
  </si>
  <si>
    <t xml:space="preserve">fetal kidneys bladder abdomen ultrasound; fetal pyelectasis</t>
  </si>
  <si>
    <t xml:space="preserve">fetal skeleton limbs ultrasound; skeletal dysplasia ultrasound</t>
  </si>
  <si>
    <t xml:space="preserve">placenta umbilical cord amniotic fluid ultrasound; placenta previa</t>
  </si>
  <si>
    <t xml:space="preserve">cervical length transvaginal measurement preterm birth</t>
  </si>
  <si>
    <t xml:space="preserve">twin pregnancy chorionicity lambda T sign</t>
  </si>
  <si>
    <t xml:space="preserve">fetal growth restriction ISUOG; macrosomia ultrasound</t>
  </si>
  <si>
    <t xml:space="preserve">fetal anomalies ultrasound referral; prenatal diagnosis</t>
  </si>
  <si>
    <t xml:space="preserve">uterine artery Doppler technique preeclampsia</t>
  </si>
  <si>
    <t xml:space="preserve">umbilical artery Doppler absent reversed end diastolic flow</t>
  </si>
  <si>
    <t xml:space="preserve">middle cerebral artery Doppler PSV fetal anemia</t>
  </si>
  <si>
    <t xml:space="preserve">cerebroplacental ratio; brain sparing Doppler</t>
  </si>
  <si>
    <t xml:space="preserve">Doppler fetal growth restriction preeclampsia; obstetric Doppler</t>
  </si>
  <si>
    <t xml:space="preserve">biophysical profile; amniotic fluid index deepest vertical pocket</t>
  </si>
  <si>
    <t xml:space="preserve">monochorionic twin complications TTTS TAPS sFGR</t>
  </si>
  <si>
    <t xml:space="preserve">fetal echocardiography introduction</t>
  </si>
  <si>
    <t xml:space="preserve">3D 4D obstetric ultrasound volume; limitations</t>
  </si>
  <si>
    <t xml:space="preserve">thyroid ultrasound normal anatomy volume measurement</t>
  </si>
  <si>
    <t xml:space="preserve">diffuse thyroid disease ultrasound; Hashimoto; Graves; thyroiditis</t>
  </si>
  <si>
    <t xml:space="preserve">thyroid nodule ultrasound features composition echogenicity</t>
  </si>
  <si>
    <t xml:space="preserve">ACR TI-RADS scoring lecture</t>
  </si>
  <si>
    <t xml:space="preserve">cervical lymph nodes ultrasound malignant features; neck levels</t>
  </si>
  <si>
    <t xml:space="preserve">parathyroid adenoma ultrasound</t>
  </si>
  <si>
    <t xml:space="preserve">ultrasound guided thyroid FNA technique</t>
  </si>
  <si>
    <t xml:space="preserve">breast ultrasound normal anatomy</t>
  </si>
  <si>
    <t xml:space="preserve">breast ultrasound scanning technique radial antiradial clock face</t>
  </si>
  <si>
    <t xml:space="preserve">breast cyst fibroadenoma ultrasound benign</t>
  </si>
  <si>
    <t xml:space="preserve">breast cancer ultrasound features malignant mass</t>
  </si>
  <si>
    <t xml:space="preserve">BI-RADS ultrasound lexicon assessment categories</t>
  </si>
  <si>
    <t xml:space="preserve">mastitis breast abscess ultrasound</t>
  </si>
  <si>
    <t xml:space="preserve">axillary lymph node ultrasound breast cancer</t>
  </si>
  <si>
    <t xml:space="preserve">breast implant ultrasound rupture; male breast gynecomastia ultrasound</t>
  </si>
  <si>
    <t xml:space="preserve">salivary gland ultrasound parotid submandibular; sialolithiasis; pleomorphic adenoma</t>
  </si>
  <si>
    <t xml:space="preserve">superficial lymph node ultrasound benign vs malignant</t>
  </si>
  <si>
    <t xml:space="preserve">soft tissue mass ultrasound lipoma epidermoid cyst</t>
  </si>
  <si>
    <t xml:space="preserve">ocular ultrasound retinal detachment vitreous hemorrhage</t>
  </si>
  <si>
    <t xml:space="preserve">superficial vein thrombosis ultrasound; pseudoaneurysm; arteriovenous fistula</t>
  </si>
  <si>
    <t xml:space="preserve">normal arterial venous Doppler waveforms; vascular ultrasound anatomy</t>
  </si>
  <si>
    <t xml:space="preserve">carotid duplex protocol; vertebral artery ultrasound; subclavian steal</t>
  </si>
  <si>
    <t xml:space="preserve">carotid plaque stenosis criteria SRU consensus</t>
  </si>
  <si>
    <t xml:space="preserve">lower extremity arterial duplex; upper extremity arterial ultrasound</t>
  </si>
  <si>
    <t xml:space="preserve">DVT compression ultrasound; lower extremity venous duplex</t>
  </si>
  <si>
    <t xml:space="preserve">venous reflux great saphenous vein varicose mapping</t>
  </si>
  <si>
    <t xml:space="preserve">abdominal aorta ultrasound diameter; IVC ultrasound</t>
  </si>
  <si>
    <t xml:space="preserve">hemodialysis AV fistula ultrasound maturation; AV mapping</t>
  </si>
  <si>
    <t xml:space="preserve">liver transplant Doppler; renal transplant Doppler; transplant vessels</t>
  </si>
  <si>
    <t xml:space="preserve">transcranial Doppler TCD basics</t>
  </si>
  <si>
    <t xml:space="preserve">echocardiography basics acoustic windows</t>
  </si>
  <si>
    <t xml:space="preserve">parasternal apical subcostal suprasternal views echo</t>
  </si>
  <si>
    <t xml:space="preserve">M-mode echocardiography measurements</t>
  </si>
  <si>
    <t xml:space="preserve">pulsed wave continuous wave color tissue Doppler echo</t>
  </si>
  <si>
    <t xml:space="preserve">cardiac chamber quantification ASE; LV wall thickness</t>
  </si>
  <si>
    <t xml:space="preserve">ejection fraction Simpson biplane echo</t>
  </si>
  <si>
    <t xml:space="preserve">diastolic function echo ASE algorithm E/e prime</t>
  </si>
  <si>
    <t xml:space="preserve">valvular stenosis regurgitation echo</t>
  </si>
  <si>
    <t xml:space="preserve">cardiomyopathy echo hypertrophic dilated restrictive</t>
  </si>
  <si>
    <t xml:space="preserve">pericardial effusion tamponade echo</t>
  </si>
  <si>
    <t xml:space="preserve">right ventricle function TAPSE; pulmonary hypertension echo PASP</t>
  </si>
  <si>
    <t xml:space="preserve">congenital heart disease echo ASD VSD PDA</t>
  </si>
  <si>
    <t xml:space="preserve">echocardiography report standardization ASE</t>
  </si>
  <si>
    <t xml:space="preserve">pediatric ultrasound transducer presets</t>
  </si>
  <si>
    <t xml:space="preserve">neonatal head ultrasound neurosonography</t>
  </si>
  <si>
    <t xml:space="preserve">pediatric abdominal ultrasound</t>
  </si>
  <si>
    <t xml:space="preserve">pediatric renal ultrasound hydronephrosis SFU UTD</t>
  </si>
  <si>
    <t xml:space="preserve">pyloric stenosis ultrasound; intussusception ultrasound</t>
  </si>
  <si>
    <t xml:space="preserve">necrotizing enterocolitis bowel ultrasound</t>
  </si>
  <si>
    <t xml:space="preserve">infant hip ultrasound Graf</t>
  </si>
  <si>
    <t xml:space="preserve">pediatric musculoskeletal ultrasound</t>
  </si>
  <si>
    <t xml:space="preserve">pediatric echocardiography introduction</t>
  </si>
  <si>
    <t xml:space="preserve">pediatric normal kidney length liver spleen size ultrasound; pediatric ultrasound safety ALARA</t>
  </si>
  <si>
    <t xml:space="preserve">MSK ultrasound basics tendon ligament muscle sonoanatomy</t>
  </si>
  <si>
    <t xml:space="preserve">elbow wrist hand ultrasound protocol</t>
  </si>
  <si>
    <t xml:space="preserve">muscle tear hematoma ultrasound; myositis ultrasound</t>
  </si>
  <si>
    <t xml:space="preserve">synovitis joint effusion power Doppler ultrasound OMERACT</t>
  </si>
  <si>
    <t xml:space="preserve">inguinal hernia dynamic ultrasound; soft tissue mass lipoma ultrasound</t>
  </si>
  <si>
    <t xml:space="preserve">MSK shear wave elastography tendon muscle</t>
  </si>
  <si>
    <t xml:space="preserve">POCUS introduction focused clinical question</t>
  </si>
  <si>
    <t xml:space="preserve">FAST eFAST trauma ultrasound</t>
  </si>
  <si>
    <t xml:space="preserve">lung ultrasound A-lines B-lines lung sliding pneumothorax BLUE</t>
  </si>
  <si>
    <t xml:space="preserve">pleural effusion consolidation lung ultrasound</t>
  </si>
  <si>
    <t xml:space="preserve">RUSH exam shock IVC POCUS</t>
  </si>
  <si>
    <t xml:space="preserve">cardiac tamponade POCUS; RV strain McConnell</t>
  </si>
  <si>
    <t xml:space="preserve">two point compression DVT POCUS</t>
  </si>
  <si>
    <t xml:space="preserve">POCUS appendicitis bowel obstruction free fluid</t>
  </si>
  <si>
    <t xml:space="preserve">POCUS limitations pitfalls cognitive skills</t>
  </si>
  <si>
    <t xml:space="preserve">elastography physics principles</t>
  </si>
  <si>
    <t xml:space="preserve">strain elastography technique</t>
  </si>
  <si>
    <t xml:space="preserve">shear wave elastography principles</t>
  </si>
  <si>
    <t xml:space="preserve">shear wave elastography quality criteria IQR median</t>
  </si>
  <si>
    <t xml:space="preserve">elastography vendor variability comparability kPa m/s</t>
  </si>
  <si>
    <t xml:space="preserve">breast thyroid elastography clinical</t>
  </si>
  <si>
    <t xml:space="preserve">CEUS physics microbubble contrast</t>
  </si>
  <si>
    <t xml:space="preserve">CEUS focal liver lesions LI-RADS</t>
  </si>
  <si>
    <t xml:space="preserve">CEUS kidney thyroid other organs EFSUMB</t>
  </si>
  <si>
    <t xml:space="preserve">3D 4D ultrasound volume automated measurement</t>
  </si>
  <si>
    <t xml:space="preserve">artificial intelligence ultrasound</t>
  </si>
  <si>
    <t xml:space="preserve">handheld portable ultrasound comparison</t>
  </si>
  <si>
    <t xml:space="preserve">endoscopic ultrasound introduction; intraoperative ultrasound lecture</t>
  </si>
  <si>
    <t xml:space="preserve">interventional ultrasound indications safety coagulation</t>
  </si>
  <si>
    <t xml:space="preserve">in-plane out-of-plane needle guidance ultrasound</t>
  </si>
  <si>
    <t xml:space="preserve">ultrasound guided paracentesis thoracentesis drainage</t>
  </si>
  <si>
    <t xml:space="preserve">post biopsy complications ultrasound follow-up</t>
  </si>
  <si>
    <t xml:space="preserve">ultrasound guided nerve block joint injection basics</t>
  </si>
  <si>
    <t xml:space="preserve">ultrasound procedure credentialing consent competency</t>
  </si>
  <si>
    <t xml:space="preserve">ultrasound normal values age sex</t>
  </si>
  <si>
    <t xml:space="preserve">diagnostic errors radiology ultrasound pitfalls</t>
  </si>
  <si>
    <t xml:space="preserve">ultrasound report writing structured reporting</t>
  </si>
  <si>
    <t xml:space="preserve">evidence based medicine guideline appraisal AGREE</t>
  </si>
  <si>
    <t xml:space="preserve">sonography competency continuing professional development</t>
  </si>
  <si>
    <t xml:space="preserve">Bo‘limlar holati</t>
  </si>
  <si>
    <t xml:space="preserve">Izoh</t>
  </si>
  <si>
    <t xml:space="preserve">Ishlangan, yakunlanmagan</t>
  </si>
  <si>
    <t xml:space="preserve">Qisman mavzular qayta qidiruv navbatida</t>
  </si>
  <si>
    <t xml:space="preserve">Ochiq mavzular qayta qidiruv navbatida</t>
  </si>
  <si>
    <t xml:space="preserve">Ochiq mavzular navbatda; ChatGPT 1-partiyasi qo‘shilgan</t>
  </si>
  <si>
    <t xml:space="preserve">Birinchi qidiruv 2026-10-17; natijalar videolar ko‘rilmaguncha tasdiqlanmagan</t>
  </si>
  <si>
    <t xml:space="preserve">Birinchi qidiruv 2026-10-17; ochiq mavzular navbatda, boshqa tildagi zaxira bor</t>
  </si>
  <si>
    <t xml:space="preserve">Birinchi qidiruv 2026-10-17; sut bezi darslarining ko‘pi yopiq — qayta qidirish kerak</t>
  </si>
  <si>
    <t xml:space="preserve">Birinchi qidiruv 2026-10-17</t>
  </si>
  <si>
    <t xml:space="preserve">Birinchi qidiruv 2026-10-17; invaginatsiya va yoshga xos me’yorlar ochiq</t>
  </si>
  <si>
    <t xml:space="preserve">Birinchi qidiruv 2026-10-17; 28.10 qisman, ispancha zaxira bor</t>
  </si>
  <si>
    <t xml:space="preserve">Birinchi qidiruv 2026-10-17; 9 mavzuning barchasida video bor</t>
  </si>
  <si>
    <t xml:space="preserve">Birinchi qidiruv 2026-10-17; 32.7 ochiq, bir nechta mavzu qisman</t>
  </si>
  <si>
    <t xml:space="preserve">Birinchi qidiruv 2026-10-17; 33.8 ochiq</t>
  </si>
  <si>
    <t xml:space="preserve">YouTube URL</t>
  </si>
  <si>
    <t xml:space="preserve">Sarlavha</t>
  </si>
  <si>
    <t xml:space="preserve">Kanal</t>
  </si>
  <si>
    <t xml:space="preserve">Til</t>
  </si>
  <si>
    <t xml:space="preserve">https://www.youtube.com/watch?v=GgEFNTCF3hE</t>
  </si>
  <si>
    <t xml:space="preserve">Ultrassonografia na avaliação do DIU</t>
  </si>
  <si>
    <t xml:space="preserve">DrPixel - UNICAMP</t>
  </si>
  <si>
    <t xml:space="preserve">Portugal</t>
  </si>
  <si>
    <t xml:space="preserve">Havola tekshirilgan (oEmbed); oxirida to‘ldirish uchun zaxira, subtitr alohida tarjima qilinadi</t>
  </si>
  <si>
    <t xml:space="preserve">https://www.youtube.com/watch?v=oUO9OtDKkIo</t>
  </si>
  <si>
    <t xml:space="preserve">Masas testiculares por ecografía.</t>
  </si>
  <si>
    <t xml:space="preserve">RadioLili - Radiología e Imágenes</t>
  </si>
  <si>
    <t xml:space="preserve">Ispan</t>
  </si>
  <si>
    <t xml:space="preserve">https://www.youtube.com/watch?v=EHNIZ5YyVgw</t>
  </si>
  <si>
    <t xml:space="preserve">[GUIA ISUOG] Ecografía del primer trimestre del embarazo. | PARTE 2 | (AUDIO REMASTERIZADO)</t>
  </si>
  <si>
    <t xml:space="preserve">Pedro VargasMD</t>
  </si>
  <si>
    <t xml:space="preserve">https://www.youtube.com/watch?v=oQkzUPrnVt8</t>
  </si>
  <si>
    <t xml:space="preserve">Il Primo Trimestre: l'ecografia a 11-14 settimane - G. Grisolia</t>
  </si>
  <si>
    <t xml:space="preserve">Medicalchannel</t>
  </si>
  <si>
    <t xml:space="preserve">Italyan</t>
  </si>
  <si>
    <t xml:space="preserve">https://www.youtube.com/watch?v=mS5n2wNjuDs</t>
  </si>
  <si>
    <t xml:space="preserve">SGA und fetale Wachstumsrestriktion – Diagnostik, Überwachung und Geburtsplanung</t>
  </si>
  <si>
    <t xml:space="preserve">Gynther</t>
  </si>
  <si>
    <t xml:space="preserve">Nemis</t>
  </si>
  <si>
    <t xml:space="preserve">https://www.youtube.com/watch?v=yGlP6mraFsI</t>
  </si>
  <si>
    <t xml:space="preserve">ECO DOPPLER EN OBSTETRICIA: HIPOXIA, ARTERIAS UTERINAS, ANEMIA FETAL...</t>
  </si>
  <si>
    <t xml:space="preserve">aulaginecologia</t>
  </si>
  <si>
    <t xml:space="preserve">https://www.youtube.com/watch?v=1RNmygm6Crs</t>
  </si>
  <si>
    <t xml:space="preserve">Medicina Fetal: Obtención de la onda de velocidad de flujo Doppler de la arteria cerebral media.</t>
  </si>
  <si>
    <t xml:space="preserve">Hector Quiroga</t>
  </si>
  <si>
    <t xml:space="preserve">https://www.youtube.com/watch?v=G-LbrNbOd-Y</t>
  </si>
  <si>
    <t xml:space="preserve">ISUOG Guidelines: Fetal Heart Evaluation in the Second Trimester</t>
  </si>
  <si>
    <t xml:space="preserve">Ecocardiografía Fetal Dr. Montaño</t>
  </si>
  <si>
    <t xml:space="preserve">Noma’lum (nomi inglizcha, kanal ispancha)</t>
  </si>
  <si>
    <t xml:space="preserve">https://www.youtube.com/watch?v=QiS7Xxya_2U</t>
  </si>
  <si>
    <t xml:space="preserve">FINE NEEDLE ASPIRATION OF THE THYROID</t>
  </si>
  <si>
    <t xml:space="preserve">Varisson Girişimsel Radyoloji</t>
  </si>
  <si>
    <t xml:space="preserve">Noma’lum (nomi inglizcha, kanal turkcha)</t>
  </si>
  <si>
    <t xml:space="preserve">https://www.youtube.com/watch?v=cnDPPfMtdEk</t>
  </si>
  <si>
    <t xml:space="preserve">Como evaluar Elastografia Shearwave en patología MSK</t>
  </si>
  <si>
    <t xml:space="preserve">AMPEME MSK</t>
  </si>
  <si>
    <t xml:space="preserve">Ispancha</t>
  </si>
  <si>
    <t xml:space="preserve">https://www.youtube.com/watch?v=2SIZOqJiUt4</t>
  </si>
  <si>
    <t xml:space="preserve">ULTRASOUND-GUIDED LIVER BIOPSY</t>
  </si>
  <si>
    <t xml:space="preserve">https://www.youtube.com/watch?v=2lgt7C4Ijf4</t>
  </si>
  <si>
    <t xml:space="preserve">Lumify Vs Butterfly</t>
  </si>
  <si>
    <t xml:space="preserve">Pablo Martin Merlo</t>
  </si>
  <si>
    <t xml:space="preserve">Noma’lum (ehtimol ispancha)</t>
  </si>
  <si>
    <t xml:space="preserve">https://www.youtube.com/watch?v=tnXdSOkVJs4</t>
  </si>
  <si>
    <t xml:space="preserve">Sonographie des Pankreas</t>
  </si>
  <si>
    <t xml:space="preserve">AG Sonographie Charité</t>
  </si>
  <si>
    <t xml:space="preserve">Nemischa</t>
  </si>
  <si>
    <t xml:space="preserve">Asosiy kod</t>
  </si>
  <si>
    <t xml:space="preserve">Qo‘shimcha kodlar</t>
  </si>
  <si>
    <t xml:space="preserve">Kichik mavzu (asosiy kod)</t>
  </si>
  <si>
    <t xml:space="preserve">Video nomi</t>
  </si>
  <si>
    <t xml:space="preserve">Muallif / tashkilot</t>
  </si>
  <si>
    <t xml:space="preserve">Manba turi</t>
  </si>
  <si>
    <t xml:space="preserve">Davomiylik</t>
  </si>
  <si>
    <t xml:space="preserve">Nashr sanasi</t>
  </si>
  <si>
    <t xml:space="preserve">Asl tili</t>
  </si>
  <si>
    <t xml:space="preserve">O‘quv darajasi</t>
  </si>
  <si>
    <t xml:space="preserve">Nazariy / amaliy</t>
  </si>
  <si>
    <t xml:space="preserve">Subtitr (mavjudligi, turi)</t>
  </si>
  <si>
    <t xml:space="preserve">Dual Replay mosligi</t>
  </si>
  <si>
    <t xml:space="preserve">Tekshirilgan sana</t>
  </si>
  <si>
    <t xml:space="preserve">Tekshiruv holati</t>
  </si>
  <si>
    <t xml:space="preserve">Mavzuga moslik</t>
  </si>
  <si>
    <t xml:space="preserve">Tibbiy ishonchlilik</t>
  </si>
  <si>
    <t xml:space="preserve">Amaliy demonstratsiya</t>
  </si>
  <si>
    <t xml:space="preserve">Tushuntirish sifati</t>
  </si>
  <si>
    <t xml:space="preserve">O‘quv darajasi (ball)</t>
  </si>
  <si>
    <t xml:space="preserve">Vizual aniqlik</t>
  </si>
  <si>
    <t xml:space="preserve">Jami (30)</t>
  </si>
  <si>
    <t xml:space="preserve">V001</t>
  </si>
  <si>
    <t xml:space="preserve">Liver: Anatomy, Physiology &amp; Normal Ultrasound :: Unit 3 :: Abdominal Ultrasound with Sononerds</t>
  </si>
  <si>
    <t xml:space="preserve">https://www.youtube.com/watch?v=x6hXhLNc-jU</t>
  </si>
  <si>
    <t xml:space="preserve">Sononerds</t>
  </si>
  <si>
    <t xml:space="preserve">Ta’lim kanali (sonografiya kolleji kursi)</t>
  </si>
  <si>
    <t xml:space="preserve">2:05:06</t>
  </si>
  <si>
    <t xml:space="preserve">tekshirilmadi</t>
  </si>
  <si>
    <t xml:space="preserve">Ingliz</t>
  </si>
  <si>
    <t xml:space="preserve">Boshlang‘ich</t>
  </si>
  <si>
    <t xml:space="preserve">Nazariy + amaliy</t>
  </si>
  <si>
    <t xml:space="preserve">Tekshirilmagan</t>
  </si>
  <si>
    <t xml:space="preserve">Ingliz subtitri bo‘lsa mos (tekshirilmagan)</t>
  </si>
  <si>
    <t xml:space="preserve">Ilovada: Qorin bo‘shlig‘i a’zolari → Jigar: anatomiya va segmentlar</t>
  </si>
  <si>
    <t xml:space="preserve">V002</t>
  </si>
  <si>
    <t xml:space="preserve">Ultrasound Couinaud's Liver Segments</t>
  </si>
  <si>
    <t xml:space="preserve">https://www.youtube.com/watch?v=JSUsM8aN1XU</t>
  </si>
  <si>
    <t xml:space="preserve">Sonographic Tendencies</t>
  </si>
  <si>
    <t xml:space="preserve">Ta’lim kanali (sonografist)</t>
  </si>
  <si>
    <t xml:space="preserve">10:22</t>
  </si>
  <si>
    <t xml:space="preserve">2019-12-30</t>
  </si>
  <si>
    <t xml:space="preserve">Amaliy</t>
  </si>
  <si>
    <t xml:space="preserve">V003</t>
  </si>
  <si>
    <t xml:space="preserve">Liver Ultrasound Protocol</t>
  </si>
  <si>
    <t xml:space="preserve">https://www.youtube.com/watch?v=GvvGZENUvWc</t>
  </si>
  <si>
    <t xml:space="preserve">7:26</t>
  </si>
  <si>
    <t xml:space="preserve">2017-10-08</t>
  </si>
  <si>
    <t xml:space="preserve">Ilovada: Qorin bo‘shlig‘i a’zolari → Jigar: tekshirish texnikasi</t>
  </si>
  <si>
    <t xml:space="preserve">V004</t>
  </si>
  <si>
    <t xml:space="preserve">Hot Tips - Locating the Common Bile Duct with Ultrasound</t>
  </si>
  <si>
    <t xml:space="preserve">https://www.youtube.com/watch?v=U50O8_fsemY</t>
  </si>
  <si>
    <t xml:space="preserve">Gulfcoast Ultrasound Institute (Theresa Jorgensen)</t>
  </si>
  <si>
    <t xml:space="preserve">Ta’lim markazi</t>
  </si>
  <si>
    <t xml:space="preserve">3:32</t>
  </si>
  <si>
    <t xml:space="preserve">O‘rta</t>
  </si>
  <si>
    <t xml:space="preserve">Ilovada: Qorin bo‘shlig‘i a’zolari → O‘t pufagi va o‘t yo‘llari: anatomiya</t>
  </si>
  <si>
    <t xml:space="preserve">V005</t>
  </si>
  <si>
    <t xml:space="preserve">Ultrasound Elastography for Liver Fibrosis</t>
  </si>
  <si>
    <t xml:space="preserve">https://www.youtube.com/watch?v=eoze_8nUjfA</t>
  </si>
  <si>
    <t xml:space="preserve">Michigan Medicine</t>
  </si>
  <si>
    <t xml:space="preserve">Ta’lim kanali</t>
  </si>
  <si>
    <t xml:space="preserve">O‘rta–ilg‘or</t>
  </si>
  <si>
    <t xml:space="preserve">Nazariy</t>
  </si>
  <si>
    <t xml:space="preserve">Faqat qidiruv natijasidan; kanal va mazmun tekshirilmagan; Ilovada: Qorin bo‘shlig‘i a’zolari → Jigar: elastografiya</t>
  </si>
  <si>
    <t xml:space="preserve">V006</t>
  </si>
  <si>
    <t xml:space="preserve">01.02.02; 01.03.01; 02.08.03</t>
  </si>
  <si>
    <t xml:space="preserve">Basic Abdominal Ultrasound Imaging :: Unit 1 :: Normal Abdomen Ultrasound with Sononerds</t>
  </si>
  <si>
    <t xml:space="preserve">https://www.youtube.com/watch?v=3pIL7c-8UH8</t>
  </si>
  <si>
    <t xml:space="preserve">33:42</t>
  </si>
  <si>
    <t xml:space="preserve">Ilovada: Ultratovush asoslari: fizika va apparat → Qorin UZI asoslari: tekisliklar, datchik, atamalar</t>
  </si>
  <si>
    <t xml:space="preserve">V007</t>
  </si>
  <si>
    <t xml:space="preserve">Body Systems &amp; Cavities :: Unit 2 :: Normal Abdominal Ultrasound with Sononerds</t>
  </si>
  <si>
    <t xml:space="preserve">https://www.youtube.com/watch?v=luK0ElID9Hs</t>
  </si>
  <si>
    <t xml:space="preserve">33:20</t>
  </si>
  <si>
    <t xml:space="preserve">Peritoneum va bo‘shliqlar anatomiyasi; patologiya yo‘q; Ilovada: Qorin bo‘shlig‘i a’zolari → Qorin bo‘shlig‘i anatomiyasi va qorin parda</t>
  </si>
  <si>
    <t xml:space="preserve">V008</t>
  </si>
  <si>
    <t xml:space="preserve">US Abdomen Complete Protocol</t>
  </si>
  <si>
    <t xml:space="preserve">https://www.youtube.com/watch?v=xLYBOf2da8s</t>
  </si>
  <si>
    <t xml:space="preserve">12:01</t>
  </si>
  <si>
    <t xml:space="preserve">2021-03-20</t>
  </si>
  <si>
    <t xml:space="preserve">Ilovada: Qorin bo‘shlig‘i a’zolari → To‘liq qorin protokoli</t>
  </si>
  <si>
    <t xml:space="preserve">V009</t>
  </si>
  <si>
    <t xml:space="preserve">Portal Vein Doppler Protocol</t>
  </si>
  <si>
    <t xml:space="preserve">https://www.youtube.com/watch?v=SS-ATlJ9OCk</t>
  </si>
  <si>
    <t xml:space="preserve">12:48</t>
  </si>
  <si>
    <t xml:space="preserve">2019-12-16</t>
  </si>
  <si>
    <t xml:space="preserve">Ilovada: Qorin bo‘shlig‘i a’zolari → Darvoza venasi Doppleri</t>
  </si>
  <si>
    <t xml:space="preserve">V010</t>
  </si>
  <si>
    <t xml:space="preserve">Pancreas Sonoanatomy</t>
  </si>
  <si>
    <t xml:space="preserve">https://www.youtube.com/watch?v=yK_ETT0yZ5Q</t>
  </si>
  <si>
    <t xml:space="preserve">6:44</t>
  </si>
  <si>
    <t xml:space="preserve">2021-11-25</t>
  </si>
  <si>
    <t xml:space="preserve">Ilovada: Qorin bo‘shlig‘i a’zolari → Oshqozon osti bezi: tekshirish texnikasi</t>
  </si>
  <si>
    <t xml:space="preserve">V011</t>
  </si>
  <si>
    <t xml:space="preserve">Renal Ultrasound Protocol</t>
  </si>
  <si>
    <t xml:space="preserve">https://www.youtube.com/watch?v=8JjIbqp5kVI</t>
  </si>
  <si>
    <t xml:space="preserve">15:13</t>
  </si>
  <si>
    <t xml:space="preserve">2018-02-22</t>
  </si>
  <si>
    <t xml:space="preserve">Ilovada: Urologiya → Buyrak: tekshirish texnikasi</t>
  </si>
  <si>
    <t xml:space="preserve">V012</t>
  </si>
  <si>
    <t xml:space="preserve">03.14.02; 03.14.04</t>
  </si>
  <si>
    <t xml:space="preserve">Renal Pathology</t>
  </si>
  <si>
    <t xml:space="preserve">https://www.youtube.com/watch?v=LsK7ykAjHog</t>
  </si>
  <si>
    <t xml:space="preserve">30:35</t>
  </si>
  <si>
    <t xml:space="preserve">Ilovada: Urologiya → Buyrak: patologiya</t>
  </si>
  <si>
    <t xml:space="preserve">V013</t>
  </si>
  <si>
    <t xml:space="preserve">03.10.03; 03.11.02; 03.12.02; 03.13.02; 03.14.03</t>
  </si>
  <si>
    <t xml:space="preserve">Abdominal Ultrasound Normal Vs Abnormal Images | Liver, Gallbladder, Pancreas, Kidney, Hernia USG</t>
  </si>
  <si>
    <t xml:space="preserve">https://www.youtube.com/watch?v=eSekFP_KIQk</t>
  </si>
  <si>
    <t xml:space="preserve">Dr. Sam’s Imaging Library</t>
  </si>
  <si>
    <t xml:space="preserve">Ta’lim kanali (tasvirlar to‘plami)</t>
  </si>
  <si>
    <t xml:space="preserve">1:27:13</t>
  </si>
  <si>
    <t xml:space="preserve">Tasvirlar galereyasi</t>
  </si>
  <si>
    <t xml:space="preserve">Takrorlash uchun; har bir patologiya qisqa; Ilovada: Qorin bo‘shlig‘i a’zolari → Normal va patologik tasvirlar (takrorlash)</t>
  </si>
  <si>
    <t xml:space="preserve">V014</t>
  </si>
  <si>
    <t xml:space="preserve">Ultrasound  Physics with Sononerds Unit 2</t>
  </si>
  <si>
    <t xml:space="preserve">https://www.youtube.com/watch?v=c6PQzbzJgUg</t>
  </si>
  <si>
    <t xml:space="preserve">Ta’lim kanali (sonografiya kolleji kursi, 25 qism)</t>
  </si>
  <si>
    <t xml:space="preserve">~9:42</t>
  </si>
  <si>
    <t xml:space="preserve">2021-09-06</t>
  </si>
  <si>
    <t xml:space="preserve">Tovush to‘lqini, to‘lqin turlari, akustik parametrlar; Ilovada: Ultratovush asoslari: fizika va apparat → Fizika: tovush to‘lqini va parametrlari</t>
  </si>
  <si>
    <t xml:space="preserve">V015</t>
  </si>
  <si>
    <t xml:space="preserve">Ultrasound Physics with Sononerds Unit 3</t>
  </si>
  <si>
    <t xml:space="preserve">https://www.youtube.com/watch?v=UFU9zVAa6WM</t>
  </si>
  <si>
    <t xml:space="preserve">~1:08</t>
  </si>
  <si>
    <t xml:space="preserve">Davr, chastota, tezlik, to‘lqin uzunligi, amplituda, quvvat, intensivlik; Ilovada: Ultratovush asoslari: fizika va apparat → Fizika: tovush to‘lqini va parametrlari</t>
  </si>
  <si>
    <t xml:space="preserve">V016</t>
  </si>
  <si>
    <t xml:space="preserve">Ultrasound Physics 1 - Sound as Waves</t>
  </si>
  <si>
    <t xml:space="preserve">https://www.youtube.com/watch?v=jv748J0XB-0</t>
  </si>
  <si>
    <t xml:space="preserve">Marc Kohli</t>
  </si>
  <si>
    <t xml:space="preserve">Shaxsiy kanal (radiolog)</t>
  </si>
  <si>
    <t xml:space="preserve">2:40</t>
  </si>
  <si>
    <t xml:space="preserve">2012-06-19</t>
  </si>
  <si>
    <t xml:space="preserve">Qisqa kirish; Ilovada: Ultratovush asoslari: fizika va apparat → Fizika: tovush to‘lqini va parametrlari</t>
  </si>
  <si>
    <t xml:space="preserve">V017</t>
  </si>
  <si>
    <t xml:space="preserve">Ultrasound Physics with Sononerds Unit 6b</t>
  </si>
  <si>
    <t xml:space="preserve">https://www.youtube.com/watch?v=htzA4DUZz_s</t>
  </si>
  <si>
    <t xml:space="preserve">58:17</t>
  </si>
  <si>
    <t xml:space="preserve">2021-09-22</t>
  </si>
  <si>
    <t xml:space="preserve">Boshlang‘ich–o‘rta</t>
  </si>
  <si>
    <t xml:space="preserve">Aks-sado: refleksiya, sochilish, refraksiya, normal va qiya tushish; Ilovada: Ultratovush asoslari: fizika va apparat → Fizika: akustik impedans va aks-sado</t>
  </si>
  <si>
    <t xml:space="preserve">V018</t>
  </si>
  <si>
    <t xml:space="preserve">Acoustic Impedance and Reflection Explained | Radiology Ultrasound Physics</t>
  </si>
  <si>
    <t xml:space="preserve">https://www.youtube.com/watch?v=-zXuz0mqe_Q</t>
  </si>
  <si>
    <t xml:space="preserve">Radiology Tutorials</t>
  </si>
  <si>
    <t xml:space="preserve">Ta’lim kanali (radiologiya fizikasi)</t>
  </si>
  <si>
    <t xml:space="preserve">2026-04-22</t>
  </si>
  <si>
    <t xml:space="preserve">Ilovada: Ultratovush asoslari: fizika va apparat → Fizika: akustik impedans va aks-sado</t>
  </si>
  <si>
    <t xml:space="preserve">V019</t>
  </si>
  <si>
    <t xml:space="preserve">Ultrasound Physics 2 - Interactions with Tissue</t>
  </si>
  <si>
    <t xml:space="preserve">https://www.youtube.com/watch?v=Q1YPZ-04dag</t>
  </si>
  <si>
    <t xml:space="preserve">Muallif tavsifida xato tuzatilgan: spekulyar aks silliq yuzada bo‘ladi; Ilovada: Ultratovush asoslari: fizika va apparat → Fizika: akustik impedans va aks-sado</t>
  </si>
  <si>
    <t xml:space="preserve">V020</t>
  </si>
  <si>
    <t xml:space="preserve">Ultrasound Physics with Sononerds Unit 6a</t>
  </si>
  <si>
    <t xml:space="preserve">https://www.youtube.com/watch?v=77LZeskg4Eg</t>
  </si>
  <si>
    <t xml:space="preserve">&gt;1:26</t>
  </si>
  <si>
    <t xml:space="preserve">2021-09-20</t>
  </si>
  <si>
    <t xml:space="preserve">Attenuatsiya, desibellar, yarim qatlam qalinligi; Ilovada: Ultratovush asoslari: fizika va apparat → Fizika: attenuatsiya</t>
  </si>
  <si>
    <t xml:space="preserve">V021</t>
  </si>
  <si>
    <t xml:space="preserve">Ultrasound Physics with Sononerds Unit 11</t>
  </si>
  <si>
    <t xml:space="preserve">https://www.youtube.com/watch?v=TSHVXMbS2jM</t>
  </si>
  <si>
    <t xml:space="preserve">&gt;14:20</t>
  </si>
  <si>
    <t xml:space="preserve">2021-10-25</t>
  </si>
  <si>
    <t xml:space="preserve">A, B va M rejim; Ilovada: Ultratovush asoslari: fizika va apparat → A, B, M rejimlar va apparat tuzilishi</t>
  </si>
  <si>
    <t xml:space="preserve">V022</t>
  </si>
  <si>
    <t xml:space="preserve">Ultrasound Physics with Sononerds Unit 8</t>
  </si>
  <si>
    <t xml:space="preserve">https://www.youtube.com/watch?v=HC_tHnNZJ-Q</t>
  </si>
  <si>
    <t xml:space="preserve">48:51</t>
  </si>
  <si>
    <t xml:space="preserve">2021-09-27</t>
  </si>
  <si>
    <t xml:space="preserve">PZT element, moslovchi qatlam, datchikni tozalash (8.5.1); Ilovada: Ultratovush asoslari: fizika va apparat → Datchik: pyezoelement va tuzilishi</t>
  </si>
  <si>
    <t xml:space="preserve">V023</t>
  </si>
  <si>
    <t xml:space="preserve">Ultrasound Physics with Sononerds Unit 12a</t>
  </si>
  <si>
    <t xml:space="preserve">https://www.youtube.com/watch?v=QzZEKS1x0l8</t>
  </si>
  <si>
    <t xml:space="preserve">&gt;1:18</t>
  </si>
  <si>
    <t xml:space="preserve">2021-11-01</t>
  </si>
  <si>
    <t xml:space="preserve">Massivlar, fokuslash, burish; chiziqli, konveks, fazalangan, 3D datchiklar; Ilovada: Ultratovush asoslari: fizika va apparat → Datchik turlari</t>
  </si>
  <si>
    <t xml:space="preserve">V024</t>
  </si>
  <si>
    <t xml:space="preserve">Ultrasound Transducers</t>
  </si>
  <si>
    <t xml:space="preserve">https://www.youtube.com/watch?v=C0OFM297MlU</t>
  </si>
  <si>
    <t xml:space="preserve">Ultrasound Board Review</t>
  </si>
  <si>
    <t xml:space="preserve">Imtihonga tayyorlov kanali</t>
  </si>
  <si>
    <t xml:space="preserve">2023-02-24</t>
  </si>
  <si>
    <t xml:space="preserve">Ishlamaydi: serverda “video mavjud emas” (2026-10-17)</t>
  </si>
  <si>
    <t xml:space="preserve">Ilovadan olib tashlandi, o‘rniga boshqa dars qo‘yildi</t>
  </si>
  <si>
    <t xml:space="preserve">V025</t>
  </si>
  <si>
    <t xml:space="preserve">Ultrasound Physics with Sononerds Unit 10</t>
  </si>
  <si>
    <t xml:space="preserve">https://www.youtube.com/watch?v=iLVeRa95WQc</t>
  </si>
  <si>
    <t xml:space="preserve">&gt;48:18</t>
  </si>
  <si>
    <t xml:space="preserve">2021-10-11</t>
  </si>
  <si>
    <t xml:space="preserve">Aksial va lateral rezolyutsiya, fokuslash; Ilovada: Ultratovush asoslari: fizika va apparat → Rezolyutsiya: aksial, lateral, elevatsion</t>
  </si>
  <si>
    <t xml:space="preserve">V026</t>
  </si>
  <si>
    <t xml:space="preserve">Ultrasound Physics with Sononerds Unit 12b</t>
  </si>
  <si>
    <t xml:space="preserve">https://www.youtube.com/watch?v=0rmwXyPXwhs</t>
  </si>
  <si>
    <t xml:space="preserve">15:59</t>
  </si>
  <si>
    <t xml:space="preserve">2021-11-06</t>
  </si>
  <si>
    <t xml:space="preserve">Elevatsion rezolyutsiya, yon loblar; Ilovada: Ultratovush asoslari: fizika va apparat → Rezolyutsiya: aksial, lateral, elevatsion</t>
  </si>
  <si>
    <t xml:space="preserve">V027</t>
  </si>
  <si>
    <t xml:space="preserve">Ultrasound Physics with Sononerds Unit 15b</t>
  </si>
  <si>
    <t xml:space="preserve">https://www.youtube.com/watch?v=EvZSiMTiePI</t>
  </si>
  <si>
    <t xml:space="preserve">2021-11-15</t>
  </si>
  <si>
    <t xml:space="preserve">Fazoviy va kontrast rezolyutsiya; Ilovada: Ultratovush asoslari: fizika va apparat → Rezolyutsiya: aksial, lateral, elevatsion</t>
  </si>
  <si>
    <t xml:space="preserve">V028</t>
  </si>
  <si>
    <t xml:space="preserve">01.03.04; 13.33.04; 02.09.07</t>
  </si>
  <si>
    <t xml:space="preserve">Ultrasound Physics with Sononerds Unit 14</t>
  </si>
  <si>
    <t xml:space="preserve">https://www.youtube.com/watch?v=UYtaDkhVrmQ</t>
  </si>
  <si>
    <t xml:space="preserve">1:15:49</t>
  </si>
  <si>
    <t xml:space="preserve">2021-11-14</t>
  </si>
  <si>
    <t xml:space="preserve">Apparat tarkibi: qabul qilgich, kuchaytirish, kompensatsiya, PACS/DICOM; Ilovada: Ultratovush asoslari: fizika va apparat → A, B, M rejimlar va apparat tuzilishi</t>
  </si>
  <si>
    <t xml:space="preserve">V029</t>
  </si>
  <si>
    <t xml:space="preserve">Ultrasound Physics with Sononerds Unit 16</t>
  </si>
  <si>
    <t xml:space="preserve">https://www.youtube.com/watch?v=_8R-IiuLM0k</t>
  </si>
  <si>
    <t xml:space="preserve">&gt;22:47</t>
  </si>
  <si>
    <t xml:space="preserve">2021-11-29</t>
  </si>
  <si>
    <t xml:space="preserve">Kompressiya (dynamic range); Ilovada: Ultratovush asoslari: fizika va apparat → Tasvirni sozlash: kompressiya (dynamic range)</t>
  </si>
  <si>
    <t xml:space="preserve">V030</t>
  </si>
  <si>
    <t xml:space="preserve">Ultrasound Physics with Sononerds Unit 17a</t>
  </si>
  <si>
    <t xml:space="preserve">https://www.youtube.com/watch?v=8nS4NYD_LnU</t>
  </si>
  <si>
    <t xml:space="preserve">&gt;25:07</t>
  </si>
  <si>
    <t xml:space="preserve">Garmonik tasvirlash; kompaund va panoramik yo‘q; Ilovada: Ultratovush asoslari: fizika va apparat → Garmonik tasvirlash</t>
  </si>
  <si>
    <t xml:space="preserve">V031</t>
  </si>
  <si>
    <t xml:space="preserve">Proper POCUS Cleaning and Disinfection</t>
  </si>
  <si>
    <t xml:space="preserve">https://www.youtube.com/watch?v=mKomnw4PEwE</t>
  </si>
  <si>
    <t xml:space="preserve">USF Emergency Ultrasound</t>
  </si>
  <si>
    <t xml:space="preserve">Universitet (shoshilinch tibbiyot)</t>
  </si>
  <si>
    <t xml:space="preserve">7:39</t>
  </si>
  <si>
    <t xml:space="preserve">2024-10-13</t>
  </si>
  <si>
    <t xml:space="preserve">Endokavitar datchik uchun yuqori darajali dezinfeksiya alohida tekshirilsin; Ilovada: Ultratovush asoslari: fizika va apparat → Datchikni tozalash va dezinfeksiya</t>
  </si>
  <si>
    <t xml:space="preserve">V032</t>
  </si>
  <si>
    <t xml:space="preserve">Ultrasound 5 - Knobology 1 - Gain</t>
  </si>
  <si>
    <t xml:space="preserve">https://www.youtube.com/watch?v=z6n7C_4rHhk</t>
  </si>
  <si>
    <t xml:space="preserve">2012-06-30</t>
  </si>
  <si>
    <t xml:space="preserve">Ilovada: Ultratovush asoslari: fizika va apparat → Tasvirni sozlash: gain va TGC</t>
  </si>
  <si>
    <t xml:space="preserve">V033</t>
  </si>
  <si>
    <t xml:space="preserve">KNOBOLOGY 2: Focus, Gain, Frequency, Depth and Zoom</t>
  </si>
  <si>
    <t xml:space="preserve">https://www.youtube.com/watch?v=hMPA6hVPh0A</t>
  </si>
  <si>
    <t xml:space="preserve">msksono</t>
  </si>
  <si>
    <t xml:space="preserve">Ta’lim kanali (MSK sonografiya)</t>
  </si>
  <si>
    <t xml:space="preserve">&gt;3:14</t>
  </si>
  <si>
    <t xml:space="preserve">2024-12-02</t>
  </si>
  <si>
    <t xml:space="preserve">V034</t>
  </si>
  <si>
    <t xml:space="preserve">Ultrasound 6 - Knobology 2 - Focus, Field of View, Frame Rate</t>
  </si>
  <si>
    <t xml:space="preserve">https://www.youtube.com/watch?v=x8suZz5FeuM</t>
  </si>
  <si>
    <t xml:space="preserve">4:59</t>
  </si>
  <si>
    <t xml:space="preserve">2012-07-01</t>
  </si>
  <si>
    <t xml:space="preserve">Ilovada: Ultratovush asoslari: fizika va apparat → Tasvirni sozlash: chuqurlik, fokus, kadr tezligi</t>
  </si>
  <si>
    <t xml:space="preserve">V035</t>
  </si>
  <si>
    <t xml:space="preserve">Ultrasound Physics with Sononerds Unit 9</t>
  </si>
  <si>
    <t xml:space="preserve">https://www.youtube.com/watch?v=AvbdjCMA8OU</t>
  </si>
  <si>
    <t xml:space="preserve">&gt;56:13</t>
  </si>
  <si>
    <t xml:space="preserve">2021-10-03</t>
  </si>
  <si>
    <t xml:space="preserve">Nur zonalari, fokus, divergensiya; Ilovada: Ultratovush asoslari: fizika va apparat → Ultratovush nuri va fokus</t>
  </si>
  <si>
    <t xml:space="preserve">V036</t>
  </si>
  <si>
    <t xml:space="preserve">Ultrasound Physics 4 - Beam Geometry</t>
  </si>
  <si>
    <t xml:space="preserve">https://www.youtube.com/watch?v=imM2qJY_bEI</t>
  </si>
  <si>
    <t xml:space="preserve">Ilovada: Ultratovush asoslari: fizika va apparat → Ultratovush nuri va fokus</t>
  </si>
  <si>
    <t xml:space="preserve">V037</t>
  </si>
  <si>
    <t xml:space="preserve">Physics with Sononerds Unit 13</t>
  </si>
  <si>
    <t xml:space="preserve">https://www.youtube.com/watch?v=48m-hcI8i1g</t>
  </si>
  <si>
    <t xml:space="preserve">&gt;1:01:35</t>
  </si>
  <si>
    <t xml:space="preserve">2021-10-26</t>
  </si>
  <si>
    <t xml:space="preserve">Kadr tezligi, vaqt rezolyutsiyasi; Ilovada: Ultratovush asoslari: fizika va apparat → Tasvirni sozlash: chuqurlik, fokus, kadr tezligi</t>
  </si>
  <si>
    <t xml:space="preserve">V038</t>
  </si>
  <si>
    <t xml:space="preserve">13.33.06; 02.09.07</t>
  </si>
  <si>
    <t xml:space="preserve">Unit 22: Quality &amp; Performance  Ultrasound Physics with Sononerds</t>
  </si>
  <si>
    <t xml:space="preserve">https://www.youtube.com/watch?v=0U2Pcu2SjeM</t>
  </si>
  <si>
    <t xml:space="preserve">&gt;42:52</t>
  </si>
  <si>
    <t xml:space="preserve">2022-02-27</t>
  </si>
  <si>
    <t xml:space="preserve">Sifat nazorati, fantomlar; Ilovada: Ultratovush asoslari: fizika va apparat → Sifat nazorati</t>
  </si>
  <si>
    <t xml:space="preserve">V039</t>
  </si>
  <si>
    <t xml:space="preserve">Ultrasound Artifacts, Part 1  (Shadowing, enhancement and edge artifacts)</t>
  </si>
  <si>
    <t xml:space="preserve">https://www.youtube.com/watch?v=SN6_YKVl-U0</t>
  </si>
  <si>
    <t xml:space="preserve">Core Ultrasound</t>
  </si>
  <si>
    <t xml:space="preserve">Ta’lim kanali (shoshilinch UZI shifokori)</t>
  </si>
  <si>
    <t xml:space="preserve">2022-07-11</t>
  </si>
  <si>
    <t xml:space="preserve">V040</t>
  </si>
  <si>
    <t xml:space="preserve">Ultrasound Artifacts, Part 2 (Reverberation artifacts)</t>
  </si>
  <si>
    <t xml:space="preserve">https://www.youtube.com/watch?v=SyYkOglVVLo</t>
  </si>
  <si>
    <t xml:space="preserve">2022-07-13</t>
  </si>
  <si>
    <t xml:space="preserve">V041</t>
  </si>
  <si>
    <t xml:space="preserve">Ultrasound Artifacts</t>
  </si>
  <si>
    <t xml:space="preserve">https://www.youtube.com/watch?v=NjcYR_tO1iw</t>
  </si>
  <si>
    <t xml:space="preserve">MetroHealth Emergency Ultrasound (Dr. Shoji Shimizu)</t>
  </si>
  <si>
    <t xml:space="preserve">Klinika ta’lim seriyasi</t>
  </si>
  <si>
    <t xml:space="preserve">2021-09-15</t>
  </si>
  <si>
    <t xml:space="preserve">Ilovada: Ultratovush asoslari: fizika va apparat → Artefaktlar: umumiy sharh</t>
  </si>
  <si>
    <t xml:space="preserve">V042</t>
  </si>
  <si>
    <t xml:space="preserve">Aliasing on Doppler Ultrasound</t>
  </si>
  <si>
    <t xml:space="preserve">https://www.youtube.com/watch?v=Xq7VJ864GIg</t>
  </si>
  <si>
    <t xml:space="preserve">Radiology educational videos</t>
  </si>
  <si>
    <t xml:space="preserve">2025-05-16</t>
  </si>
  <si>
    <t xml:space="preserve">Ilovada: Ultratovush asoslari: fizika va apparat → Doppler: sozlamalar va aliasing</t>
  </si>
  <si>
    <t xml:space="preserve">V043</t>
  </si>
  <si>
    <t xml:space="preserve">01.04.05; 01.05.07</t>
  </si>
  <si>
    <t xml:space="preserve">Unit 20: Doppler Application</t>
  </si>
  <si>
    <t xml:space="preserve">https://www.youtube.com/watch?v=R2yTdxP-j8I</t>
  </si>
  <si>
    <t xml:space="preserve">&gt;1:29:14</t>
  </si>
  <si>
    <t xml:space="preserve">2022-02-06</t>
  </si>
  <si>
    <t xml:space="preserve">Spektral va rangli Doppler sozlamalari, aliasing; Ilovada: Ultratovush asoslari: fizika va apparat → Doppler: sozlamalar va aliasing</t>
  </si>
  <si>
    <t xml:space="preserve">V044</t>
  </si>
  <si>
    <t xml:space="preserve">01.05.02; 01.05.03; 01.05.05</t>
  </si>
  <si>
    <t xml:space="preserve">Unit 19: Doppler Physics &amp; Instrumentation with Sononerds</t>
  </si>
  <si>
    <t xml:space="preserve">https://www.youtube.com/watch?v=NrWKEJD-_RA</t>
  </si>
  <si>
    <t xml:space="preserve">~1:27</t>
  </si>
  <si>
    <t xml:space="preserve">2022-01-30</t>
  </si>
  <si>
    <t xml:space="preserve">Doppler tenglamasi, cos θ, CW, PW, rangli va power Doppler; Ilovada: Ultratovush asoslari: fizika va apparat → Doppler: fizika va turlari</t>
  </si>
  <si>
    <t xml:space="preserve">V045</t>
  </si>
  <si>
    <t xml:space="preserve">iMEP Tips &amp; Tricks 30: Power Doppler vs. Color Doppler</t>
  </si>
  <si>
    <t xml:space="preserve">https://www.youtube.com/watch?v=dIvPZ6Mhraw</t>
  </si>
  <si>
    <t xml:space="preserve">NIPRO Group</t>
  </si>
  <si>
    <t xml:space="preserve">Ishlab chiqaruvchi</t>
  </si>
  <si>
    <t xml:space="preserve">2025-02-10</t>
  </si>
  <si>
    <t xml:space="preserve">Ishlab chiqaruvchi kanali: neytralligini tekshiring; Ilovada: Ultratovush asoslari: fizika va apparat → Doppler: rangli va power Doppler</t>
  </si>
  <si>
    <t xml:space="preserve">V046</t>
  </si>
  <si>
    <t xml:space="preserve">Doppler Ultrasound 101 | The Basics</t>
  </si>
  <si>
    <t xml:space="preserve">https://www.youtube.com/watch?v=LeI3ns30mvg</t>
  </si>
  <si>
    <t xml:space="preserve">Sonography Minutes (Michelle Macauley)</t>
  </si>
  <si>
    <t xml:space="preserve">~38:05</t>
  </si>
  <si>
    <t xml:space="preserve">2022-06-29</t>
  </si>
  <si>
    <t xml:space="preserve">Ilovada: Ultratovush asoslari: fizika va apparat → Doppler: fizika va turlari</t>
  </si>
  <si>
    <t xml:space="preserve">V047</t>
  </si>
  <si>
    <t xml:space="preserve">Unit 18 Hemodynamics :: Ultrasound Physics with Sononerds</t>
  </si>
  <si>
    <t xml:space="preserve">https://www.youtube.com/watch?v=U6swOcsO6c0</t>
  </si>
  <si>
    <t xml:space="preserve">&gt;1:13</t>
  </si>
  <si>
    <t xml:space="preserve">2022-01-24</t>
  </si>
  <si>
    <t xml:space="preserve">Gemodinamika, stenoz, Bernulli; Ilovada: Ultratovush asoslari: fizika va apparat → Gemodinamika</t>
  </si>
  <si>
    <t xml:space="preserve">V048</t>
  </si>
  <si>
    <t xml:space="preserve">01.06.03; 01.06.04</t>
  </si>
  <si>
    <t xml:space="preserve">ATTENTION: ALARA is Important - An Update on the Bioeffects of Ultrasound</t>
  </si>
  <si>
    <t xml:space="preserve">https://www.youtube.com/watch?v=wHdEZaY4M2g</t>
  </si>
  <si>
    <t xml:space="preserve">AIUMultrasound (J. Brian Fowlkes, Jean Lea Spitz)</t>
  </si>
  <si>
    <t xml:space="preserve">Professional jamiyat (AIUM)</t>
  </si>
  <si>
    <t xml:space="preserve">2017-03-14</t>
  </si>
  <si>
    <t xml:space="preserve">Eng ishonchli manba (AIUM); Ilovada: Ultratovush asoslari: fizika va apparat → Xavfsizlik: ALARA, TI va MI</t>
  </si>
  <si>
    <t xml:space="preserve">V049</t>
  </si>
  <si>
    <t xml:space="preserve">Understanding ultrasound parameters: mechanical index and thermal index</t>
  </si>
  <si>
    <t xml:space="preserve">https://www.youtube.com/watch?v=3cWIePSocMA</t>
  </si>
  <si>
    <t xml:space="preserve">2025-05-05</t>
  </si>
  <si>
    <t xml:space="preserve">GE apparatida ko‘rsatilgan; Ilovada: Ultratovush asoslari: fizika va apparat → Xavfsizlik: ALARA, TI va MI</t>
  </si>
  <si>
    <t xml:space="preserve">V050</t>
  </si>
  <si>
    <t xml:space="preserve">Ultrasound Physics with Sononerds Unit 17b</t>
  </si>
  <si>
    <t xml:space="preserve">https://www.youtube.com/watch?v=XdSrvyKCpfw</t>
  </si>
  <si>
    <t xml:space="preserve">&gt;20:28</t>
  </si>
  <si>
    <t xml:space="preserve">Kontrast moddalar va mexanik indeks; Ilovada: Ultratovush asoslari: fizika va apparat → Kontrast moddalar va mexanik indeks</t>
  </si>
  <si>
    <t xml:space="preserve">V051</t>
  </si>
  <si>
    <t xml:space="preserve">Clean posterior acoustic shadowing on ultrasound</t>
  </si>
  <si>
    <t xml:space="preserve">https://www.youtube.com/watch?v=12AEms8K5oY</t>
  </si>
  <si>
    <t xml:space="preserve">Ilovada: Ultratovush asoslari: fizika va apparat → Artefaktlar: akustik soya va kuchayish</t>
  </si>
  <si>
    <t xml:space="preserve">V052</t>
  </si>
  <si>
    <t xml:space="preserve">Dirty posterior acoustic shadowing on ultrasound</t>
  </si>
  <si>
    <t xml:space="preserve">https://www.youtube.com/watch?v=BEkT3_979fw</t>
  </si>
  <si>
    <t xml:space="preserve">V053</t>
  </si>
  <si>
    <t xml:space="preserve">Reverberation artifact</t>
  </si>
  <si>
    <t xml:space="preserve">https://www.youtube.com/watch?v=y8VPgK-tToA</t>
  </si>
  <si>
    <t xml:space="preserve">#IMPOCUS</t>
  </si>
  <si>
    <t xml:space="preserve">Ta’lim kanali (ichki kasalliklar POCUS)</t>
  </si>
  <si>
    <t xml:space="preserve">Ilovada: Ultratovush asoslari: fizika va apparat → Artefaktlar: reverberatsiya</t>
  </si>
  <si>
    <t xml:space="preserve">V054</t>
  </si>
  <si>
    <t xml:space="preserve">01.04.03; 01.04.04</t>
  </si>
  <si>
    <t xml:space="preserve">Ultrasound Physics Imaging Artifacts</t>
  </si>
  <si>
    <t xml:space="preserve">https://www.youtube.com/watch?v=HnG1GieOkUk</t>
  </si>
  <si>
    <t xml:space="preserve">POCUS Geek</t>
  </si>
  <si>
    <t xml:space="preserve">V055</t>
  </si>
  <si>
    <t xml:space="preserve">ULTRASOUND ARTIFACTS | Sonography Tutorial | Dr Sanjeev Mani | Exam Question in Radiology | Indian Radiologist</t>
  </si>
  <si>
    <t xml:space="preserve">https://www.youtube.com/watch?v=XJ_4bkD8bbg</t>
  </si>
  <si>
    <t xml:space="preserve">Dr Sanjeev Mani</t>
  </si>
  <si>
    <t xml:space="preserve">V056</t>
  </si>
  <si>
    <t xml:space="preserve">Physics of Ultrasound: Transducers - Segment #6</t>
  </si>
  <si>
    <t xml:space="preserve">https://www.youtube.com/watch?v=aQRtyG32s1o</t>
  </si>
  <si>
    <t xml:space="preserve">jchanmeister</t>
  </si>
  <si>
    <t xml:space="preserve">Ilovada: Ultratovush asoslari: fizika va apparat → Datchik turlari</t>
  </si>
  <si>
    <t xml:space="preserve">V057</t>
  </si>
  <si>
    <t xml:space="preserve">How to ultrasound the liver</t>
  </si>
  <si>
    <t xml:space="preserve">https://www.youtube.com/watch?v=J5gRFeZ7cZU</t>
  </si>
  <si>
    <t xml:space="preserve">Medmastery</t>
  </si>
  <si>
    <t xml:space="preserve">Belgilanmagan</t>
  </si>
  <si>
    <t xml:space="preserve">Ilova katalogi v1 (2026-10-16); Ilovada: Qorin bo‘shlig‘i a’zolari → Jigar: tekshirish texnikasi</t>
  </si>
  <si>
    <t xml:space="preserve">V058</t>
  </si>
  <si>
    <t xml:space="preserve">Ultrasound of diffuse liver diseases</t>
  </si>
  <si>
    <t xml:space="preserve">https://www.youtube.com/watch?v=8pETh6qhIdM</t>
  </si>
  <si>
    <t xml:space="preserve">123radiology</t>
  </si>
  <si>
    <t xml:space="preserve">Ilova katalogi v1 (2026-10-16); Ilovada: Qorin bo‘shlig‘i a’zolari → Jigar: diffuz kasalliklar (yog‘li gepatoz, sirroz)</t>
  </si>
  <si>
    <t xml:space="preserve">V059</t>
  </si>
  <si>
    <t xml:space="preserve">03.10.06; 03.10.09</t>
  </si>
  <si>
    <t xml:space="preserve">Ultrasound in  Focal Liver Lesions and Beyond</t>
  </si>
  <si>
    <t xml:space="preserve">https://www.youtube.com/watch?v=A9jHe08T4VE</t>
  </si>
  <si>
    <t xml:space="preserve">Radiology Video - radiology made esay</t>
  </si>
  <si>
    <t xml:space="preserve">Ilova katalogi v1 (2026-10-16); Ilovada: Qorin bo‘shlig‘i a’zolari → Jigar: o‘choqli o‘zgarishlar</t>
  </si>
  <si>
    <t xml:space="preserve">V060</t>
  </si>
  <si>
    <t xml:space="preserve">Sonographic anatomy of the gallbladder and biliary ducts</t>
  </si>
  <si>
    <t xml:space="preserve">https://www.youtube.com/watch?v=enp-lIVqyBQ</t>
  </si>
  <si>
    <t xml:space="preserve">Ilova katalogi v1 (2026-10-16); Ilovada: Qorin bo‘shlig‘i a’zolari → O‘t pufagi va o‘t yo‘llari: anatomiya</t>
  </si>
  <si>
    <t xml:space="preserve">V061</t>
  </si>
  <si>
    <t xml:space="preserve">03.11.03; 03.11.04</t>
  </si>
  <si>
    <t xml:space="preserve">Ultrasound of the Abnormal Gallbladder</t>
  </si>
  <si>
    <t xml:space="preserve">https://www.youtube.com/watch?v=374A77l6es0</t>
  </si>
  <si>
    <t xml:space="preserve">MetroHealth Emergency Ultrasound</t>
  </si>
  <si>
    <t xml:space="preserve">Ilova katalogi v1 (2026-10-16); Ilovada: Qorin bo‘shlig‘i a’zolari → O‘t pufagi: patologiya</t>
  </si>
  <si>
    <t xml:space="preserve">V062</t>
  </si>
  <si>
    <t xml:space="preserve">How to perform an ultrasound exam of the pancreas</t>
  </si>
  <si>
    <t xml:space="preserve">https://www.youtube.com/watch?v=IsJeMgxTFMU</t>
  </si>
  <si>
    <t xml:space="preserve">Ilova katalogi v1 (2026-10-16); Ilovada: Qorin bo‘shlig‘i a’zolari → Oshqozon osti bezi: tekshirish texnikasi</t>
  </si>
  <si>
    <t xml:space="preserve">V063</t>
  </si>
  <si>
    <t xml:space="preserve">How to diagnose pancreatitis with the help of ultrasound</t>
  </si>
  <si>
    <t xml:space="preserve">https://www.youtube.com/watch?v=e-DBRFgQPYw</t>
  </si>
  <si>
    <t xml:space="preserve">Ilova katalogi v1 (2026-10-16); Ilovada: Qorin bo‘shlig‘i a’zolari → Oshqozon osti bezi: pankreatit</t>
  </si>
  <si>
    <t xml:space="preserve">V064</t>
  </si>
  <si>
    <t xml:space="preserve">03.13.02; 03.13.04</t>
  </si>
  <si>
    <t xml:space="preserve">Spleen Ultrasound Normal Vs Abnormal Image Appearances Comparison | Splenic Pathologies On USG</t>
  </si>
  <si>
    <t xml:space="preserve">https://www.youtube.com/watch?v=CZpeA_lJ6rE</t>
  </si>
  <si>
    <t xml:space="preserve">Dr. Sam's Imaging Library</t>
  </si>
  <si>
    <t xml:space="preserve">Ilova katalogi v1 (2026-10-16); Ilovada: Qorin bo‘shlig‘i a’zolari → Taloq</t>
  </si>
  <si>
    <t xml:space="preserve">V065</t>
  </si>
  <si>
    <t xml:space="preserve">Ultrasound of Abdominal Aortic Aneurysm (AAA)</t>
  </si>
  <si>
    <t xml:space="preserve">https://www.youtube.com/watch?v=4JTq2gyW5Nw</t>
  </si>
  <si>
    <t xml:space="preserve">EM:RAP Medical Education </t>
  </si>
  <si>
    <t xml:space="preserve">Ilova katalogi v1 (2026-10-16); Ilovada: Qorin bo‘shlig‘i a’zolari → Qorin aortasi: anevrizma</t>
  </si>
  <si>
    <t xml:space="preserve">V066</t>
  </si>
  <si>
    <t xml:space="preserve">Ultrasound of Acute Appendicitis</t>
  </si>
  <si>
    <t xml:space="preserve">https://www.youtube.com/watch?v=FpiqQs0gwgI</t>
  </si>
  <si>
    <t xml:space="preserve">Radquarters</t>
  </si>
  <si>
    <t xml:space="preserve">Ilova katalogi v1 (2026-10-16); Ilovada: Qorin bo‘shlig‘i a’zolari → Appenditsit</t>
  </si>
  <si>
    <t xml:space="preserve">V067</t>
  </si>
  <si>
    <t xml:space="preserve">Ultrasound of Acute Appendicitis: Pearls and Pitfalls</t>
  </si>
  <si>
    <t xml:space="preserve">https://www.youtube.com/watch?v=GcS3jKyR5sg</t>
  </si>
  <si>
    <t xml:space="preserve">Ilova katalogi v1 (2026-10-16); Ilovada: Qorin bo‘shlig‘i a’zolari → Appenditsit: nozik jihatlar</t>
  </si>
  <si>
    <t xml:space="preserve">V068</t>
  </si>
  <si>
    <t xml:space="preserve">Gynecologic Radiology Anatomy</t>
  </si>
  <si>
    <t xml:space="preserve">https://www.youtube.com/watch?v=sD-aFMQxT08</t>
  </si>
  <si>
    <t xml:space="preserve">Radiology Education by Joseph W. Owen, MD</t>
  </si>
  <si>
    <t xml:space="preserve">Ilova katalogi v1 (2026-10-16); Ilovada: Ginekologiya → Kichik chanoq a’zolari anatomiyasi</t>
  </si>
  <si>
    <t xml:space="preserve">V069</t>
  </si>
  <si>
    <t xml:space="preserve">Bedside Transvaginal Ultrasound, Part 1</t>
  </si>
  <si>
    <t xml:space="preserve">https://www.youtube.com/watch?v=JoQtlTNrGZA</t>
  </si>
  <si>
    <t xml:space="preserve">Ilova katalogi v1 (2026-10-16); Ilovada: Ginekologiya → Transvaginal tekshiruv</t>
  </si>
  <si>
    <t xml:space="preserve">V070</t>
  </si>
  <si>
    <t xml:space="preserve">Ultrasound of Uterine Fibroids: Sonographic Appearance &amp; Differential Diagnosis</t>
  </si>
  <si>
    <t xml:space="preserve">https://www.youtube.com/watch?v=veQhbLyqLyU</t>
  </si>
  <si>
    <t xml:space="preserve">Athar Shams Rana</t>
  </si>
  <si>
    <t xml:space="preserve">Ilova katalogi v1 (2026-10-16); Ilovada: Ginekologiya → Bachadon miomasi</t>
  </si>
  <si>
    <t xml:space="preserve">V071</t>
  </si>
  <si>
    <t xml:space="preserve">Ultrasound of Endometrial Polyps</t>
  </si>
  <si>
    <t xml:space="preserve">https://www.youtube.com/watch?v=qdlb0bl2eOI</t>
  </si>
  <si>
    <t xml:space="preserve">Ilova katalogi v1 (2026-10-16); Ilovada: Ginekologiya → Endometriy poliplari</t>
  </si>
  <si>
    <t xml:space="preserve">V072</t>
  </si>
  <si>
    <t xml:space="preserve">Ultrasound of Common Adnexal Cysts</t>
  </si>
  <si>
    <t xml:space="preserve">https://www.youtube.com/watch?v=vSba7T95CXQ</t>
  </si>
  <si>
    <t xml:space="preserve">Ilova katalogi v1 (2026-10-16); Ilovada: Ginekologiya → Tuxumdon kistalari</t>
  </si>
  <si>
    <t xml:space="preserve">V073</t>
  </si>
  <si>
    <t xml:space="preserve">O-Rads Ultrasound Applying Version 2022 in Daily Clinical Practice</t>
  </si>
  <si>
    <t xml:space="preserve">https://www.youtube.com/watch?v=ji2I3Pv1R0g</t>
  </si>
  <si>
    <t xml:space="preserve">American College of Radiology</t>
  </si>
  <si>
    <t xml:space="preserve">Ilova katalogi v1 (2026-10-16); Ilovada: Ginekologiya → O-RADS tasnifi</t>
  </si>
  <si>
    <t xml:space="preserve">V074</t>
  </si>
  <si>
    <t xml:space="preserve">Ultrasound of Failed First Trimester Pregnancies and Ectopic Pregnancies</t>
  </si>
  <si>
    <t xml:space="preserve">https://www.youtube.com/watch?v=YC3-xfRxwYU</t>
  </si>
  <si>
    <t xml:space="preserve">Ilova katalogi v1 (2026-10-16); Ilovada: Ginekologiya → Erta homiladorlik asoratlari va ektopik homiladorlik</t>
  </si>
  <si>
    <t xml:space="preserve">V075</t>
  </si>
  <si>
    <t xml:space="preserve">"Ectopic Pregnancy" Ultrasound SonoWorld Lecture</t>
  </si>
  <si>
    <t xml:space="preserve">https://www.youtube.com/watch?v=R6rX5Qclgl8</t>
  </si>
  <si>
    <t xml:space="preserve">SonoWorld</t>
  </si>
  <si>
    <t xml:space="preserve">Ilova katalogi v1 (2026-10-16); Ilovada: Ginekologiya → Ektopik homiladorlik</t>
  </si>
  <si>
    <t xml:space="preserve">V076</t>
  </si>
  <si>
    <t xml:space="preserve">Ultrasound of the Normal Kidney</t>
  </si>
  <si>
    <t xml:space="preserve">https://www.youtube.com/watch?v=gcGHNdrgYW8</t>
  </si>
  <si>
    <t xml:space="preserve">Ilova katalogi v1 (2026-10-16); Ilovada: Urologiya → Buyrak: normal anatomiya</t>
  </si>
  <si>
    <t xml:space="preserve">V077</t>
  </si>
  <si>
    <t xml:space="preserve">Scanning Technique: Renal</t>
  </si>
  <si>
    <t xml:space="preserve">https://www.youtube.com/watch?v=sxLmYjilCxM</t>
  </si>
  <si>
    <t xml:space="preserve">Clarius Mobile Health</t>
  </si>
  <si>
    <t xml:space="preserve">Ilova katalogi v1 (2026-10-16); Ilovada: Urologiya → Buyrak: tekshirish texnikasi</t>
  </si>
  <si>
    <t xml:space="preserve">V078</t>
  </si>
  <si>
    <t xml:space="preserve">How to diagnose hydronephrosis with the help of ultrasound</t>
  </si>
  <si>
    <t xml:space="preserve">https://www.youtube.com/watch?v=ULezXrne5n4</t>
  </si>
  <si>
    <t xml:space="preserve">Ilova katalogi v1 (2026-10-16); Ilovada: Urologiya → Gidronefroz</t>
  </si>
  <si>
    <t xml:space="preserve">V079</t>
  </si>
  <si>
    <t xml:space="preserve">Scanning Technique: Bladder</t>
  </si>
  <si>
    <t xml:space="preserve">https://www.youtube.com/watch?v=nPoCYs7uKC0</t>
  </si>
  <si>
    <t xml:space="preserve">Ilova katalogi v1 (2026-10-16); Ilovada: Urologiya → Siydik pufagi</t>
  </si>
  <si>
    <t xml:space="preserve">V080</t>
  </si>
  <si>
    <t xml:space="preserve">Ultrasound Estimated Post-Void Residual Bladder</t>
  </si>
  <si>
    <t xml:space="preserve">https://www.youtube.com/watch?v=LEd7IzICClE</t>
  </si>
  <si>
    <t xml:space="preserve">Michael Zwank</t>
  </si>
  <si>
    <t xml:space="preserve">Ilova katalogi v1 (2026-10-16); Ilovada: Urologiya → Qoldiq siydik hajmi</t>
  </si>
  <si>
    <t xml:space="preserve">V081</t>
  </si>
  <si>
    <t xml:space="preserve">Key aspects of Prostate Ultrasound</t>
  </si>
  <si>
    <t xml:space="preserve">https://www.youtube.com/watch?v=nhVo53WChSA</t>
  </si>
  <si>
    <t xml:space="preserve">Radiology Without Borders</t>
  </si>
  <si>
    <t xml:space="preserve">Ilova katalogi v1 (2026-10-16); Ilovada: Urologiya → Prostata bezi</t>
  </si>
  <si>
    <t xml:space="preserve">V082</t>
  </si>
  <si>
    <t xml:space="preserve">Bedside Testicular Ultrasound</t>
  </si>
  <si>
    <t xml:space="preserve">https://www.youtube.com/watch?v=FbXwoxwS1Dw</t>
  </si>
  <si>
    <t xml:space="preserve">Ilova katalogi v1 (2026-10-16); Ilovada: Urologiya → Yorg‘oq: tekshiruv</t>
  </si>
  <si>
    <t xml:space="preserve">V083</t>
  </si>
  <si>
    <t xml:space="preserve">Ultrasound of Testicular Torsion</t>
  </si>
  <si>
    <t xml:space="preserve">https://www.youtube.com/watch?v=IQ5pUWIu6mI</t>
  </si>
  <si>
    <t xml:space="preserve">Ilova katalogi v1 (2026-10-16); Ilovada: Urologiya → Moyak buralishi</t>
  </si>
  <si>
    <t xml:space="preserve">V084</t>
  </si>
  <si>
    <t xml:space="preserve">Introduction to neonatal cranial ultrasound</t>
  </si>
  <si>
    <t xml:space="preserve">https://www.youtube.com/watch?v=c6A81JiJMSE</t>
  </si>
  <si>
    <t xml:space="preserve">South African Paediatric Association</t>
  </si>
  <si>
    <t xml:space="preserve">Ilova katalogi v1 (2026-10-16); Ilovada: Neyrosonografiya → Kirish</t>
  </si>
  <si>
    <t xml:space="preserve">V085</t>
  </si>
  <si>
    <t xml:space="preserve">How to Perform a Neonatal Cranial USS</t>
  </si>
  <si>
    <t xml:space="preserve">https://www.youtube.com/watch?v=vpmcgZ7lGFs</t>
  </si>
  <si>
    <t xml:space="preserve">NeoSim RJMS </t>
  </si>
  <si>
    <t xml:space="preserve">Ilova katalogi v1 (2026-10-16); Ilovada: Neyrosonografiya → Tekshirish texnikasi</t>
  </si>
  <si>
    <t xml:space="preserve">V086</t>
  </si>
  <si>
    <t xml:space="preserve">Ultrasound of the Neonatal Head and Spine | GE Healthcare</t>
  </si>
  <si>
    <t xml:space="preserve">https://www.youtube.com/watch?v=uyaaVrrBj0I</t>
  </si>
  <si>
    <t xml:space="preserve">GE HealthCare</t>
  </si>
  <si>
    <t xml:space="preserve">Ilova katalogi v1 (2026-10-16); Ilovada: Neyrosonografiya → Bosh va umurtqa: normal anatomiya</t>
  </si>
  <si>
    <t xml:space="preserve">V087</t>
  </si>
  <si>
    <t xml:space="preserve">ventricular measurements on neonatal head ultrasound</t>
  </si>
  <si>
    <t xml:space="preserve">https://www.youtube.com/watch?v=zG8ZZHEMLGA</t>
  </si>
  <si>
    <t xml:space="preserve">James Robert X-ray</t>
  </si>
  <si>
    <t xml:space="preserve">Ilova katalogi v1 (2026-10-16); Ilovada: Neyrosonografiya → Qorinchalarni o‘lchash</t>
  </si>
  <si>
    <t xml:space="preserve">V088</t>
  </si>
  <si>
    <t xml:space="preserve">Paediatric Head/Brain ultrasound - 101 Pattern recognition</t>
  </si>
  <si>
    <t xml:space="preserve">https://www.youtube.com/watch?v=0QdwB2Jr4_o</t>
  </si>
  <si>
    <t xml:space="preserve">Bridie Roche Sonographer</t>
  </si>
  <si>
    <t xml:space="preserve">Ilova katalogi v1 (2026-10-16); Ilovada: Neyrosonografiya → Patologiyani tanish</t>
  </si>
  <si>
    <t xml:space="preserve">V089</t>
  </si>
  <si>
    <t xml:space="preserve">Hypoxic ischemic encephalopathy in preterm neonatesl Periventricular leukomalacia l IVH grading l</t>
  </si>
  <si>
    <t xml:space="preserve">https://www.youtube.com/watch?v=im0gKSxURbg</t>
  </si>
  <si>
    <t xml:space="preserve">radiology_defined</t>
  </si>
  <si>
    <t xml:space="preserve">Ilova katalogi v1 (2026-10-16); Ilovada: Neyrosonografiya → Chala tug‘ilgan bola miyasi: PVL va IVH darajalari</t>
  </si>
  <si>
    <t xml:space="preserve">V090</t>
  </si>
  <si>
    <t xml:space="preserve">IVH and the Preterm Brain</t>
  </si>
  <si>
    <t xml:space="preserve">https://www.youtube.com/watch?v=6IV2OcpLUz4</t>
  </si>
  <si>
    <t xml:space="preserve">CanadianPreemies</t>
  </si>
  <si>
    <t xml:space="preserve">Ilova katalogi v1 (2026-10-16); Ilovada: Neyrosonografiya → Qorinchalar ichiga qon quyilish (IVH)</t>
  </si>
  <si>
    <t xml:space="preserve">V091</t>
  </si>
  <si>
    <t xml:space="preserve">Ultrasound of the Neonatal Spine</t>
  </si>
  <si>
    <t xml:space="preserve">https://www.youtube.com/watch?v=JJFx_Se8kvc</t>
  </si>
  <si>
    <t xml:space="preserve">Emily Bass</t>
  </si>
  <si>
    <t xml:space="preserve">Ilova katalogi v1 (2026-10-16); Ilovada: Neyrosonografiya → Chaqaloq umurtqa pog‘onasi</t>
  </si>
  <si>
    <t xml:space="preserve">V092</t>
  </si>
  <si>
    <t xml:space="preserve">Standard views for a basic echocardiogram</t>
  </si>
  <si>
    <t xml:space="preserve">https://www.youtube.com/watch?v=fPPNqhd9DRk</t>
  </si>
  <si>
    <t xml:space="preserve">Learning Cardiology</t>
  </si>
  <si>
    <t xml:space="preserve">Ilova katalogi v1 (2026-10-16); Ilovada: Yurak exokardiografiyasi → Asosiy pozitsiyalar</t>
  </si>
  <si>
    <t xml:space="preserve">V093</t>
  </si>
  <si>
    <t xml:space="preserve">Basic Cardiac Ultrasound Views 3: Apical 4 Chamber (A4C)</t>
  </si>
  <si>
    <t xml:space="preserve">https://www.youtube.com/watch?v=_xXJgRVC0pU</t>
  </si>
  <si>
    <t xml:space="preserve">Calgary IMUS</t>
  </si>
  <si>
    <t xml:space="preserve">Ilova katalogi v1 (2026-10-16); Ilovada: Yurak exokardiografiyasi → Apikal to‘rt kamerali pozitsiya</t>
  </si>
  <si>
    <t xml:space="preserve">V094</t>
  </si>
  <si>
    <t xml:space="preserve">Echo Core Curriculum: A Practical Approach to Left Ventricular Ejection Fraction (LVEF) by Echo</t>
  </si>
  <si>
    <t xml:space="preserve">https://www.youtube.com/watch?v=7qIoGhlrbVc</t>
  </si>
  <si>
    <t xml:space="preserve">St. Michael's Hospital Virtual Echo Rounds</t>
  </si>
  <si>
    <t xml:space="preserve">Ilova katalogi v1 (2026-10-16); Ilovada: Yurak exokardiografiyasi → Chap qorincha otish fraksiyasi</t>
  </si>
  <si>
    <t xml:space="preserve">V095</t>
  </si>
  <si>
    <t xml:space="preserve">Mitral Stenosis. Echocardiographic Assessment</t>
  </si>
  <si>
    <t xml:space="preserve">https://www.youtube.com/watch?v=xrHiJtoggUI</t>
  </si>
  <si>
    <t xml:space="preserve">Echo Singh by Dr. U P Singh</t>
  </si>
  <si>
    <t xml:space="preserve">Ilova katalogi v1 (2026-10-16); Ilovada: Yurak exokardiografiyasi → Mitral stenoz</t>
  </si>
  <si>
    <t xml:space="preserve">V096</t>
  </si>
  <si>
    <t xml:space="preserve">Mitral Regurgitation: The New 2017 ASE Guidelines. Role of 2D/3D (WILLIAM A. ZOGHBI, MD)</t>
  </si>
  <si>
    <t xml:space="preserve">https://www.youtube.com/watch?v=l8heXKDGcOA</t>
  </si>
  <si>
    <t xml:space="preserve">Houston Methodist DeBakey CV Education</t>
  </si>
  <si>
    <t xml:space="preserve">Ilova katalogi v1 (2026-10-16); Ilovada: Yurak exokardiografiyasi → Mitral regurgitatsiya</t>
  </si>
  <si>
    <t xml:space="preserve">V097</t>
  </si>
  <si>
    <t xml:space="preserve">Echocardiographic Assessment of Aortic Stenosis</t>
  </si>
  <si>
    <t xml:space="preserve">https://www.youtube.com/watch?v=hW9FYG60OUY</t>
  </si>
  <si>
    <t xml:space="preserve">Ilova katalogi v1 (2026-10-16); Ilovada: Yurak exokardiografiyasi → Aortal stenoz</t>
  </si>
  <si>
    <t xml:space="preserve">V098</t>
  </si>
  <si>
    <t xml:space="preserve">Level 1 Video Lecture: Pericardial Effusions and Cardiac Tamponade</t>
  </si>
  <si>
    <t xml:space="preserve">https://www.youtube.com/watch?v=LQGIWOlGW0E</t>
  </si>
  <si>
    <t xml:space="preserve">Richard Fisher</t>
  </si>
  <si>
    <t xml:space="preserve">Ilova katalogi v1 (2026-10-16); Ilovada: Yurak exokardiografiyasi → Perikard suyuqligi va tamponada</t>
  </si>
  <si>
    <t xml:space="preserve">V099</t>
  </si>
  <si>
    <t xml:space="preserve">Anatomy Normal Thyroid Ultrasound Teaching Video Part 1</t>
  </si>
  <si>
    <t xml:space="preserve">https://www.youtube.com/watch?v=qAyRTluQxU8</t>
  </si>
  <si>
    <t xml:space="preserve">drcrutch</t>
  </si>
  <si>
    <t xml:space="preserve">Ilova katalogi v1 (2026-10-16); Ilovada: Qalqonsimon bez → Normal anatomiya</t>
  </si>
  <si>
    <t xml:space="preserve">V100</t>
  </si>
  <si>
    <t xml:space="preserve">Thyroid Ultrasound Probe Positioning | Transducer Placement, Scanning Technique USG</t>
  </si>
  <si>
    <t xml:space="preserve">https://www.youtube.com/watch?v=yGg7Ci88HrQ</t>
  </si>
  <si>
    <t xml:space="preserve">Ilova katalogi v1 (2026-10-16); Ilovada: Qalqonsimon bez → Tekshirish texnikasi</t>
  </si>
  <si>
    <t xml:space="preserve">V101</t>
  </si>
  <si>
    <t xml:space="preserve">06.22.02; 06.22.03</t>
  </si>
  <si>
    <t xml:space="preserve">Thyroid Ultrasound Course</t>
  </si>
  <si>
    <t xml:space="preserve">https://www.youtube.com/watch?v=bwuUR_Z8kb4</t>
  </si>
  <si>
    <t xml:space="preserve">thyroidorg</t>
  </si>
  <si>
    <t xml:space="preserve">Ilova katalogi v1 (2026-10-16); Ilovada: Qalqonsimon bez → To‘liq kurs</t>
  </si>
  <si>
    <t xml:space="preserve">V102</t>
  </si>
  <si>
    <t xml:space="preserve">ACR TIRADS Classification Of Thyroid Nodules Ultrasound | Thyroid Imaging Reporting and Data System</t>
  </si>
  <si>
    <t xml:space="preserve">https://www.youtube.com/watch?v=sA8Sje-Amu0</t>
  </si>
  <si>
    <t xml:space="preserve">Ilova katalogi v1 (2026-10-16); Ilovada: Qalqonsimon bez → Tugunlar: ACR TI-RADS</t>
  </si>
  <si>
    <t xml:space="preserve">V103</t>
  </si>
  <si>
    <t xml:space="preserve">Ultrasound findings of diffuse thyroid diseases</t>
  </si>
  <si>
    <t xml:space="preserve">https://www.youtube.com/watch?v=22qAYGU1Y0o</t>
  </si>
  <si>
    <t xml:space="preserve">Radiology interesting </t>
  </si>
  <si>
    <t xml:space="preserve">Ilova katalogi v1 (2026-10-16); Ilovada: Qalqonsimon bez → Diffuz kasalliklar</t>
  </si>
  <si>
    <t xml:space="preserve">V104</t>
  </si>
  <si>
    <t xml:space="preserve">Ultrasound of Hashimoto’s Thyroiditis</t>
  </si>
  <si>
    <t xml:space="preserve">https://www.youtube.com/watch?v=Q7KWVNuxHDU</t>
  </si>
  <si>
    <t xml:space="preserve">Ilova katalogi v1 (2026-10-16); Ilovada: Qalqonsimon bez → Xashimoto tireoiditi</t>
  </si>
  <si>
    <t xml:space="preserve">V105</t>
  </si>
  <si>
    <t xml:space="preserve">Ultrasound Findings of Graves’ Disease</t>
  </si>
  <si>
    <t xml:space="preserve">https://www.youtube.com/watch?v=L8nAxK3fSpU</t>
  </si>
  <si>
    <t xml:space="preserve">Ilova katalogi v1 (2026-10-16); Ilovada: Qalqonsimon bez → Graves kasalligi</t>
  </si>
  <si>
    <t xml:space="preserve">V106</t>
  </si>
  <si>
    <t xml:space="preserve">Ultrasound Evaluation of the Parathyroid</t>
  </si>
  <si>
    <t xml:space="preserve">https://www.youtube.com/watch?v=CENa72T47j0</t>
  </si>
  <si>
    <t xml:space="preserve">Ilova katalogi v1 (2026-10-16); Ilovada: Qalqonsimon bez → Qalqonsimon oldi bezlari</t>
  </si>
  <si>
    <t xml:space="preserve">V107</t>
  </si>
  <si>
    <t xml:space="preserve">Neck US - Lymph Nodes and Abscesses</t>
  </si>
  <si>
    <t xml:space="preserve">https://www.youtube.com/watch?v=g2_xvYaH7QI</t>
  </si>
  <si>
    <t xml:space="preserve">Ilova katalogi v1 (2026-10-16); Ilovada: Qalqonsimon bez → Bo‘yin limfa tugunlari</t>
  </si>
  <si>
    <t xml:space="preserve">V108</t>
  </si>
  <si>
    <t xml:space="preserve">How to: Performing basic breast ultrasound</t>
  </si>
  <si>
    <t xml:space="preserve">https://www.youtube.com/watch?v=Ooy4tdaxGg0</t>
  </si>
  <si>
    <t xml:space="preserve">Zedu Ultrasound Training Solutions</t>
  </si>
  <si>
    <t xml:space="preserve">Ilova katalogi v1 (2026-10-16); Ilovada: Ko‘krak bezi → Tekshirish texnikasi</t>
  </si>
  <si>
    <t xml:space="preserve">V109</t>
  </si>
  <si>
    <t xml:space="preserve">Breast Ultrasound scanning tips and common pathologies</t>
  </si>
  <si>
    <t xml:space="preserve">https://www.youtube.com/watch?v=BA4K6lfcdAM</t>
  </si>
  <si>
    <t xml:space="preserve">Ilova katalogi v1 (2026-10-16); Ilovada: Ko‘krak bezi → Texnika va keng uchraydigan patologiya</t>
  </si>
  <si>
    <t xml:space="preserve">V110</t>
  </si>
  <si>
    <t xml:space="preserve">Bi-Rads for Ultrasound</t>
  </si>
  <si>
    <t xml:space="preserve">https://www.youtube.com/watch?v=3_7pAMUD588</t>
  </si>
  <si>
    <t xml:space="preserve">Ilova katalogi v1 (2026-10-16); Ilovada: Ko‘krak bezi → BI-RADS tasnifi</t>
  </si>
  <si>
    <t xml:space="preserve">V111</t>
  </si>
  <si>
    <t xml:space="preserve">Breast Cancer Axillary Ultrasound: Find involved nodes</t>
  </si>
  <si>
    <t xml:space="preserve">https://www.youtube.com/watch?v=K3JX3u59UhY</t>
  </si>
  <si>
    <t xml:space="preserve">Breast Cancer School for Patients</t>
  </si>
  <si>
    <t xml:space="preserve">Ilova katalogi v1 (2026-10-16); Ilovada: Ko‘krak bezi → Qo‘ltiq osti limfa tugunlari</t>
  </si>
  <si>
    <t xml:space="preserve">V112</t>
  </si>
  <si>
    <t xml:space="preserve">Fetal Medicine Foundation - Nuchal translucency</t>
  </si>
  <si>
    <t xml:space="preserve">https://www.youtube.com/watch?v=yJs1OxjtPu8</t>
  </si>
  <si>
    <t xml:space="preserve">FMFoundation</t>
  </si>
  <si>
    <t xml:space="preserve">Ilova katalogi v1 (2026-10-16); Ilovada: Homila skriningi → 11–14 hafta: yoqa sohasi (NT)</t>
  </si>
  <si>
    <t xml:space="preserve">V113</t>
  </si>
  <si>
    <t xml:space="preserve">Normal fetal ultrasound biometry</t>
  </si>
  <si>
    <t xml:space="preserve">https://www.youtube.com/watch?v=YCnH12uhPDU</t>
  </si>
  <si>
    <t xml:space="preserve">Ilova katalogi v1 (2026-10-16); Ilovada: Homila skriningi → Homila biometriyasi</t>
  </si>
  <si>
    <t xml:space="preserve">V114</t>
  </si>
  <si>
    <t xml:space="preserve">Scan of the Week: 20 Week Detailed Anomaly Scan</t>
  </si>
  <si>
    <t xml:space="preserve">https://www.youtube.com/watch?v=AltM6ycwADA</t>
  </si>
  <si>
    <t xml:space="preserve">Ultrasound Ireland: Medical, Pregnancy Scans &amp; IVF Fertility Scans</t>
  </si>
  <si>
    <t xml:space="preserve">Ilova katalogi v1 (2026-10-16); Ilovada: Homila skriningi → 20 hafta anomaliya skriningi</t>
  </si>
  <si>
    <t xml:space="preserve">V115</t>
  </si>
  <si>
    <t xml:space="preserve">Fetal Brain Ultrasound Normal Vs Abnormal Image Appearances Comparison | Fetal Brain Pathologies USG</t>
  </si>
  <si>
    <t xml:space="preserve">https://www.youtube.com/watch?v=KKwAIzhnpCA</t>
  </si>
  <si>
    <t xml:space="preserve">Ilova katalogi v1 (2026-10-16); Ilovada: Homila skriningi → Homila bosh miyasi</t>
  </si>
  <si>
    <t xml:space="preserve">V116</t>
  </si>
  <si>
    <t xml:space="preserve">Key screening views of the fetal heart - Part 3 - 4-chamber view</t>
  </si>
  <si>
    <t xml:space="preserve">https://www.youtube.com/watch?v=XTi_JtdnMJM</t>
  </si>
  <si>
    <t xml:space="preserve">Philips Healthcare</t>
  </si>
  <si>
    <t xml:space="preserve">Ilova katalogi v1 (2026-10-16); Ilovada: Homila skriningi → Homila yuragi: to‘rt kamerali kesim</t>
  </si>
  <si>
    <t xml:space="preserve">V117</t>
  </si>
  <si>
    <t xml:space="preserve">TMT: FETAL IMAGING: OUTFLOW TRACTS by Dr Alpana Joshi</t>
  </si>
  <si>
    <t xml:space="preserve">https://www.youtube.com/watch?v=MBXIHbNMIH4</t>
  </si>
  <si>
    <t xml:space="preserve">Indian Radiologist</t>
  </si>
  <si>
    <t xml:space="preserve">Ilova katalogi v1 (2026-10-16); Ilovada: Homila skriningi → Homila yuragi: chiqish yo‘llari</t>
  </si>
  <si>
    <t xml:space="preserve">V118</t>
  </si>
  <si>
    <t xml:space="preserve">The Placenta and Umbilical Cord Ultrasound Video Lecture</t>
  </si>
  <si>
    <t xml:space="preserve">https://www.youtube.com/watch?v=s729yinUGbY</t>
  </si>
  <si>
    <t xml:space="preserve">Ilova katalogi v1 (2026-10-16); Ilovada: Homila skriningi → Yo‘ldosh va kindik</t>
  </si>
  <si>
    <t xml:space="preserve">V119</t>
  </si>
  <si>
    <t xml:space="preserve">Carotid Duplex Interpretations (Zsolt Garami, MD) January 18, 2022</t>
  </si>
  <si>
    <t xml:space="preserve">https://www.youtube.com/watch?v=kK-KIbFOzQw</t>
  </si>
  <si>
    <t xml:space="preserve">Ilova katalogi v1 (2026-10-16); Ilovada: Qon tomir doppleri → Uyqu arteriyalari</t>
  </si>
  <si>
    <t xml:space="preserve">V120</t>
  </si>
  <si>
    <t xml:space="preserve">Normal &amp; Abnormal Patterns of Carotid Doppler</t>
  </si>
  <si>
    <t xml:space="preserve">https://www.youtube.com/watch?v=BWQaxujCQOs</t>
  </si>
  <si>
    <t xml:space="preserve">Mastering &amp; Guidelines in Ultrasound &amp; Echo-Card</t>
  </si>
  <si>
    <t xml:space="preserve">Ilova katalogi v1 (2026-10-16); Ilovada: Qon tomir doppleri → Uyqu arteriyalari: normal va patologik spektr</t>
  </si>
  <si>
    <t xml:space="preserve">V121</t>
  </si>
  <si>
    <t xml:space="preserve">Introduction to the Lower Extremity Venous Doppler Study</t>
  </si>
  <si>
    <t xml:space="preserve">https://www.youtube.com/watch?v=UN4SN43I_6A</t>
  </si>
  <si>
    <t xml:space="preserve">Radiology Residency UM/JMH</t>
  </si>
  <si>
    <t xml:space="preserve">Ilova katalogi v1 (2026-10-16); Ilovada: Qon tomir doppleri → Oyoq venalari: tromboz (DVT)</t>
  </si>
  <si>
    <t xml:space="preserve">V122</t>
  </si>
  <si>
    <t xml:space="preserve">DVT Ultrasound of the Lower Extremities STEP by STEP</t>
  </si>
  <si>
    <t xml:space="preserve">https://www.youtube.com/watch?v=-i6o2uF0r8s</t>
  </si>
  <si>
    <t xml:space="preserve">POCUS 101</t>
  </si>
  <si>
    <t xml:space="preserve">Ilova katalogi v1 (2026-10-16); Ilovada: Qon tomir doppleri → Oyoq venalari: bosqichma-bosqich tekshiruv</t>
  </si>
  <si>
    <t xml:space="preserve">V123</t>
  </si>
  <si>
    <t xml:space="preserve">Lower Extremity Arterial Duplex Anatomy and Protocol</t>
  </si>
  <si>
    <t xml:space="preserve">https://www.youtube.com/watch?v=asGR_FOFljA</t>
  </si>
  <si>
    <t xml:space="preserve">Ilova katalogi v1 (2026-10-16); Ilovada: Qon tomir doppleri → Oyoq arteriyalari</t>
  </si>
  <si>
    <t xml:space="preserve">V124</t>
  </si>
  <si>
    <t xml:space="preserve">Renal Artery Duplex Anatomy, Protocol and Pathology</t>
  </si>
  <si>
    <t xml:space="preserve">https://www.youtube.com/watch?v=KD67TdZK70Q</t>
  </si>
  <si>
    <t xml:space="preserve">Ilova katalogi v1 (2026-10-16); Ilovada: Qon tomir doppleri → Buyrak arteriyalari</t>
  </si>
  <si>
    <t xml:space="preserve">V125</t>
  </si>
  <si>
    <t xml:space="preserve">Liver Doppler Ultrasound</t>
  </si>
  <si>
    <t xml:space="preserve">https://www.youtube.com/watch?v=mOrHMGMVSh4</t>
  </si>
  <si>
    <t xml:space="preserve">Educational Ultrasound Channel</t>
  </si>
  <si>
    <t xml:space="preserve">Ilova katalogi v1 (2026-10-16); Ilovada: Qon tomir doppleri → Jigar tomirlari doppleri</t>
  </si>
  <si>
    <t xml:space="preserve">V126</t>
  </si>
  <si>
    <t xml:space="preserve">An Introduction to Transcranial Doppler</t>
  </si>
  <si>
    <t xml:space="preserve">https://www.youtube.com/watch?v=WP1xj15MjnM</t>
  </si>
  <si>
    <t xml:space="preserve">Ilova katalogi v1 (2026-10-16); Ilovada: Transkranial doppler → Kirish</t>
  </si>
  <si>
    <t xml:space="preserve">V127</t>
  </si>
  <si>
    <t xml:space="preserve">Transcranial Doppler TCD Basics for the Perfusionist - Zsolt Garami, MD</t>
  </si>
  <si>
    <t xml:space="preserve">https://www.youtube.com/watch?v=dLuWKMY8cV8</t>
  </si>
  <si>
    <t xml:space="preserve">PerfWeb</t>
  </si>
  <si>
    <t xml:space="preserve">Ilova katalogi v1 (2026-10-16); Ilovada: Transkranial doppler → Asoslar</t>
  </si>
  <si>
    <t xml:space="preserve">V128</t>
  </si>
  <si>
    <t xml:space="preserve">the complete story [How to do transcranial doppler step by step approach]</t>
  </si>
  <si>
    <t xml:space="preserve">https://www.youtube.com/watch?v=M-X7PIuxHS0</t>
  </si>
  <si>
    <t xml:space="preserve">Walid Shibl</t>
  </si>
  <si>
    <t xml:space="preserve">Ilova katalogi v1 (2026-10-16); Ilovada: Transkranial doppler → Bosqichma-bosqich tekshiruv</t>
  </si>
  <si>
    <t xml:space="preserve">V129</t>
  </si>
  <si>
    <t xml:space="preserve">How to scan a Transcranial Doppler ultrasound exam | Neurosonography</t>
  </si>
  <si>
    <t xml:space="preserve">https://www.youtube.com/watch?v=b3NaWMh6tgQ</t>
  </si>
  <si>
    <t xml:space="preserve">lolgeselle</t>
  </si>
  <si>
    <t xml:space="preserve">Ilova katalogi v1 (2026-10-16); Ilovada: Transkranial doppler → Tekshirish texnikasi</t>
  </si>
  <si>
    <t xml:space="preserve">V130</t>
  </si>
  <si>
    <t xml:space="preserve">Transcranial Doppler Point of Care Ultrasound</t>
  </si>
  <si>
    <t xml:space="preserve">https://www.youtube.com/watch?v=sWR9a3tBZVY</t>
  </si>
  <si>
    <t xml:space="preserve">westernsono</t>
  </si>
  <si>
    <t xml:space="preserve">Ilova katalogi v1 (2026-10-16); Ilovada: Transkranial doppler → Shoshilinch holatlarda (POCUS)</t>
  </si>
  <si>
    <t xml:space="preserve">V131</t>
  </si>
  <si>
    <t xml:space="preserve">A very simple step by step approach to diagnose an acute ischemic stroke by TCCD</t>
  </si>
  <si>
    <t xml:space="preserve">https://www.youtube.com/watch?v=1pkokOa9arg</t>
  </si>
  <si>
    <t xml:space="preserve">Ilova katalogi v1 (2026-10-16); Ilovada: Transkranial doppler → O‘tkir ishemik insult (TCCD)</t>
  </si>
  <si>
    <t xml:space="preserve">V132</t>
  </si>
  <si>
    <t xml:space="preserve">Ultrasound Tutorial: MSK Series: Shoulder / Rotator Cuff | Radiology Nation</t>
  </si>
  <si>
    <t xml:space="preserve">https://www.youtube.com/watch?v=BwSJCkTBN0c</t>
  </si>
  <si>
    <t xml:space="preserve">Radiology Nation</t>
  </si>
  <si>
    <t xml:space="preserve">Ilova katalogi v1 (2026-10-16); Ilovada: Mushak, bo‘g‘im va nerv tizimi → Yelka: rotator manjet</t>
  </si>
  <si>
    <t xml:space="preserve">V133</t>
  </si>
  <si>
    <t xml:space="preserve">SHOULDER: Basic Ultrasound Examination Tutorial</t>
  </si>
  <si>
    <t xml:space="preserve">https://www.youtube.com/watch?v=TCpKWtJ9g9A</t>
  </si>
  <si>
    <t xml:space="preserve">Ilova katalogi v1 (2026-10-16); Ilovada: Mushak, bo‘g‘im va nerv tizimi → Yelka: asosiy tekshiruv</t>
  </si>
  <si>
    <t xml:space="preserve">V134</t>
  </si>
  <si>
    <t xml:space="preserve">Ultrasound of the Knee</t>
  </si>
  <si>
    <t xml:space="preserve">https://www.youtube.com/watch?v=BkBcQBgUdWw</t>
  </si>
  <si>
    <t xml:space="preserve">Ilova katalogi v1 (2026-10-16); Ilovada: Mushak, bo‘g‘im va nerv tizimi → Tizza bo‘g‘imi</t>
  </si>
  <si>
    <t xml:space="preserve">V135</t>
  </si>
  <si>
    <t xml:space="preserve">Baby Hip Ultrasound (Graf method) with Professor Dr. Reinhard Graf</t>
  </si>
  <si>
    <t xml:space="preserve">https://www.youtube.com/watch?v=_rakGya8Y3E</t>
  </si>
  <si>
    <t xml:space="preserve">Dr. Pabinger</t>
  </si>
  <si>
    <t xml:space="preserve">Ilova katalogi v1 (2026-10-16); Ilovada: Mushak, bo‘g‘im va nerv tizimi → Chaqaloq chanoq-son bo‘g‘imi (Graf)</t>
  </si>
  <si>
    <t xml:space="preserve">V136</t>
  </si>
  <si>
    <t xml:space="preserve">Ultrasound Tutorial: MSK Series: Achilles Tendon | Radiology Nation</t>
  </si>
  <si>
    <t xml:space="preserve">https://www.youtube.com/watch?v=DY_RDyZBSL4</t>
  </si>
  <si>
    <t xml:space="preserve">Ilova katalogi v1 (2026-10-16); Ilovada: Mushak, bo‘g‘im va nerv tizimi → Axill payi</t>
  </si>
  <si>
    <t xml:space="preserve">V137</t>
  </si>
  <si>
    <t xml:space="preserve">Ultrasound of Carpal Tunnel Syndrome</t>
  </si>
  <si>
    <t xml:space="preserve">https://www.youtube.com/watch?v=D91jcPrxIJw</t>
  </si>
  <si>
    <t xml:space="preserve">Ilova katalogi v1 (2026-10-16); Ilovada: Mushak, bo‘g‘im va nerv tizimi → Karpal kanal sindromi</t>
  </si>
  <si>
    <t xml:space="preserve">V138</t>
  </si>
  <si>
    <t xml:space="preserve">How to Scan the Upper Extremity Peripheral Nerves  (Ulnar Nerve, Median Nerve and Radial Nerves)</t>
  </si>
  <si>
    <t xml:space="preserve">https://www.youtube.com/watch?v=7KNgLUA587w</t>
  </si>
  <si>
    <t xml:space="preserve">Gulfcoast Ultrasound Institute</t>
  </si>
  <si>
    <t xml:space="preserve">Ilova katalogi v1 (2026-10-16); Ilovada: Mushak, bo‘g‘im va nerv tizimi → Qo‘l nervlari (o‘rta, tirsak, bilak)</t>
  </si>
  <si>
    <t xml:space="preserve">V139</t>
  </si>
  <si>
    <t xml:space="preserve">How can I prepare for my Abdominal or Pelvic Ultrasound?</t>
  </si>
  <si>
    <t xml:space="preserve">https://www.youtube.com/watch?v=eanifUMkxHo</t>
  </si>
  <si>
    <t xml:space="preserve">Klinika (bemorlar uchun)</t>
  </si>
  <si>
    <t xml:space="preserve">Bemor uchun tushuntirish</t>
  </si>
  <si>
    <t xml:space="preserve">V140</t>
  </si>
  <si>
    <t xml:space="preserve">What to Expect From a Female Pelvic Ultrasound Exam</t>
  </si>
  <si>
    <t xml:space="preserve">https://www.youtube.com/watch?v=2B1KRrid-b4</t>
  </si>
  <si>
    <t xml:space="preserve">RAYUS Radiology®</t>
  </si>
  <si>
    <t xml:space="preserve">Radiologiya klinikasi</t>
  </si>
  <si>
    <t xml:space="preserve">V141</t>
  </si>
  <si>
    <t xml:space="preserve">Having a Transvaginal Ultrasound with Queensland X-Ray</t>
  </si>
  <si>
    <t xml:space="preserve">https://www.youtube.com/watch?v=SCnuJpgJaxc</t>
  </si>
  <si>
    <t xml:space="preserve">Queensland X-Ray</t>
  </si>
  <si>
    <t xml:space="preserve">V142</t>
  </si>
  <si>
    <t xml:space="preserve">How to Get Better Transvaginal Ultrasound Images — Positioning Pearls From Dr. Joelle Borhart</t>
  </si>
  <si>
    <t xml:space="preserve">https://www.youtube.com/watch?v=7F86WvNvU3U</t>
  </si>
  <si>
    <t xml:space="preserve">MedStar Emergency Physicians</t>
  </si>
  <si>
    <t xml:space="preserve">Klinika (shoshilinch tibbiyot)</t>
  </si>
  <si>
    <t xml:space="preserve">V143</t>
  </si>
  <si>
    <t xml:space="preserve">Pediatric BachelorClass - Your introduction to pediatric ultrasound</t>
  </si>
  <si>
    <t xml:space="preserve">https://www.youtube.com/watch?v=F3s_Jh29H5w</t>
  </si>
  <si>
    <t xml:space="preserve">123sonography</t>
  </si>
  <si>
    <t xml:space="preserve">Ta’lim markazi (123sonography)</t>
  </si>
  <si>
    <t xml:space="preserve">V144</t>
  </si>
  <si>
    <t xml:space="preserve">Emergent Pediatric Ultrasound</t>
  </si>
  <si>
    <t xml:space="preserve">https://www.youtube.com/watch?v=03aBMNSCuzA</t>
  </si>
  <si>
    <t xml:space="preserve">AIUMultrasound</t>
  </si>
  <si>
    <t xml:space="preserve">V145</t>
  </si>
  <si>
    <t xml:space="preserve">Ultrasound Probe/Transducer Movements and Manipulation Made EASY!</t>
  </si>
  <si>
    <t xml:space="preserve">https://www.youtube.com/watch?v=GhkNXh0m5Nk</t>
  </si>
  <si>
    <t xml:space="preserve">Ta’lim kanali (POCUS 101)</t>
  </si>
  <si>
    <t xml:space="preserve">V146</t>
  </si>
  <si>
    <t xml:space="preserve">Transducer Basic Movements</t>
  </si>
  <si>
    <t xml:space="preserve">https://www.youtube.com/watch?v=2vT6TudpdLs</t>
  </si>
  <si>
    <t xml:space="preserve">Universitet dasturi (Calgary IMUS)</t>
  </si>
  <si>
    <t xml:space="preserve">V147</t>
  </si>
  <si>
    <t xml:space="preserve">Transducer Movements</t>
  </si>
  <si>
    <t xml:space="preserve">https://www.youtube.com/watch?v=r5WvUEPhCfo</t>
  </si>
  <si>
    <t xml:space="preserve">Ishlab chiqaruvchi (Clarius)</t>
  </si>
  <si>
    <t xml:space="preserve">V148</t>
  </si>
  <si>
    <t xml:space="preserve">Ultrasound Probe Orientation, Movements &amp; Planes Explained | Dr. Purvi Agrawal</t>
  </si>
  <si>
    <t xml:space="preserve">https://www.youtube.com/watch?v=upxTXulI7Vw</t>
  </si>
  <si>
    <t xml:space="preserve">Conceptual OBG</t>
  </si>
  <si>
    <t xml:space="preserve">Shaxsiy kanal (akusher-ginekolog)</t>
  </si>
  <si>
    <t xml:space="preserve">V149</t>
  </si>
  <si>
    <t xml:space="preserve">Ultrasound: How to Scan</t>
  </si>
  <si>
    <t xml:space="preserve">https://www.youtube.com/watch?v=AxuGkz78pBA</t>
  </si>
  <si>
    <t xml:space="preserve">Radiology Frameworks</t>
  </si>
  <si>
    <t xml:space="preserve">Ta’lim kanali (Radiology Frameworks)</t>
  </si>
  <si>
    <t xml:space="preserve">V150</t>
  </si>
  <si>
    <t xml:space="preserve">Anatomy of an Ultrasound Image</t>
  </si>
  <si>
    <t xml:space="preserve">https://www.youtube.com/watch?v=MhiAiPvxiUM</t>
  </si>
  <si>
    <t xml:space="preserve">V151</t>
  </si>
  <si>
    <t xml:space="preserve">Ergonomics in Sonography</t>
  </si>
  <si>
    <t xml:space="preserve">https://www.youtube.com/watch?v=v1Sbi4wdMVs</t>
  </si>
  <si>
    <t xml:space="preserve">Ta’lim markazi (Gulfcoast)</t>
  </si>
  <si>
    <t xml:space="preserve">V152</t>
  </si>
  <si>
    <t xml:space="preserve">Scanning Ergonomics and Your Safety: Reducing Sonographers' Risk of Injury</t>
  </si>
  <si>
    <t xml:space="preserve">https://www.youtube.com/watch?v=ZFsYdpEkRRc</t>
  </si>
  <si>
    <t xml:space="preserve">Biodex Rehabilitation</t>
  </si>
  <si>
    <t xml:space="preserve">Ishlab chiqaruvchi (Biodex)</t>
  </si>
  <si>
    <t xml:space="preserve">V153</t>
  </si>
  <si>
    <t xml:space="preserve">How To Avoid Getting Injured as a Sonographer</t>
  </si>
  <si>
    <t xml:space="preserve">https://www.youtube.com/watch?v=gH1EabSgLMk</t>
  </si>
  <si>
    <t xml:space="preserve">The Skilled Sonographer </t>
  </si>
  <si>
    <t xml:space="preserve">Shaxsiy kanal (sonografist)</t>
  </si>
  <si>
    <t xml:space="preserve">V154</t>
  </si>
  <si>
    <t xml:space="preserve">Decoding Ultrasound Language | Understanding Hyperechoic, Hypoechoic, Echogenicity, Isoechoic, and ?</t>
  </si>
  <si>
    <t xml:space="preserve">https://www.youtube.com/watch?v=OBzbE0H9FUM</t>
  </si>
  <si>
    <t xml:space="preserve">Dr Ali Waqar</t>
  </si>
  <si>
    <t xml:space="preserve">V155</t>
  </si>
  <si>
    <t xml:space="preserve">Anechoic vs Hypoechoic vs Hyperechoic Explained (Ultrasound Basics) #ultrasound </t>
  </si>
  <si>
    <t xml:space="preserve">https://www.youtube.com/watch?v=VCq-ZQg6i08</t>
  </si>
  <si>
    <t xml:space="preserve">Ultrasound for Beginners</t>
  </si>
  <si>
    <t xml:space="preserve">V156</t>
  </si>
  <si>
    <t xml:space="preserve">Generalised Hypoechoic and Hyperechoic Differential Diagnosis</t>
  </si>
  <si>
    <t xml:space="preserve">https://www.youtube.com/watch?v=CV3jWuFSHo4</t>
  </si>
  <si>
    <t xml:space="preserve">Ultrasound &amp; Radiology Teaching </t>
  </si>
  <si>
    <t xml:space="preserve">V157</t>
  </si>
  <si>
    <t xml:space="preserve">How to Write a Great Report: Diagnostic Radiologist's Perspective</t>
  </si>
  <si>
    <t xml:space="preserve">https://www.youtube.com/watch?v=TKPTNFeMGTA</t>
  </si>
  <si>
    <t xml:space="preserve">ARRS</t>
  </si>
  <si>
    <t xml:space="preserve">Professional jamiyat (ARRS)</t>
  </si>
  <si>
    <t xml:space="preserve">V158</t>
  </si>
  <si>
    <t xml:space="preserve">Create More Effective Radiology Reports</t>
  </si>
  <si>
    <t xml:space="preserve">https://www.youtube.com/watch?v=jIn1ZDOUY00</t>
  </si>
  <si>
    <t xml:space="preserve">V159</t>
  </si>
  <si>
    <t xml:space="preserve">Liver Ultrasound Reporting | Liver Diseases Scan Reports | How To Write USG Report | Abdominal USG</t>
  </si>
  <si>
    <t xml:space="preserve">https://www.youtube.com/watch?v=3S48hbwkFdg</t>
  </si>
  <si>
    <t xml:space="preserve">V160</t>
  </si>
  <si>
    <t xml:space="preserve">How to write a gynaecology ultrasound report</t>
  </si>
  <si>
    <t xml:space="preserve">https://www.youtube.com/watch?v=3ECCimg6KSE</t>
  </si>
  <si>
    <t xml:space="preserve">Gynaecology Ultrasound</t>
  </si>
  <si>
    <t xml:space="preserve">Ta’lim kanali (ginekologiya)</t>
  </si>
  <si>
    <t xml:space="preserve">V161</t>
  </si>
  <si>
    <t xml:space="preserve">Liver Ultrasound: Using Shear Wave Elastography and Attenuation in diagnosing Fibrosis &amp; Steatosis</t>
  </si>
  <si>
    <t xml:space="preserve">https://www.youtube.com/watch?v=NnoHlaxJhes</t>
  </si>
  <si>
    <t xml:space="preserve">International Society of Liver Ultrasound</t>
  </si>
  <si>
    <t xml:space="preserve">Professional jamiyat</t>
  </si>
  <si>
    <t xml:space="preserve">Taklif: GPT-1 (2026-10-17)</t>
  </si>
  <si>
    <t xml:space="preserve">V162</t>
  </si>
  <si>
    <t xml:space="preserve">Ultasound Troubleshoot The Common Bile Duct CBD</t>
  </si>
  <si>
    <t xml:space="preserve">https://www.youtube.com/watch?v=l_Ef3D9-8jc</t>
  </si>
  <si>
    <t xml:space="preserve">Michael Schick</t>
  </si>
  <si>
    <t xml:space="preserve">Shaxsiy kanal</t>
  </si>
  <si>
    <t xml:space="preserve">V163</t>
  </si>
  <si>
    <t xml:space="preserve">Scanning the Common Bile Duct CBD</t>
  </si>
  <si>
    <t xml:space="preserve">https://www.youtube.com/watch?v=10Tus9CBjG4</t>
  </si>
  <si>
    <t xml:space="preserve">V164</t>
  </si>
  <si>
    <t xml:space="preserve">Renal Transplant Doppler Ultrasound Normal Vs Abnormal Images | Transplant Complication | Kidney USG</t>
  </si>
  <si>
    <t xml:space="preserve">https://www.youtube.com/watch?v=7d4luvgDnnU</t>
  </si>
  <si>
    <t xml:space="preserve">Klinik holatlar</t>
  </si>
  <si>
    <t xml:space="preserve">V165</t>
  </si>
  <si>
    <t xml:space="preserve">Point of Care Ultrasound for Ascites (POCUS)</t>
  </si>
  <si>
    <t xml:space="preserve">https://www.youtube.com/watch?v=4M_mon2ubH0</t>
  </si>
  <si>
    <t xml:space="preserve">Stanford Medicine 25</t>
  </si>
  <si>
    <t xml:space="preserve">Universitet</t>
  </si>
  <si>
    <t xml:space="preserve">V166</t>
  </si>
  <si>
    <t xml:space="preserve">Endometrial Thickness Ultrasound Image Appearances | Endometrium Menstrual Cycle USG Images</t>
  </si>
  <si>
    <t xml:space="preserve">https://www.youtube.com/watch?v=zYUjp9_GHCg</t>
  </si>
  <si>
    <t xml:space="preserve">V167</t>
  </si>
  <si>
    <t xml:space="preserve">Corpus Luteum on Transvaginal Ultrasound</t>
  </si>
  <si>
    <t xml:space="preserve">https://www.youtube.com/watch?v=lkb3nwp_jIE</t>
  </si>
  <si>
    <t xml:space="preserve">Stavros Mousourakis</t>
  </si>
  <si>
    <t xml:space="preserve">Shifokor kanali</t>
  </si>
  <si>
    <t xml:space="preserve">V168</t>
  </si>
  <si>
    <t xml:space="preserve">The ultrasound diagnosis of adenomyosis</t>
  </si>
  <si>
    <t xml:space="preserve">https://www.youtube.com/watch?v=pUDjkNvsfEc</t>
  </si>
  <si>
    <t xml:space="preserve">V169</t>
  </si>
  <si>
    <t xml:space="preserve">Case Review: Ultrasound of Uterine Adenomyosis</t>
  </si>
  <si>
    <t xml:space="preserve">https://www.youtube.com/watch?v=jnrb8dKKHvw</t>
  </si>
  <si>
    <t xml:space="preserve">Ta’lim kanali (Radquarters)</t>
  </si>
  <si>
    <t xml:space="preserve">V170</t>
  </si>
  <si>
    <t xml:space="preserve">Ovary Ultrasound Normal Vs Abnormal Image Appearances | Ovarian Pathologies On USG</t>
  </si>
  <si>
    <t xml:space="preserve">https://www.youtube.com/watch?v=Bg2LHJoIgao</t>
  </si>
  <si>
    <t xml:space="preserve">V171</t>
  </si>
  <si>
    <t xml:space="preserve">Case Review: Ultrasound of Endometrioma</t>
  </si>
  <si>
    <t xml:space="preserve">https://www.youtube.com/watch?v=iRhuwIV6msA</t>
  </si>
  <si>
    <t xml:space="preserve">V172</t>
  </si>
  <si>
    <t xml:space="preserve">Ultrasound Signs for diagnosing adnexal torsion</t>
  </si>
  <si>
    <t xml:space="preserve">https://www.youtube.com/watch?v=sLAIM8GJR3w</t>
  </si>
  <si>
    <t xml:space="preserve">V173</t>
  </si>
  <si>
    <t xml:space="preserve">Systematic approach to sonographic evaluation of the pelvis in women with suspected endometriosis</t>
  </si>
  <si>
    <t xml:space="preserve">https://www.youtube.com/watch?v=Ql7RBhjJ7GE</t>
  </si>
  <si>
    <t xml:space="preserve">ISUOG Team</t>
  </si>
  <si>
    <t xml:space="preserve">Professional jamiyat (ISUOG)</t>
  </si>
  <si>
    <t xml:space="preserve">Ilg‘or</t>
  </si>
  <si>
    <t xml:space="preserve">V174</t>
  </si>
  <si>
    <t xml:space="preserve">Ultrasound of Hydrosalpinx, Pyosalpinx &amp; Tubo-ovarian Abscess</t>
  </si>
  <si>
    <t xml:space="preserve">https://www.youtube.com/watch?v=SLhqztA0E2I</t>
  </si>
  <si>
    <t xml:space="preserve">V175</t>
  </si>
  <si>
    <t xml:space="preserve">Imaging of Pelvic Inflammatory Disease, Part I</t>
  </si>
  <si>
    <t xml:space="preserve">https://www.youtube.com/watch?v=nnpASPO3WxQ</t>
  </si>
  <si>
    <t xml:space="preserve">V176</t>
  </si>
  <si>
    <t xml:space="preserve">IUD position on ultrasound</t>
  </si>
  <si>
    <t xml:space="preserve">https://www.youtube.com/watch?v=y7QZvbPdVC4</t>
  </si>
  <si>
    <t xml:space="preserve">V177</t>
  </si>
  <si>
    <t xml:space="preserve">Ovarian Cysts and Masses in Kids and Teens</t>
  </si>
  <si>
    <t xml:space="preserve">https://www.youtube.com/watch?v=oLmjuV11eTs</t>
  </si>
  <si>
    <t xml:space="preserve">Children's Colorado Pediatric Professionals</t>
  </si>
  <si>
    <t xml:space="preserve">Bolalar kasalxonasi (Children’s Colorado)</t>
  </si>
  <si>
    <t xml:space="preserve">V178</t>
  </si>
  <si>
    <t xml:space="preserve">Pediatric Ovarian Torsion</t>
  </si>
  <si>
    <t xml:space="preserve">https://www.youtube.com/watch?v=R2szHuS-jFc</t>
  </si>
  <si>
    <t xml:space="preserve">P2 Network</t>
  </si>
  <si>
    <t xml:space="preserve">Pediatriya ta’lim tarmog‘i</t>
  </si>
  <si>
    <t xml:space="preserve">V179</t>
  </si>
  <si>
    <t xml:space="preserve">Scrotal Ultrasound Everything You Should Know (part 1)</t>
  </si>
  <si>
    <t xml:space="preserve">https://www.youtube.com/watch?v=DZgK3I78PCA</t>
  </si>
  <si>
    <t xml:space="preserve">Ta’lim kanali (123radiology)</t>
  </si>
  <si>
    <t xml:space="preserve">V180</t>
  </si>
  <si>
    <t xml:space="preserve">Ultrasound of Epididymitis &amp; Orchitis</t>
  </si>
  <si>
    <t xml:space="preserve">https://www.youtube.com/watch?v=xVgVavfHn7I</t>
  </si>
  <si>
    <t xml:space="preserve">V181</t>
  </si>
  <si>
    <t xml:space="preserve">Ultrasound of Acute Epididymo Orchitis by Dr Arjun Kalyanpur</t>
  </si>
  <si>
    <t xml:space="preserve">https://www.youtube.com/watch?v=iVPJ4J4tP3g</t>
  </si>
  <si>
    <t xml:space="preserve">Radiology Teaching By radguru.net</t>
  </si>
  <si>
    <t xml:space="preserve">Shifokor kanali (radiolog)</t>
  </si>
  <si>
    <t xml:space="preserve">V182</t>
  </si>
  <si>
    <t xml:space="preserve">Global Ultrasound Institute:  Orchitis and Epididymitis on Point of Care Ultrasound</t>
  </si>
  <si>
    <t xml:space="preserve">https://www.youtube.com/watch?v=MzIelLQ4Gmo</t>
  </si>
  <si>
    <t xml:space="preserve">Global Ultrasound Institute</t>
  </si>
  <si>
    <t xml:space="preserve">Ta’lim markazi (Global Ultrasound Institute)</t>
  </si>
  <si>
    <t xml:space="preserve">V183</t>
  </si>
  <si>
    <t xml:space="preserve">Ultrasound of Varicocele</t>
  </si>
  <si>
    <t xml:space="preserve">https://www.youtube.com/watch?v=D-0Quvs4aL4</t>
  </si>
  <si>
    <t xml:space="preserve">V184</t>
  </si>
  <si>
    <t xml:space="preserve">04.17.04; 04.17.03</t>
  </si>
  <si>
    <t xml:space="preserve">Scrotal Ultrasound Normal Vs Abnormal Image Appearances | Scrotum, Testis, Epididymis USG Scan</t>
  </si>
  <si>
    <t xml:space="preserve">https://www.youtube.com/watch?v=69gsm1iMGr0</t>
  </si>
  <si>
    <t xml:space="preserve">V185</t>
  </si>
  <si>
    <t xml:space="preserve">Case of the Week: Testicular Epidermoid Cyst (Ultrasound)</t>
  </si>
  <si>
    <t xml:space="preserve">https://www.youtube.com/watch?v=uR_fIjMSmpo</t>
  </si>
  <si>
    <t xml:space="preserve">V186</t>
  </si>
  <si>
    <t xml:space="preserve">Testicular Fracture Ultrasound Findings</t>
  </si>
  <si>
    <t xml:space="preserve">https://www.youtube.com/watch?v=FwL7IKsfjZ0</t>
  </si>
  <si>
    <t xml:space="preserve">Joseph Minardi</t>
  </si>
  <si>
    <t xml:space="preserve">Shifokor kanali (shoshilinch tibbiyot)</t>
  </si>
  <si>
    <t xml:space="preserve">V187</t>
  </si>
  <si>
    <t xml:space="preserve">Bedside Ultrasound in a Case of Blunt Scrotal Trauma 1</t>
  </si>
  <si>
    <t xml:space="preserve">https://www.youtube.com/watch?v=VFsn-LfKCjI</t>
  </si>
  <si>
    <t xml:space="preserve">WestJEM</t>
  </si>
  <si>
    <t xml:space="preserve">Ilmiy jurnal (WestJEM)</t>
  </si>
  <si>
    <t xml:space="preserve">V188</t>
  </si>
  <si>
    <t xml:space="preserve">Bladder and Prostate Ultrasound</t>
  </si>
  <si>
    <t xml:space="preserve">https://www.youtube.com/watch?v=TyuYETb4k_I</t>
  </si>
  <si>
    <t xml:space="preserve">V189</t>
  </si>
  <si>
    <t xml:space="preserve">Prostate Ultrasound Normal Vs Abnormal Image Appearances | Transrectal (TRUS) &amp; Transabdominal USG</t>
  </si>
  <si>
    <t xml:space="preserve">https://www.youtube.com/watch?v=vGKgUPf3A64</t>
  </si>
  <si>
    <t xml:space="preserve">V190</t>
  </si>
  <si>
    <t xml:space="preserve">How to Measure Urinary Bladder and Prostate Volume (Demo For Residents)</t>
  </si>
  <si>
    <t xml:space="preserve">https://www.youtube.com/watch?v=oAoqrEsk5_k</t>
  </si>
  <si>
    <t xml:space="preserve">V191</t>
  </si>
  <si>
    <t xml:space="preserve">Penile Ultrasound in  Erectile Dysfunction</t>
  </si>
  <si>
    <t xml:space="preserve">https://www.youtube.com/watch?v=d23v9RM3GXA</t>
  </si>
  <si>
    <t xml:space="preserve">Ta’lim kanali (Radiology Without Borders)</t>
  </si>
  <si>
    <t xml:space="preserve">V192</t>
  </si>
  <si>
    <t xml:space="preserve">Procedural video shows how to perform in-office Penile Duplex Ultrasound for Erectile Dysfunction</t>
  </si>
  <si>
    <t xml:space="preserve">https://www.youtube.com/watch?v=uts5CNIBuXk</t>
  </si>
  <si>
    <t xml:space="preserve">Omer Raheem MD</t>
  </si>
  <si>
    <t xml:space="preserve">Shifokor kanali (urolog)</t>
  </si>
  <si>
    <t xml:space="preserve">4:25</t>
  </si>
  <si>
    <t xml:space="preserve">V193</t>
  </si>
  <si>
    <t xml:space="preserve">Ultrasound of normal early pregnancy</t>
  </si>
  <si>
    <t xml:space="preserve">https://www.youtube.com/watch?v=kWHAzsYec6o</t>
  </si>
  <si>
    <t xml:space="preserve">V194</t>
  </si>
  <si>
    <t xml:space="preserve">Intrauterine Pregnancy Identification with Point-of-Care Ultrasound (5MS)</t>
  </si>
  <si>
    <t xml:space="preserve">https://www.youtube.com/watch?v=f_GR7AZEDWo</t>
  </si>
  <si>
    <t xml:space="preserve">Ta’lim kanali (Core Ultrasound)</t>
  </si>
  <si>
    <t xml:space="preserve">V195</t>
  </si>
  <si>
    <t xml:space="preserve">Early Pregnancy TVS: Normal Intrauterine Gestation: Yolk Sac, Double Decidual Sac &amp; Corpus Luteum</t>
  </si>
  <si>
    <t xml:space="preserve">https://www.youtube.com/watch?v=lKWYc414iro</t>
  </si>
  <si>
    <t xml:space="preserve">Ultrasound videos</t>
  </si>
  <si>
    <t xml:space="preserve">V196</t>
  </si>
  <si>
    <t xml:space="preserve">Early pregnancy ultrasound explained : GS , YS and FP</t>
  </si>
  <si>
    <t xml:space="preserve">https://www.youtube.com/watch?v=77ArLz9A7yI</t>
  </si>
  <si>
    <t xml:space="preserve">Alaa Elsayed  , M.D.</t>
  </si>
  <si>
    <t xml:space="preserve">V197</t>
  </si>
  <si>
    <t xml:space="preserve">Early Pregnancy Ultrasound: Assessment of Gestational Age | Crown-Rump Length &amp; Biparietal Diameter</t>
  </si>
  <si>
    <t xml:space="preserve">https://www.youtube.com/watch?v=dgk8uNfJnAQ</t>
  </si>
  <si>
    <t xml:space="preserve">Ta’lim platformasi (Medmastery)</t>
  </si>
  <si>
    <t xml:space="preserve">V198</t>
  </si>
  <si>
    <t xml:space="preserve">How To Measure Crown Rump Length (CRL) On Ultrasound | Intrauterine Pregnancy Obstetric USG Scan</t>
  </si>
  <si>
    <t xml:space="preserve">https://www.youtube.com/watch?v=4T39JIOiytw</t>
  </si>
  <si>
    <t xml:space="preserve">V199</t>
  </si>
  <si>
    <t xml:space="preserve">Ultrasound of First Trimester Pregnancy</t>
  </si>
  <si>
    <t xml:space="preserve">https://www.youtube.com/watch?v=b-W_PCM7Tfk</t>
  </si>
  <si>
    <t xml:space="preserve">Universitet (Michigan Medicine)</t>
  </si>
  <si>
    <t xml:space="preserve">V200</t>
  </si>
  <si>
    <t xml:space="preserve">Early Pregnancy Failure, A simplified Ultrasound Approach</t>
  </si>
  <si>
    <t xml:space="preserve">https://www.youtube.com/watch?v=raIclmdJOPo</t>
  </si>
  <si>
    <t xml:space="preserve">V201</t>
  </si>
  <si>
    <t xml:space="preserve">Diagnosing Pregnancy Failure with POCUS</t>
  </si>
  <si>
    <t xml:space="preserve">https://www.youtube.com/watch?v=HAe1cqz3NBs</t>
  </si>
  <si>
    <t xml:space="preserve">Klinika ta’lim seriyasi (MetroHealth)</t>
  </si>
  <si>
    <t xml:space="preserve">V202</t>
  </si>
  <si>
    <t xml:space="preserve">Case Review: Ultrasound of Complete Molar Pregnancy</t>
  </si>
  <si>
    <t xml:space="preserve">https://www.youtube.com/watch?v=V4VuRC5oC8c</t>
  </si>
  <si>
    <t xml:space="preserve">V203</t>
  </si>
  <si>
    <t xml:space="preserve">Molar Pregnancy || Hydatidiform Mole || Gestational Trophoblastic Disease || Ultrasound || Case 38</t>
  </si>
  <si>
    <t xml:space="preserve">https://www.youtube.com/watch?v=0Fa60LWMuPk</t>
  </si>
  <si>
    <t xml:space="preserve">Imaging Study</t>
  </si>
  <si>
    <t xml:space="preserve">V204</t>
  </si>
  <si>
    <t xml:space="preserve">ISUOG Practice Guidelines: performance of 11–14-week ultrasound scan</t>
  </si>
  <si>
    <t xml:space="preserve">https://www.youtube.com/watch?v=uCbcN87colY</t>
  </si>
  <si>
    <t xml:space="preserve">V205</t>
  </si>
  <si>
    <t xml:space="preserve">AIUM Webinar: Systematic Evaluation of the 11-14 Week Fetus, Touching on ISUOG Guidelines</t>
  </si>
  <si>
    <t xml:space="preserve">https://www.youtube.com/watch?v=edk-IFhNPp0</t>
  </si>
  <si>
    <t xml:space="preserve">V206</t>
  </si>
  <si>
    <t xml:space="preserve">Nasal bone assessment and absent nasal bone at 11-13 weeks</t>
  </si>
  <si>
    <t xml:space="preserve">https://www.youtube.com/watch?v=4jsv2ClMV6o</t>
  </si>
  <si>
    <t xml:space="preserve">London Pregnancy Clinic</t>
  </si>
  <si>
    <t xml:space="preserve">Klinika (London Pregnancy Clinic)</t>
  </si>
  <si>
    <t xml:space="preserve">V207</t>
  </si>
  <si>
    <t xml:space="preserve">Fetal Ductus Venosus Doppler Ultrasound Interpretation</t>
  </si>
  <si>
    <t xml:space="preserve">https://www.youtube.com/watch?v=3z53bFanal4</t>
  </si>
  <si>
    <t xml:space="preserve">AAUN Obs and Gynae</t>
  </si>
  <si>
    <t xml:space="preserve">Ta’lim kanali (akusherlik)</t>
  </si>
  <si>
    <t xml:space="preserve">V208</t>
  </si>
  <si>
    <t xml:space="preserve">Fetal tricuspid regurgitation</t>
  </si>
  <si>
    <t xml:space="preserve">https://www.youtube.com/watch?v=cL8aSaXYjuA</t>
  </si>
  <si>
    <t xml:space="preserve">Dr Ashutosh Gupta (Fetal &amp; Genetic Clinic)</t>
  </si>
  <si>
    <t xml:space="preserve">Shifokor kanali (fetal medicine)</t>
  </si>
  <si>
    <t xml:space="preserve">V209</t>
  </si>
  <si>
    <t xml:space="preserve">ISUOG 2020 Karl Oliver Kagan - First trimester anomaly scan</t>
  </si>
  <si>
    <t xml:space="preserve">https://www.youtube.com/watch?v=yTRL5DDVsn0</t>
  </si>
  <si>
    <t xml:space="preserve">Global Medical Business at Canon Inc.</t>
  </si>
  <si>
    <t xml:space="preserve">ISUOG kongressi (Canon kanali)</t>
  </si>
  <si>
    <t xml:space="preserve">V210</t>
  </si>
  <si>
    <t xml:space="preserve">Early Pregnancy Anomaly Scan at 11-13 weeks: ISUOG Approved Course</t>
  </si>
  <si>
    <t xml:space="preserve">https://www.youtube.com/watch?v=ILdHR_ZTt0c</t>
  </si>
  <si>
    <t xml:space="preserve">Klinika (London Pregnancy Clinic), ISUOG tasdiqlagan kurs</t>
  </si>
  <si>
    <t xml:space="preserve">V211</t>
  </si>
  <si>
    <t xml:space="preserve">ISUOG First trimester fetal malformation course 27 February 2022</t>
  </si>
  <si>
    <t xml:space="preserve">https://www.youtube.com/watch?v=j6HKEUrJs0U</t>
  </si>
  <si>
    <t xml:space="preserve">V212</t>
  </si>
  <si>
    <t xml:space="preserve">Fetal Ultrasound in the 2nd Trimester</t>
  </si>
  <si>
    <t xml:space="preserve">https://www.youtube.com/watch?v=-FRkMaG7ok4</t>
  </si>
  <si>
    <t xml:space="preserve">V213</t>
  </si>
  <si>
    <t xml:space="preserve">Fetus Ultrasound , Fetal Biometry, Part4 [ Fetal Weight Estimation ]</t>
  </si>
  <si>
    <t xml:space="preserve">https://www.youtube.com/watch?v=dKS3AFX1cAc</t>
  </si>
  <si>
    <t xml:space="preserve">Sonography_Radiology</t>
  </si>
  <si>
    <t xml:space="preserve">V214</t>
  </si>
  <si>
    <t xml:space="preserve">Fetal Head Ultrasound Normal Vs Abnormal Images | Cloverleaf/Lemon/Strawberry Sign Skull USG</t>
  </si>
  <si>
    <t xml:space="preserve">https://www.youtube.com/watch?v=eSnBj7k4RHI</t>
  </si>
  <si>
    <t xml:space="preserve">V215</t>
  </si>
  <si>
    <t xml:space="preserve">Fetal Spine Ultrasound Normal Vs Abnormal Image Appearances | Spinal Abnormalities | Obstetric USG</t>
  </si>
  <si>
    <t xml:space="preserve">https://www.youtube.com/watch?v=mjA7tOUJDtQ</t>
  </si>
  <si>
    <t xml:space="preserve">V216</t>
  </si>
  <si>
    <t xml:space="preserve">Fetal Face Ultrasound Normal Vs Abnormal Image Appearances | Eye Abnormalities | Obstetric USG</t>
  </si>
  <si>
    <t xml:space="preserve">https://www.youtube.com/watch?v=cRdiTjNfKoc</t>
  </si>
  <si>
    <t xml:space="preserve">V217</t>
  </si>
  <si>
    <t xml:space="preserve">Fetal Kidneys Ultrasound Normal VS Abnormal Image Appearances | Kidney Abnormalities USG | Ob/Gynae</t>
  </si>
  <si>
    <t xml:space="preserve">https://www.youtube.com/watch?v=6EQ7Klt5deY</t>
  </si>
  <si>
    <t xml:space="preserve">V218</t>
  </si>
  <si>
    <t xml:space="preserve">Fetal Bladder Ultrasound Normal Vs Abnormal Images | Genitourinary Tract Abnormalities USG</t>
  </si>
  <si>
    <t xml:space="preserve">https://www.youtube.com/watch?v=CEdkxDrsUl0</t>
  </si>
  <si>
    <t xml:space="preserve">V219</t>
  </si>
  <si>
    <t xml:space="preserve">Ultrasound of Amniotic Fluid</t>
  </si>
  <si>
    <t xml:space="preserve">https://www.youtube.com/watch?v=aonx_SmsNUg</t>
  </si>
  <si>
    <t xml:space="preserve">V220</t>
  </si>
  <si>
    <t xml:space="preserve">How to Measure Cervical Length on Ultrasound? | How to Predict Preterm Labour from Cervical Length?</t>
  </si>
  <si>
    <t xml:space="preserve">https://www.youtube.com/watch?v=S0VT5FIdusM</t>
  </si>
  <si>
    <t xml:space="preserve">V221</t>
  </si>
  <si>
    <t xml:space="preserve">Cervical length measurement - transabdominal/transvaginal ultrasound, management of shortened cervix</t>
  </si>
  <si>
    <t xml:space="preserve">https://www.youtube.com/watch?v=xK2n8FL-FDQ</t>
  </si>
  <si>
    <t xml:space="preserve">Medic Notes</t>
  </si>
  <si>
    <t xml:space="preserve">V222</t>
  </si>
  <si>
    <t xml:space="preserve">What are Chorionicity &amp; Amnionicity? I Dr. Shobha Venkat I Cloudnine Hospital</t>
  </si>
  <si>
    <t xml:space="preserve">https://www.youtube.com/watch?v=uiHuUQAK5aA</t>
  </si>
  <si>
    <t xml:space="preserve">Cloudnine Hospitals</t>
  </si>
  <si>
    <t xml:space="preserve">Kasalxona (Cloudnine)</t>
  </si>
  <si>
    <t xml:space="preserve">V223</t>
  </si>
  <si>
    <t xml:space="preserve">NEW Third trimester obstetric ultrasound ISUOG Practice Guidelines - Asma Khalil - UOG Journal</t>
  </si>
  <si>
    <t xml:space="preserve">https://www.youtube.com/watch?v=8msfDgSs2DQ</t>
  </si>
  <si>
    <t xml:space="preserve">V224</t>
  </si>
  <si>
    <t xml:space="preserve">Fetal Growth Restriction: Clinical Updates</t>
  </si>
  <si>
    <t xml:space="preserve">https://www.youtube.com/watch?v=4kiYVtQRp5Q</t>
  </si>
  <si>
    <t xml:space="preserve">Beth Israel Deaconess Medical Center (BIDMC)</t>
  </si>
  <si>
    <t xml:space="preserve">Universitet kasalxonasi (BIDMC)</t>
  </si>
  <si>
    <t xml:space="preserve">V225</t>
  </si>
  <si>
    <t xml:space="preserve">Obstetric Ultrasound Normal Vs Abnormal Images | Fetal, Placenta, Umbilical Cord Pathologies USG</t>
  </si>
  <si>
    <t xml:space="preserve">https://www.youtube.com/watch?v=mJ1qLENEmCU</t>
  </si>
  <si>
    <t xml:space="preserve">V226</t>
  </si>
  <si>
    <t xml:space="preserve">ISUOG 2020 Fabricio Costa – Uterine artery Doppler technique for pre-eclampsia prediction</t>
  </si>
  <si>
    <t xml:space="preserve">https://www.youtube.com/watch?v=FWCc-4uc4Gg</t>
  </si>
  <si>
    <t xml:space="preserve">V227</t>
  </si>
  <si>
    <t xml:space="preserve">How To Scan The Uterine Artery | Doppler Ultrasound Probe Positioning | Transducer Placement USG</t>
  </si>
  <si>
    <t xml:space="preserve">https://www.youtube.com/watch?v=NAJ8vEHi47g</t>
  </si>
  <si>
    <t xml:space="preserve">V228</t>
  </si>
  <si>
    <t xml:space="preserve">Uterine Artery Spectral Doppler Ultrasound Normal Vs Abnormal Images | Pregnant/Nongravid Uterus USG</t>
  </si>
  <si>
    <t xml:space="preserve">https://www.youtube.com/watch?v=95hfv5CDagk</t>
  </si>
  <si>
    <t xml:space="preserve">V229</t>
  </si>
  <si>
    <t xml:space="preserve">Umbilical Artery Doppler Ultrasound Normal Vs Abnormal Image Appearances | Spectral Doppler USG</t>
  </si>
  <si>
    <t xml:space="preserve">https://www.youtube.com/watch?v=Y0i9aEq3nPI</t>
  </si>
  <si>
    <t xml:space="preserve">V230</t>
  </si>
  <si>
    <t xml:space="preserve">Umbilical Artery Doppler interpretation</t>
  </si>
  <si>
    <t xml:space="preserve">https://www.youtube.com/watch?v=t9Nfrkfx2yY</t>
  </si>
  <si>
    <t xml:space="preserve">V231</t>
  </si>
  <si>
    <t xml:space="preserve">Fetal Middle Cerebral Artery Doppler Ultrasound Normal Vs Abnormal Image Appearances | MCA USG</t>
  </si>
  <si>
    <t xml:space="preserve">https://www.youtube.com/watch?v=mgSbrOJtYF0</t>
  </si>
  <si>
    <t xml:space="preserve">V232</t>
  </si>
  <si>
    <t xml:space="preserve">Middle Cerebral Artery Doppler Ultrasound Interpretation / Ultrasound in Fetal Growth Assessment</t>
  </si>
  <si>
    <t xml:space="preserve">https://www.youtube.com/watch?v=tiyIh86V1w0</t>
  </si>
  <si>
    <t xml:space="preserve">V233</t>
  </si>
  <si>
    <t xml:space="preserve">Fix Your Scan Fridays #3: Brain Sparing Explained – MCA vs Umbilical Artery Doppler &amp; When to Worry</t>
  </si>
  <si>
    <t xml:space="preserve">https://www.youtube.com/watch?v=k4zizDotKGY</t>
  </si>
  <si>
    <t xml:space="preserve">Panorama Scan</t>
  </si>
  <si>
    <t xml:space="preserve">Klinika (Panorama Scan)</t>
  </si>
  <si>
    <t xml:space="preserve">V234</t>
  </si>
  <si>
    <t xml:space="preserve">Placental Dysfunction and Fetal Growth Restriction: Getting Ahead of the Game</t>
  </si>
  <si>
    <t xml:space="preserve">https://www.youtube.com/watch?v=uJNNdtixjaI</t>
  </si>
  <si>
    <t xml:space="preserve">Johns Hopkins Medicine</t>
  </si>
  <si>
    <t xml:space="preserve">Universitet (Johns Hopkins Medicine)</t>
  </si>
  <si>
    <t xml:space="preserve">V235</t>
  </si>
  <si>
    <t xml:space="preserve">05.21.02; 05.21.03</t>
  </si>
  <si>
    <t xml:space="preserve">Obstetric Doppler Made Easy</t>
  </si>
  <si>
    <t xml:space="preserve">https://www.youtube.com/watch?v=5fdcofNDsnc</t>
  </si>
  <si>
    <t xml:space="preserve">V236</t>
  </si>
  <si>
    <t xml:space="preserve">Obstetric Doppler - How I Do It | Dr Alpana Joshi | UMBILICAL ARTERY DOPPLER | MCA PI |</t>
  </si>
  <si>
    <t xml:space="preserve">https://www.youtube.com/watch?v=S3hdw5ps9Y4</t>
  </si>
  <si>
    <t xml:space="preserve">V237</t>
  </si>
  <si>
    <t xml:space="preserve">Amniotic Fluid Assessment - Ultrasound Scanning Technique</t>
  </si>
  <si>
    <t xml:space="preserve">https://www.youtube.com/watch?v=f_rImBA5p0o</t>
  </si>
  <si>
    <t xml:space="preserve">V238</t>
  </si>
  <si>
    <t xml:space="preserve">Third Trimester Deepest Vertical Pocket</t>
  </si>
  <si>
    <t xml:space="preserve">https://www.youtube.com/watch?v=xZ0XGDjMP-Y</t>
  </si>
  <si>
    <t xml:space="preserve">V239</t>
  </si>
  <si>
    <t xml:space="preserve">Assessment of Fetal Wellbeing | Ultrasound</t>
  </si>
  <si>
    <t xml:space="preserve">https://www.youtube.com/watch?v=H4pFkouRNQU</t>
  </si>
  <si>
    <t xml:space="preserve">sqadia.com</t>
  </si>
  <si>
    <t xml:space="preserve">Ta’lim platformasi (sqadia)</t>
  </si>
  <si>
    <t xml:space="preserve">V240</t>
  </si>
  <si>
    <t xml:space="preserve">sFGR in Monochorionic Twins ~ Dr  Nitin Chaubal</t>
  </si>
  <si>
    <t xml:space="preserve">https://www.youtube.com/watch?v=tY8LfQZix6c</t>
  </si>
  <si>
    <t xml:space="preserve">Society of Fetal Medicine</t>
  </si>
  <si>
    <t xml:space="preserve">Professional jamiyat (Society of Fetal Medicine)</t>
  </si>
  <si>
    <t xml:space="preserve">V241</t>
  </si>
  <si>
    <t xml:space="preserve">Twin to Twin Transfusion Syndrome</t>
  </si>
  <si>
    <t xml:space="preserve">https://www.youtube.com/watch?v=LwsIsm4LVlA</t>
  </si>
  <si>
    <t xml:space="preserve">University Hospitals</t>
  </si>
  <si>
    <t xml:space="preserve">Kasalxona (University Hospitals)</t>
  </si>
  <si>
    <t xml:space="preserve">V242</t>
  </si>
  <si>
    <t xml:space="preserve">Monochorionic Twin Pregnancies:  Complications other than TTTS.</t>
  </si>
  <si>
    <t xml:space="preserve">https://www.youtube.com/watch?v=rHw1juJvsOo</t>
  </si>
  <si>
    <t xml:space="preserve">The TAPS Support Foundation</t>
  </si>
  <si>
    <t xml:space="preserve">Bemorlar jamg‘armasi (TAPS Support Foundation)</t>
  </si>
  <si>
    <t xml:space="preserve">V243</t>
  </si>
  <si>
    <t xml:space="preserve">3D/4D Workshop: Practical application of volume ultrasound in fetal medicine</t>
  </si>
  <si>
    <t xml:space="preserve">https://www.youtube.com/watch?v=Pg1ZNXv8_Jo</t>
  </si>
  <si>
    <t xml:space="preserve">Praenatal-Zuerich.ch</t>
  </si>
  <si>
    <t xml:space="preserve">Klinika (Praenatal-Zuerich)</t>
  </si>
  <si>
    <t xml:space="preserve">V244</t>
  </si>
  <si>
    <t xml:space="preserve">Thyroid Ultrasound Guided FNA</t>
  </si>
  <si>
    <t xml:space="preserve">https://www.youtube.com/watch?v=58pckPHl5ss</t>
  </si>
  <si>
    <t xml:space="preserve">Richard Harding, MD, FACS</t>
  </si>
  <si>
    <t xml:space="preserve">Shifokor kanali (endokrin jarroh)</t>
  </si>
  <si>
    <t xml:space="preserve">V245</t>
  </si>
  <si>
    <t xml:space="preserve">Thyroid sampling via fine needle aspiration (english version)</t>
  </si>
  <si>
    <t xml:space="preserve">https://www.youtube.com/watch?v=VYqv6z9M3qk</t>
  </si>
  <si>
    <t xml:space="preserve">OPASRH</t>
  </si>
  <si>
    <t xml:space="preserve">Ta’lim kanali (OPASRH)</t>
  </si>
  <si>
    <t xml:space="preserve">V246</t>
  </si>
  <si>
    <t xml:space="preserve">Breast Ultrasound - normal anatomy</t>
  </si>
  <si>
    <t xml:space="preserve">https://www.youtube.com/watch?v=-QlMiyUl1nQ</t>
  </si>
  <si>
    <t xml:space="preserve">Radiology Assistant</t>
  </si>
  <si>
    <t xml:space="preserve">Ta’lim markazi (Radiology Assistant)</t>
  </si>
  <si>
    <t xml:space="preserve">V247</t>
  </si>
  <si>
    <t xml:space="preserve">Breast Ultrasound Indications Technique Normal Anatomy</t>
  </si>
  <si>
    <t xml:space="preserve">https://www.youtube.com/watch?v=ZvVwU57osa4</t>
  </si>
  <si>
    <t xml:space="preserve">V248</t>
  </si>
  <si>
    <t xml:space="preserve">Breast Ultrasound Probe Positioning | Sagittal, Radial Views &amp; Clock System USG Transducer Placement</t>
  </si>
  <si>
    <t xml:space="preserve">https://www.youtube.com/watch?v=Hlb-rO_dc8s</t>
  </si>
  <si>
    <t xml:space="preserve">V249</t>
  </si>
  <si>
    <t xml:space="preserve">06.23.03; 06.23.05</t>
  </si>
  <si>
    <t xml:space="preserve">Breast Ultrasound Normal Vs Abnormal Image Appearances Comparison | BI-RADS Classification USG</t>
  </si>
  <si>
    <t xml:space="preserve">https://www.youtube.com/watch?v=x_oYxvyv11s</t>
  </si>
  <si>
    <t xml:space="preserve">V250</t>
  </si>
  <si>
    <t xml:space="preserve">Ultrasound showing Periductal Mastitis</t>
  </si>
  <si>
    <t xml:space="preserve">https://www.youtube.com/watch?v=hOuvpubuSaw</t>
  </si>
  <si>
    <t xml:space="preserve">Ultrasound Daily Cases</t>
  </si>
  <si>
    <t xml:space="preserve">Ta’lim kanali (klinik holatlar)</t>
  </si>
  <si>
    <t xml:space="preserve">V251</t>
  </si>
  <si>
    <t xml:space="preserve">Mastitis &amp; Breast Abscess | High Yield FMGE Topic</t>
  </si>
  <si>
    <t xml:space="preserve">https://www.youtube.com/watch?v=4tPKM69ZMHE</t>
  </si>
  <si>
    <t xml:space="preserve">Cerebellum Academy</t>
  </si>
  <si>
    <t xml:space="preserve">6:30</t>
  </si>
  <si>
    <t xml:space="preserve">V252</t>
  </si>
  <si>
    <t xml:space="preserve">Ultrasound Protocol Breast Implants</t>
  </si>
  <si>
    <t xml:space="preserve">https://www.youtube.com/watch?v=VuaIfoh8Ptc</t>
  </si>
  <si>
    <t xml:space="preserve">5:50</t>
  </si>
  <si>
    <t xml:space="preserve">V253</t>
  </si>
  <si>
    <t xml:space="preserve">Ultrasound of the Salivary Glands | The Complete Guide</t>
  </si>
  <si>
    <t xml:space="preserve">https://www.youtube.com/watch?v=FCz-gDAicd8</t>
  </si>
  <si>
    <t xml:space="preserve">Sonography Minutes</t>
  </si>
  <si>
    <t xml:space="preserve">Ta’lim kanali (Sonography Minutes)</t>
  </si>
  <si>
    <t xml:space="preserve">V254</t>
  </si>
  <si>
    <t xml:space="preserve">Ultrasound of Submandibular Sialolithiasis (Salivary Stones)</t>
  </si>
  <si>
    <t xml:space="preserve">https://www.youtube.com/watch?v=hEq1Y8Pm3fg</t>
  </si>
  <si>
    <t xml:space="preserve">V255</t>
  </si>
  <si>
    <t xml:space="preserve">Ultrasound of Pleomorphic Adenoma of the Parotid Gland</t>
  </si>
  <si>
    <t xml:space="preserve">https://www.youtube.com/watch?v=FcDaoIzxgcM</t>
  </si>
  <si>
    <t xml:space="preserve">V256</t>
  </si>
  <si>
    <t xml:space="preserve">1. Lymph node anatomy, physiology &amp; normal ultrasound appearance</t>
  </si>
  <si>
    <t xml:space="preserve">https://www.youtube.com/watch?v=hWXD8EeJo6s</t>
  </si>
  <si>
    <t xml:space="preserve">Ta’lim kanali (Sononerds)</t>
  </si>
  <si>
    <t xml:space="preserve">V257</t>
  </si>
  <si>
    <t xml:space="preserve">New #UOGJournal video on the terms &amp; deﬁnitions to describe the sonographic features of lymph nodes</t>
  </si>
  <si>
    <t xml:space="preserve">https://www.youtube.com/watch?v=UWwkysQdNIU</t>
  </si>
  <si>
    <t xml:space="preserve">V258</t>
  </si>
  <si>
    <t xml:space="preserve">Ultrasound of Cervical Lymph Nodes</t>
  </si>
  <si>
    <t xml:space="preserve">https://www.youtube.com/watch?v=4z6I3yGVS-M</t>
  </si>
  <si>
    <t xml:space="preserve">V259</t>
  </si>
  <si>
    <t xml:space="preserve">Introduction to Soft Tissue Ultrasound</t>
  </si>
  <si>
    <t xml:space="preserve">https://www.youtube.com/watch?v=LBgLEM2jm-c</t>
  </si>
  <si>
    <t xml:space="preserve">V260</t>
  </si>
  <si>
    <t xml:space="preserve">Soft Tissue Ultrasound: Lumps &amp; Bumps</t>
  </si>
  <si>
    <t xml:space="preserve">https://www.youtube.com/watch?v=X-e_WsgWjUU</t>
  </si>
  <si>
    <t xml:space="preserve">V261</t>
  </si>
  <si>
    <t xml:space="preserve">Ultrasound of Epidermal Inclusion Cyst</t>
  </si>
  <si>
    <t xml:space="preserve">https://www.youtube.com/watch?v=mEJU6T0Ac2c</t>
  </si>
  <si>
    <t xml:space="preserve">V262</t>
  </si>
  <si>
    <t xml:space="preserve">Ultrasound of Retinal vs Vitreous Detachment</t>
  </si>
  <si>
    <t xml:space="preserve">https://www.youtube.com/watch?v=gNLTZipajwM</t>
  </si>
  <si>
    <t xml:space="preserve">Ta’lim kanali (EM:RAP)</t>
  </si>
  <si>
    <t xml:space="preserve">V263</t>
  </si>
  <si>
    <t xml:space="preserve">Ocular Ultrasound: Retinal Detachment</t>
  </si>
  <si>
    <t xml:space="preserve">https://www.youtube.com/watch?v=PAJ5UomIm4w</t>
  </si>
  <si>
    <t xml:space="preserve">ALiEM Educational Videos</t>
  </si>
  <si>
    <t xml:space="preserve">Ta’lim kanali (ALiEM)</t>
  </si>
  <si>
    <t xml:space="preserve">V264</t>
  </si>
  <si>
    <t xml:space="preserve">Identifying Retinal Detachment with POCUS</t>
  </si>
  <si>
    <t xml:space="preserve">https://www.youtube.com/watch?v=RmxR883d7DQ</t>
  </si>
  <si>
    <t xml:space="preserve">V265</t>
  </si>
  <si>
    <t xml:space="preserve">Superficial vein thrombosis - Ultrasound</t>
  </si>
  <si>
    <t xml:space="preserve">https://www.youtube.com/watch?v=mWFupi4YOBA</t>
  </si>
  <si>
    <t xml:space="preserve">E-learn Radiology</t>
  </si>
  <si>
    <t xml:space="preserve">V266</t>
  </si>
  <si>
    <t xml:space="preserve">Pseudoaneurysm Sonography</t>
  </si>
  <si>
    <t xml:space="preserve">https://www.youtube.com/watch?v=I2vhPP1VgkA</t>
  </si>
  <si>
    <t xml:space="preserve">Ta’lim kanali (Sonographic Tendencies)</t>
  </si>
  <si>
    <t xml:space="preserve">V267</t>
  </si>
  <si>
    <t xml:space="preserve">Using 2D and colour ultrasound to assess dialysis fistulas</t>
  </si>
  <si>
    <t xml:space="preserve">https://www.youtube.com/watch?v=ADQxr0da_yk</t>
  </si>
  <si>
    <t xml:space="preserve">V268</t>
  </si>
  <si>
    <t xml:space="preserve">Monophasic, Biphasic &amp; Triphasic Spectral Doppler Waveforms | Vascular Ultrasound Analysis (USG)</t>
  </si>
  <si>
    <t xml:space="preserve">https://www.youtube.com/watch?v=IaejYqKM6mI</t>
  </si>
  <si>
    <t xml:space="preserve">V269</t>
  </si>
  <si>
    <t xml:space="preserve">Hot Tip-How to Locate the Vertebral Artery and Demonstrate Flow Direction</t>
  </si>
  <si>
    <t xml:space="preserve">https://www.youtube.com/watch?v=0jwR7ClJZgo</t>
  </si>
  <si>
    <t xml:space="preserve">V270</t>
  </si>
  <si>
    <t xml:space="preserve">Vertebral Arteries &amp; Subclavian Steal: Here's the Breakdown You Need by an Ultrasound Tech</t>
  </si>
  <si>
    <t xml:space="preserve">https://www.youtube.com/watch?v=TeGAC9MoZow</t>
  </si>
  <si>
    <t xml:space="preserve">Path2Passing </t>
  </si>
  <si>
    <t xml:space="preserve">Imtihonga tayyorlov kanali (sonografist)</t>
  </si>
  <si>
    <t xml:space="preserve">V271</t>
  </si>
  <si>
    <t xml:space="preserve">Part 1: Varicose veins ultrasound assessment: GSV anatomy assessment</t>
  </si>
  <si>
    <t xml:space="preserve">https://www.youtube.com/watch?v=n5HblR27soE</t>
  </si>
  <si>
    <t xml:space="preserve">ABC Vascular Ultrasound</t>
  </si>
  <si>
    <t xml:space="preserve">Ta’lim kanali (ABC Vascular Ultrasound)</t>
  </si>
  <si>
    <t xml:space="preserve">V272</t>
  </si>
  <si>
    <t xml:space="preserve">Part 3: Primary varicose veins of the great saphenous vein. Saphenofemoral junction reflux test</t>
  </si>
  <si>
    <t xml:space="preserve">https://www.youtube.com/watch?v=QFDDU7lpsuA</t>
  </si>
  <si>
    <t xml:space="preserve">V273</t>
  </si>
  <si>
    <t xml:space="preserve">Venous ultrasound course: Identifying varicose veins in the insufficiency study</t>
  </si>
  <si>
    <t xml:space="preserve">https://www.youtube.com/watch?v=LcuG9zdK4tM</t>
  </si>
  <si>
    <t xml:space="preserve">V274</t>
  </si>
  <si>
    <t xml:space="preserve">How to Scan the Abdominal Aorta with Ultrasound</t>
  </si>
  <si>
    <t xml:space="preserve">https://www.youtube.com/watch?v=fyegmq-hMhI</t>
  </si>
  <si>
    <t xml:space="preserve">Ishlab chiqaruvchi (GE HealthCare)</t>
  </si>
  <si>
    <t xml:space="preserve">V275</t>
  </si>
  <si>
    <t xml:space="preserve">How To: Abdominal Ultrasound - Aorta Measurements</t>
  </si>
  <si>
    <t xml:space="preserve">https://www.youtube.com/watch?v=SHhKyEaW1NM</t>
  </si>
  <si>
    <t xml:space="preserve">Sonosite</t>
  </si>
  <si>
    <t xml:space="preserve">Ishlab chiqaruvchi (Sonosite)</t>
  </si>
  <si>
    <t xml:space="preserve">V276</t>
  </si>
  <si>
    <t xml:space="preserve">03.15.02; 11.29.05</t>
  </si>
  <si>
    <t xml:space="preserve">Point of Care Ultrasound of the Inferior Vena Cava (IVC) - AMBOSS Video</t>
  </si>
  <si>
    <t xml:space="preserve">https://www.youtube.com/watch?v=Flc8xS2foOU</t>
  </si>
  <si>
    <t xml:space="preserve">AMBOSS: Medical Knowledge Distilled</t>
  </si>
  <si>
    <t xml:space="preserve">Ta’lim platformasi (AMBOSS)</t>
  </si>
  <si>
    <t xml:space="preserve">V277</t>
  </si>
  <si>
    <t xml:space="preserve">Measuring dialysis fistula maturity using ultrasound</t>
  </si>
  <si>
    <t xml:space="preserve">https://www.youtube.com/watch?v=ts4a50k08bE</t>
  </si>
  <si>
    <t xml:space="preserve">V278</t>
  </si>
  <si>
    <t xml:space="preserve">Vascular Imaging Webinar Series: Arteriovenous Mapping for Dialysis Access</t>
  </si>
  <si>
    <t xml:space="preserve">https://www.youtube.com/watch?v=cFHfoL1k_pk</t>
  </si>
  <si>
    <t xml:space="preserve">PAHO TV</t>
  </si>
  <si>
    <t xml:space="preserve">Xalqaro tashkilot (PAHO TV, vebinar)</t>
  </si>
  <si>
    <t xml:space="preserve">V279</t>
  </si>
  <si>
    <t xml:space="preserve">Imaging of Arteriovenous Fistulas: From Maturation to Salvage</t>
  </si>
  <si>
    <t xml:space="preserve">https://www.youtube.com/watch?v=PeTOlKIaNBI</t>
  </si>
  <si>
    <t xml:space="preserve">Jeffrey Chen by SmartRad AI</t>
  </si>
  <si>
    <t xml:space="preserve">V280</t>
  </si>
  <si>
    <t xml:space="preserve">Doppler Imaging of Liver Transplants Diagnoses and Dilemmas</t>
  </si>
  <si>
    <t xml:space="preserve">https://www.youtube.com/watch?v=3El9mtbhkX4</t>
  </si>
  <si>
    <t xml:space="preserve">V281</t>
  </si>
  <si>
    <t xml:space="preserve">Orthotopic Liver Transplant Hepatic Artery and Portal Vein Complications</t>
  </si>
  <si>
    <t xml:space="preserve">https://www.youtube.com/watch?v=jF22GbTfFS4</t>
  </si>
  <si>
    <t xml:space="preserve">V282</t>
  </si>
  <si>
    <t xml:space="preserve">Hepatic Doppler Made Easy | Portal Vein, Tardus Parvus &amp; Liver Waveforms</t>
  </si>
  <si>
    <t xml:space="preserve">https://www.youtube.com/watch?v=1kuYwCDc0tM</t>
  </si>
  <si>
    <t xml:space="preserve">Medical Radiology by RADIOBITE</t>
  </si>
  <si>
    <t xml:space="preserve">Ta’lim kanali (radiologiya)</t>
  </si>
  <si>
    <t xml:space="preserve">V283</t>
  </si>
  <si>
    <t xml:space="preserve">Echo BachelorClass - Your introduction to basic echocardiography</t>
  </si>
  <si>
    <t xml:space="preserve">https://www.youtube.com/watch?v=pZT_13noYjE</t>
  </si>
  <si>
    <t xml:space="preserve">V284</t>
  </si>
  <si>
    <t xml:space="preserve">M-Mode Measurement of the Left Ventricle</t>
  </si>
  <si>
    <t xml:space="preserve">https://www.youtube.com/watch?v=WJ6EfMZwr6o</t>
  </si>
  <si>
    <t xml:space="preserve">V285</t>
  </si>
  <si>
    <t xml:space="preserve">M-Mode Echocardiogram</t>
  </si>
  <si>
    <t xml:space="preserve">https://www.youtube.com/watch?v=xcTmcjBMLrU</t>
  </si>
  <si>
    <t xml:space="preserve">Johnson's Cardiology</t>
  </si>
  <si>
    <t xml:space="preserve">Shifokor kanali (kardiolog, Johnson’s Cardiology)</t>
  </si>
  <si>
    <t xml:space="preserve">V286</t>
  </si>
  <si>
    <t xml:space="preserve">Difference between pulsed wave and continuous wave Doppler</t>
  </si>
  <si>
    <t xml:space="preserve">https://www.youtube.com/watch?v=Rm5H_kH2QTg</t>
  </si>
  <si>
    <t xml:space="preserve">V287</t>
  </si>
  <si>
    <t xml:space="preserve">Basic Principles of Colour Doppler Echocardiography</t>
  </si>
  <si>
    <t xml:space="preserve">https://www.youtube.com/watch?v=kCCE16_X9_o</t>
  </si>
  <si>
    <t xml:space="preserve">V288</t>
  </si>
  <si>
    <t xml:space="preserve">Tissue Doppler Step by Step - Medial e' Example</t>
  </si>
  <si>
    <t xml:space="preserve">https://www.youtube.com/watch?v=KfGIkbE_7Yo</t>
  </si>
  <si>
    <t xml:space="preserve">V289</t>
  </si>
  <si>
    <t xml:space="preserve">Transthoracic Echocardiography Cardiac Chamber Quantification</t>
  </si>
  <si>
    <t xml:space="preserve">https://www.youtube.com/watch?v=c5r5o6tdWGo</t>
  </si>
  <si>
    <t xml:space="preserve">Libyan Cardiac Society</t>
  </si>
  <si>
    <t xml:space="preserve">Professional jamiyat (Libyan Cardiac Society)</t>
  </si>
  <si>
    <t xml:space="preserve">V290</t>
  </si>
  <si>
    <t xml:space="preserve">Echocardiography for beginners - How to label the walls of the Left Ventricle (16 segment model).</t>
  </si>
  <si>
    <t xml:space="preserve">https://www.youtube.com/watch?v=idFDcFpnCGQ</t>
  </si>
  <si>
    <t xml:space="preserve">Echo Ed</t>
  </si>
  <si>
    <t xml:space="preserve">Ta’lim kanali (Echo Ed)</t>
  </si>
  <si>
    <t xml:space="preserve">V291</t>
  </si>
  <si>
    <t xml:space="preserve">M Mode Echocardiographic Measurements</t>
  </si>
  <si>
    <t xml:space="preserve">https://www.youtube.com/watch?v=kygmtUisB4Y</t>
  </si>
  <si>
    <t xml:space="preserve">V292</t>
  </si>
  <si>
    <t xml:space="preserve">Doppler Echocardiography and Diastology (SHERIF F. NAGUEH, MD)</t>
  </si>
  <si>
    <t xml:space="preserve">https://www.youtube.com/watch?v=QXMD7dTurO4</t>
  </si>
  <si>
    <t xml:space="preserve">Kasalxona (Houston Methodist), ma’ruzachi — ko‘rsatmalar muallifi S. Nagueh</t>
  </si>
  <si>
    <t xml:space="preserve">V293</t>
  </si>
  <si>
    <t xml:space="preserve">Echocardiographic Assessment of Diastolic Function: A Joint Presentation of IAC, ASE and SDMS</t>
  </si>
  <si>
    <t xml:space="preserve">https://www.youtube.com/watch?v=D2ce7sfiOT0</t>
  </si>
  <si>
    <t xml:space="preserve">Intersocietal Accreditation Commission</t>
  </si>
  <si>
    <t xml:space="preserve">Professional jamiyatlar (IAC, ASE, SDMS)</t>
  </si>
  <si>
    <t xml:space="preserve">V294</t>
  </si>
  <si>
    <t xml:space="preserve">Diastology by echo: simplified explanations and algorithms- 2025 ASE guidelines</t>
  </si>
  <si>
    <t xml:space="preserve">https://www.youtube.com/watch?v=3MsngAG8Pjs</t>
  </si>
  <si>
    <t xml:space="preserve">Elias Hanna</t>
  </si>
  <si>
    <t xml:space="preserve">Shifokor kanali (kardiolog)</t>
  </si>
  <si>
    <t xml:space="preserve">V295</t>
  </si>
  <si>
    <t xml:space="preserve">Echocardiographic assessments in dilated cardiomyopathy (DCM)</t>
  </si>
  <si>
    <t xml:space="preserve">https://www.youtube.com/watch?v=WiYZdPS6Wjs</t>
  </si>
  <si>
    <t xml:space="preserve">Kasalxona (St. Michael’s Hospital Virtual Echo Rounds)</t>
  </si>
  <si>
    <t xml:space="preserve">V296</t>
  </si>
  <si>
    <t xml:space="preserve">Hypertrophic Cardiomyopathy: An Echo Review</t>
  </si>
  <si>
    <t xml:space="preserve">https://www.youtube.com/watch?v=AfwjVLFYYt0</t>
  </si>
  <si>
    <t xml:space="preserve">V297</t>
  </si>
  <si>
    <t xml:space="preserve">Echo of Restrictive Vs Hypertrophic Vs Dilated Cardiomyopathy</t>
  </si>
  <si>
    <t xml:space="preserve">https://www.youtube.com/watch?v=5mC4uIjsxjI</t>
  </si>
  <si>
    <t xml:space="preserve">Pediatric Echo Gallery</t>
  </si>
  <si>
    <t xml:space="preserve">Ta’lim kanali (Pediatric Echo Gallery)</t>
  </si>
  <si>
    <t xml:space="preserve">V298</t>
  </si>
  <si>
    <t xml:space="preserve">Echocardiography Essentials: Evaluating right ventricular size and function</t>
  </si>
  <si>
    <t xml:space="preserve">https://www.youtube.com/watch?v=UggcygRRar8</t>
  </si>
  <si>
    <t xml:space="preserve">V299</t>
  </si>
  <si>
    <t xml:space="preserve">How to estimate pulmonary artery systolic pressure (PASP) using echo</t>
  </si>
  <si>
    <t xml:space="preserve">https://www.youtube.com/watch?v=fOM-_AGGyxI</t>
  </si>
  <si>
    <t xml:space="preserve">V300</t>
  </si>
  <si>
    <t xml:space="preserve">14. Estimating right ventricular / pulmonary artery systolic pressure from TR jet</t>
  </si>
  <si>
    <t xml:space="preserve">https://www.youtube.com/watch?v=m3hkemZU3P0</t>
  </si>
  <si>
    <t xml:space="preserve">Luke Howard</t>
  </si>
  <si>
    <t xml:space="preserve">Shifokor kanali (pulmonolog)</t>
  </si>
  <si>
    <t xml:space="preserve">V301</t>
  </si>
  <si>
    <t xml:space="preserve">Congenital heart defects I: ASD, VSD, AS, PS, PDA and PFO</t>
  </si>
  <si>
    <t xml:space="preserve">https://www.youtube.com/watch?v=tKFjmbKRuuY</t>
  </si>
  <si>
    <t xml:space="preserve">Helmut Jaksch (Cockatoo ergo Zoom)</t>
  </si>
  <si>
    <t xml:space="preserve">V302</t>
  </si>
  <si>
    <t xml:space="preserve">How to detect PFOs and ASDs with the help of echocardiography</t>
  </si>
  <si>
    <t xml:space="preserve">https://www.youtube.com/watch?v=u_JnrufkxFc</t>
  </si>
  <si>
    <t xml:space="preserve">V303</t>
  </si>
  <si>
    <t xml:space="preserve">Guideline Webinar: Standardization of Adult Echocardiography Reporting</t>
  </si>
  <si>
    <t xml:space="preserve">https://www.youtube.com/watch?v=yG6R8vwbaTA</t>
  </si>
  <si>
    <t xml:space="preserve">ASE360</t>
  </si>
  <si>
    <t xml:space="preserve">Professional jamiyat (ASE360)</t>
  </si>
  <si>
    <t xml:space="preserve">V304</t>
  </si>
  <si>
    <t xml:space="preserve">How to go about normal values for echocardiographic measurements?</t>
  </si>
  <si>
    <t xml:space="preserve">https://www.youtube.com/watch?v=PLsiuY8DVz4</t>
  </si>
  <si>
    <t xml:space="preserve">V305</t>
  </si>
  <si>
    <t xml:space="preserve">5.14.2020 PedsUroFLO Lecture - Pediatric GU Ultrasonography and Hydronephrosis Classification</t>
  </si>
  <si>
    <t xml:space="preserve">https://www.youtube.com/watch?v=shceIjFAyQ8</t>
  </si>
  <si>
    <t xml:space="preserve">Urology Residents</t>
  </si>
  <si>
    <t xml:space="preserve">Rezidentlar ma’ruzasi (bolalar urologiyasi)</t>
  </si>
  <si>
    <t xml:space="preserve">V306</t>
  </si>
  <si>
    <t xml:space="preserve">Pediatric journal club I: SFU grading of hydronephrosis</t>
  </si>
  <si>
    <t xml:space="preserve">https://www.youtube.com/watch?v=-c2z6E1ZYv4</t>
  </si>
  <si>
    <t xml:space="preserve">Tata Memorial Hospital Radiology Dept</t>
  </si>
  <si>
    <t xml:space="preserve">Kasalxona radiologiya bo‘limi (Tata Memorial)</t>
  </si>
  <si>
    <t xml:space="preserve">V307</t>
  </si>
  <si>
    <t xml:space="preserve">Pyloric Ultrasound</t>
  </si>
  <si>
    <t xml:space="preserve">https://www.youtube.com/watch?v=UUgFHvQl_Zg</t>
  </si>
  <si>
    <t xml:space="preserve">V308</t>
  </si>
  <si>
    <t xml:space="preserve">Ultrasound cases: POSITIVE Hypertrophic Pyloric Stenosis | pediatric sonography</t>
  </si>
  <si>
    <t xml:space="preserve">https://www.youtube.com/watch?v=jAI9PBfPB_Q</t>
  </si>
  <si>
    <t xml:space="preserve">V309</t>
  </si>
  <si>
    <t xml:space="preserve">Assessment of Necrotizing Enterocolitis by Ultrasound</t>
  </si>
  <si>
    <t xml:space="preserve">https://www.youtube.com/watch?v=znsVV0Y2D38</t>
  </si>
  <si>
    <t xml:space="preserve">NICU_musings</t>
  </si>
  <si>
    <t xml:space="preserve">Shifokor kanali (neonatolog)</t>
  </si>
  <si>
    <t xml:space="preserve">V310</t>
  </si>
  <si>
    <t xml:space="preserve">Ultrasound showing portal venous gas</t>
  </si>
  <si>
    <t xml:space="preserve">https://www.youtube.com/watch?v=TPrepneQZkY</t>
  </si>
  <si>
    <t xml:space="preserve">V311</t>
  </si>
  <si>
    <t xml:space="preserve">Point of Care Neonatal Ultrasound</t>
  </si>
  <si>
    <t xml:space="preserve">https://www.youtube.com/watch?v=0BfDNNj87zk</t>
  </si>
  <si>
    <t xml:space="preserve">V312</t>
  </si>
  <si>
    <t xml:space="preserve">Introduction to Paediatric / Pediatric Echocardiograms and Common Critical Congenital Heart Defects</t>
  </si>
  <si>
    <t xml:space="preserve">https://www.youtube.com/watch?v=ipkAb5RHF_M</t>
  </si>
  <si>
    <t xml:space="preserve">V313</t>
  </si>
  <si>
    <t xml:space="preserve">Musculoskeletal (MSK) Ultrasound Basics</t>
  </si>
  <si>
    <t xml:space="preserve">https://www.youtube.com/watch?v=cJGFcVnOTug</t>
  </si>
  <si>
    <t xml:space="preserve">V314</t>
  </si>
  <si>
    <t xml:space="preserve">MSK Ultrasound Basics: Nerves, Tendons, and Muscles Explained</t>
  </si>
  <si>
    <t xml:space="preserve">https://www.youtube.com/watch?v=P9cR8czVyr4</t>
  </si>
  <si>
    <t xml:space="preserve">Universitet kasalxonasi (Michigan Medicine)</t>
  </si>
  <si>
    <t xml:space="preserve">V315</t>
  </si>
  <si>
    <t xml:space="preserve">MSK BachelorClass - Your introduction to musculoskeletal ultrasound</t>
  </si>
  <si>
    <t xml:space="preserve">https://www.youtube.com/watch?v=uZs18hx6yCk</t>
  </si>
  <si>
    <t xml:space="preserve">V316</t>
  </si>
  <si>
    <t xml:space="preserve">How I Use Diagnostic Ultrasound in Hand &amp; Wrist Assessment</t>
  </si>
  <si>
    <t xml:space="preserve">https://www.youtube.com/watch?v=WZRvDxP6Abc</t>
  </si>
  <si>
    <t xml:space="preserve">PhysioMSK – Expert Musculoskeletal Advice</t>
  </si>
  <si>
    <t xml:space="preserve">Ta’lim kanali (PhysioMSK)</t>
  </si>
  <si>
    <t xml:space="preserve">V317</t>
  </si>
  <si>
    <t xml:space="preserve">Ultrasound Guide for Elbow Assessment: Lateral, Medial &amp; Posterior Scans</t>
  </si>
  <si>
    <t xml:space="preserve">https://www.youtube.com/watch?v=PzhApRYmpX4</t>
  </si>
  <si>
    <t xml:space="preserve">SMUG MSK ultrasound training</t>
  </si>
  <si>
    <t xml:space="preserve">Ta’lim kanali (SMUG MSK ultrasound training)</t>
  </si>
  <si>
    <t xml:space="preserve">V318</t>
  </si>
  <si>
    <t xml:space="preserve">Ultrasound of the Wrist</t>
  </si>
  <si>
    <t xml:space="preserve">https://www.youtube.com/watch?v=FaMwTyYeogI</t>
  </si>
  <si>
    <t xml:space="preserve">Ishlab chiqaruvchi ta’lim kanali (Clarius)</t>
  </si>
  <si>
    <t xml:space="preserve">V319</t>
  </si>
  <si>
    <t xml:space="preserve">Ultrasound of Medial Gastrocnemius Muscle Tear, by probeultrasound.com</t>
  </si>
  <si>
    <t xml:space="preserve">https://www.youtube.com/watch?v=Sq_iRyFIceA</t>
  </si>
  <si>
    <t xml:space="preserve">Dr. Scott Weiss</t>
  </si>
  <si>
    <t xml:space="preserve">Shifokor kanali (probeultrasound.com)</t>
  </si>
  <si>
    <t xml:space="preserve">V320</t>
  </si>
  <si>
    <t xml:space="preserve">Ultrasound of Torn Gastrocnemius Muscle with Haematoma and USG aspiration</t>
  </si>
  <si>
    <t xml:space="preserve">https://www.youtube.com/watch?v=ruhbh3UZaCM</t>
  </si>
  <si>
    <t xml:space="preserve">Robert Mast</t>
  </si>
  <si>
    <t xml:space="preserve">V321</t>
  </si>
  <si>
    <t xml:space="preserve">Thigh Ultrasound: Aspiration of Pyogenic Myositis</t>
  </si>
  <si>
    <t xml:space="preserve">https://www.youtube.com/watch?v=zAX4ofzWvds</t>
  </si>
  <si>
    <t xml:space="preserve">Sports Med Review</t>
  </si>
  <si>
    <t xml:space="preserve">Ta’lim kanali (Sports Med Review)</t>
  </si>
  <si>
    <t xml:space="preserve">V322</t>
  </si>
  <si>
    <t xml:space="preserve">How to detect joint effusions with ultrasound</t>
  </si>
  <si>
    <t xml:space="preserve">https://www.youtube.com/watch?v=bw5gAYuAA3k</t>
  </si>
  <si>
    <t xml:space="preserve">V323</t>
  </si>
  <si>
    <t xml:space="preserve">Rheumatoid Arthritis Elbow Effusion - Ultrasound Image Interpretation</t>
  </si>
  <si>
    <t xml:space="preserve">https://www.youtube.com/watch?v=EIwnKdYPtJ4</t>
  </si>
  <si>
    <t xml:space="preserve">V324</t>
  </si>
  <si>
    <t xml:space="preserve">Behind the Scan Webinar: Diagnostic Hand Ultrasound Part 3: Arthritic Hand</t>
  </si>
  <si>
    <t xml:space="preserve">https://www.youtube.com/watch?v=doFMIeb_PXc</t>
  </si>
  <si>
    <t xml:space="preserve">Ishlab chiqaruvchi vebinari (Sonosite)</t>
  </si>
  <si>
    <t xml:space="preserve">V325</t>
  </si>
  <si>
    <t xml:space="preserve">Hernia Ultrasound Normal Vs Abnormal Images | Direct/Indirect Inguinal/Epigastric/Femoral Hernia USG</t>
  </si>
  <si>
    <t xml:space="preserve">https://www.youtube.com/watch?v=FCeS3Kx_vKE</t>
  </si>
  <si>
    <t xml:space="preserve">Shifokor kanali (Dr. Sam’s Imaging Library)</t>
  </si>
  <si>
    <t xml:space="preserve">V326</t>
  </si>
  <si>
    <t xml:space="preserve">Groin Hernia Ultrasound Part 2</t>
  </si>
  <si>
    <t xml:space="preserve">https://www.youtube.com/watch?v=eywfXP4HAug</t>
  </si>
  <si>
    <t xml:space="preserve">V327</t>
  </si>
  <si>
    <t xml:space="preserve">Ultrasound of Subcutaneous Lipoma: Key Features &amp; Diagnosis</t>
  </si>
  <si>
    <t xml:space="preserve">https://www.youtube.com/watch?v=C9r_GqeJXSM</t>
  </si>
  <si>
    <t xml:space="preserve">Unified Medicare</t>
  </si>
  <si>
    <t xml:space="preserve">V328</t>
  </si>
  <si>
    <t xml:space="preserve">Shear-Wave Elastography for MSK Ultrasound w/ Sean Gibson</t>
  </si>
  <si>
    <t xml:space="preserve">https://www.youtube.com/watch?v=qyIqEL18GxM</t>
  </si>
  <si>
    <t xml:space="preserve">Universitet kasalxonasi (MetroHealth Emergency Ultrasound)</t>
  </si>
  <si>
    <t xml:space="preserve">V329</t>
  </si>
  <si>
    <t xml:space="preserve">Introduction to Point of Care Ultrasound (POCUS) - Basics</t>
  </si>
  <si>
    <t xml:space="preserve">https://www.youtube.com/watch?v=7Yfe2vOpFmY</t>
  </si>
  <si>
    <t xml:space="preserve">MedCram - Medical Lectures Explained CLEARLY</t>
  </si>
  <si>
    <t xml:space="preserve">Ta’lim kanali (MedCram)</t>
  </si>
  <si>
    <t xml:space="preserve">V330</t>
  </si>
  <si>
    <t xml:space="preserve">POCUS Power Hour: Introduction to Point-of-Care Ultrasound for Beginners | Butterfly Network</t>
  </si>
  <si>
    <t xml:space="preserve">https://www.youtube.com/watch?v=8TIxHJVr3Sk</t>
  </si>
  <si>
    <t xml:space="preserve">Butterfly Network</t>
  </si>
  <si>
    <t xml:space="preserve">Ishlab chiqaruvchi ta’lim kanali (Butterfly Network)</t>
  </si>
  <si>
    <t xml:space="preserve">V331</t>
  </si>
  <si>
    <t xml:space="preserve">Understanding Point of Care Ultrasound Basics</t>
  </si>
  <si>
    <t xml:space="preserve">https://www.youtube.com/watch?v=KecEMRTWlJY</t>
  </si>
  <si>
    <t xml:space="preserve">V332</t>
  </si>
  <si>
    <t xml:space="preserve">Ultrasound Tutorial: FAST (Focused Assessment with Sonography for Trauma) scan | Radiology Nation</t>
  </si>
  <si>
    <t xml:space="preserve">https://www.youtube.com/watch?v=LrCt0o30ygY</t>
  </si>
  <si>
    <t xml:space="preserve">Ta’lim kanali (Radiology Nation)</t>
  </si>
  <si>
    <t xml:space="preserve">V333</t>
  </si>
  <si>
    <t xml:space="preserve">Ultrasound Education: Approach to the eFAST Exam</t>
  </si>
  <si>
    <t xml:space="preserve">https://www.youtube.com/watch?v=xLCHZBG8nv0</t>
  </si>
  <si>
    <t xml:space="preserve">V334</t>
  </si>
  <si>
    <t xml:space="preserve">POCUS - Extended Focused Assessment with Sonography in Trauma (EFAST) - Revised 2021</t>
  </si>
  <si>
    <t xml:space="preserve">https://www.youtube.com/watch?v=Xv0abFuo5gY</t>
  </si>
  <si>
    <t xml:space="preserve">Ta’lim kanali (POCUS Geek)</t>
  </si>
  <si>
    <t xml:space="preserve">V335</t>
  </si>
  <si>
    <t xml:space="preserve">The BLUE Protocol</t>
  </si>
  <si>
    <t xml:space="preserve">https://www.youtube.com/watch?v=nWyF1SoIeBQ</t>
  </si>
  <si>
    <t xml:space="preserve">V336</t>
  </si>
  <si>
    <t xml:space="preserve">Pneumothorax: Ultrasound Image Interpretation</t>
  </si>
  <si>
    <t xml:space="preserve">https://www.youtube.com/watch?v=SQfxMrcJd08</t>
  </si>
  <si>
    <t xml:space="preserve">V337</t>
  </si>
  <si>
    <t xml:space="preserve">Lung Ultrasound Essentials – A-Lines, B-Lines &amp; Pneumothorax Diagnosis | Anesthesia Residency Prog.</t>
  </si>
  <si>
    <t xml:space="preserve">https://www.youtube.com/watch?v=h2geLj0rsf0</t>
  </si>
  <si>
    <t xml:space="preserve">Learn Anaesthesia_Dr. Swati</t>
  </si>
  <si>
    <t xml:space="preserve">Shifokor kanali (anesteziolog)</t>
  </si>
  <si>
    <t xml:space="preserve">Tili tekshirilmagan (kanal hindcha ham chiqaradi)</t>
  </si>
  <si>
    <t xml:space="preserve">V338</t>
  </si>
  <si>
    <t xml:space="preserve">Pleural Effusion Lung Ultrasound. Perioperative &amp; Critical Care POCUS</t>
  </si>
  <si>
    <t xml:space="preserve">https://www.youtube.com/watch?v=bRlOQVrITRE</t>
  </si>
  <si>
    <t xml:space="preserve">theICUdoc</t>
  </si>
  <si>
    <t xml:space="preserve">Shifokor kanali (theICUdoc)</t>
  </si>
  <si>
    <t xml:space="preserve">V339</t>
  </si>
  <si>
    <t xml:space="preserve">Lung Ultrasound: Consolidation - Atelectasis or Pneumonia?</t>
  </si>
  <si>
    <t xml:space="preserve">https://www.youtube.com/watch?v=l-BX3wVhDIg</t>
  </si>
  <si>
    <t xml:space="preserve">Ta’lim kanali (westernsono)</t>
  </si>
  <si>
    <t xml:space="preserve">V340</t>
  </si>
  <si>
    <t xml:space="preserve">Pleural effusion on ultrasound: the spine sign</t>
  </si>
  <si>
    <t xml:space="preserve">https://www.youtube.com/watch?v=NMeXq1bjWHs</t>
  </si>
  <si>
    <t xml:space="preserve">Abhilash NephroPOCUS</t>
  </si>
  <si>
    <t xml:space="preserve">Shifokor kanali (nefrolog, NephroPOCUS)</t>
  </si>
  <si>
    <t xml:space="preserve">V341</t>
  </si>
  <si>
    <t xml:space="preserve">An Introduction to the Rapid Ultrasound for Shock and Hypotension RUSH Protocol</t>
  </si>
  <si>
    <t xml:space="preserve">https://www.youtube.com/watch?v=OVUmIIpG8kU</t>
  </si>
  <si>
    <t xml:space="preserve">Ishlab chiqaruvchi (Philips Healthcare)</t>
  </si>
  <si>
    <t xml:space="preserve">V342</t>
  </si>
  <si>
    <t xml:space="preserve">The RUSH Exam</t>
  </si>
  <si>
    <t xml:space="preserve">https://www.youtube.com/watch?v=1HFbwq0BI5k</t>
  </si>
  <si>
    <t xml:space="preserve">V343</t>
  </si>
  <si>
    <t xml:space="preserve">Pericardial effusions and tamponade: basic POCUS evaluation</t>
  </si>
  <si>
    <t xml:space="preserve">https://www.youtube.com/watch?v=jv-dLWJCsSo</t>
  </si>
  <si>
    <t xml:space="preserve">UBC IM POCUS</t>
  </si>
  <si>
    <t xml:space="preserve">Universitet (UBC ichki kasalliklar POCUS)</t>
  </si>
  <si>
    <t xml:space="preserve">V344</t>
  </si>
  <si>
    <t xml:space="preserve">5 Echo Signs of Cardiac Tamponade That All Acute Care Physicians MUST Know!</t>
  </si>
  <si>
    <t xml:space="preserve">https://www.youtube.com/watch?v=7a35oUQ6qCE</t>
  </si>
  <si>
    <t xml:space="preserve">Matthew Lipton, MD</t>
  </si>
  <si>
    <t xml:space="preserve">V345</t>
  </si>
  <si>
    <t xml:space="preserve">McConnell sign, RV strain- pulmonary embolism vs. RV infarction, pulmonary hypertension</t>
  </si>
  <si>
    <t xml:space="preserve">https://www.youtube.com/watch?v=0KbvJQtzN7M</t>
  </si>
  <si>
    <t xml:space="preserve">V346</t>
  </si>
  <si>
    <t xml:space="preserve">POCUS - Lower Extremity Deep Venous Thrombosis (DVT) - Updated</t>
  </si>
  <si>
    <t xml:space="preserve">https://www.youtube.com/watch?v=n1aFbAidte4</t>
  </si>
  <si>
    <t xml:space="preserve">V347</t>
  </si>
  <si>
    <t xml:space="preserve">How to Perform a Point-of-Care Compression Ultrasound to Rule Out Lower Extremity DVT</t>
  </si>
  <si>
    <t xml:space="preserve">https://www.youtube.com/watch?v=qs0_Z5iODnk</t>
  </si>
  <si>
    <t xml:space="preserve">Ta’lim markazi (Gulfcoast Ultrasound Institute)</t>
  </si>
  <si>
    <t xml:space="preserve">V348</t>
  </si>
  <si>
    <t xml:space="preserve">POCUS When You Can't Poop:  The Ultrasound Evaluation of Small Bowel Obstruction</t>
  </si>
  <si>
    <t xml:space="preserve">https://www.youtube.com/watch?v=nqzRStX8_As</t>
  </si>
  <si>
    <t xml:space="preserve">V349</t>
  </si>
  <si>
    <t xml:space="preserve">PoCUS for Appendicitis</t>
  </si>
  <si>
    <t xml:space="preserve">https://www.youtube.com/watch?v=PigsnIUYITE</t>
  </si>
  <si>
    <t xml:space="preserve">BLUE Team</t>
  </si>
  <si>
    <t xml:space="preserve">Ta’lim kanali (BLUE Team)</t>
  </si>
  <si>
    <t xml:space="preserve">V350</t>
  </si>
  <si>
    <t xml:space="preserve">POCUS Cases 9: Abdominal Free Fluid</t>
  </si>
  <si>
    <t xml:space="preserve">https://www.youtube.com/watch?v=bbvoDaLRcbw</t>
  </si>
  <si>
    <t xml:space="preserve">EM Cases</t>
  </si>
  <si>
    <t xml:space="preserve">Ta’lim kanali (EM Cases)</t>
  </si>
  <si>
    <t xml:space="preserve">V351</t>
  </si>
  <si>
    <t xml:space="preserve">Image Interpretation in Critical Care Ultrasound: Cognitive Skills (Guideline)</t>
  </si>
  <si>
    <t xml:space="preserve">https://www.youtube.com/watch?v=sDmaPj0ntu8</t>
  </si>
  <si>
    <t xml:space="preserve">SCCM</t>
  </si>
  <si>
    <t xml:space="preserve">Professional jamiyat (SCCM)</t>
  </si>
  <si>
    <t xml:space="preserve">V352</t>
  </si>
  <si>
    <t xml:space="preserve">Debate - Is Point of Care Ultrasound (POCUS) a problem?</t>
  </si>
  <si>
    <t xml:space="preserve">https://www.youtube.com/watch?v=ONhWQ2iH5yU</t>
  </si>
  <si>
    <t xml:space="preserve">Coda Change</t>
  </si>
  <si>
    <t xml:space="preserve">Munozara (Coda Change)</t>
  </si>
  <si>
    <t xml:space="preserve">V353</t>
  </si>
  <si>
    <t xml:space="preserve">Principles of Elastography and Tissue Strain Imaging</t>
  </si>
  <si>
    <t xml:space="preserve">https://www.youtube.com/watch?v=aNU6KSqL1T0</t>
  </si>
  <si>
    <t xml:space="preserve">Ta’lim kanali (Radiology Video)</t>
  </si>
  <si>
    <t xml:space="preserve">V354</t>
  </si>
  <si>
    <t xml:space="preserve">48 Ultrasound elastography</t>
  </si>
  <si>
    <t xml:space="preserve">https://www.youtube.com/watch?v=IPPCWEbO_xA</t>
  </si>
  <si>
    <t xml:space="preserve">NPTEL - Indian Institute of Science, Bengaluru</t>
  </si>
  <si>
    <t xml:space="preserve">Universitet (NPTEL — Indian Institute of Science)</t>
  </si>
  <si>
    <t xml:space="preserve">V355</t>
  </si>
  <si>
    <t xml:space="preserve">How To Perform Strain Elastography on Philips EPIQ Ultrasound Systemsvvv</t>
  </si>
  <si>
    <t xml:space="preserve">https://www.youtube.com/watch?v=Yk_uxvJDOD8</t>
  </si>
  <si>
    <t xml:space="preserve">V356</t>
  </si>
  <si>
    <t xml:space="preserve">Elastography Ultrasound Helps in Evaluation of Breast Masses</t>
  </si>
  <si>
    <t xml:space="preserve">https://www.youtube.com/watch?v=UJa9tPzbSXw</t>
  </si>
  <si>
    <t xml:space="preserve">Siemens Knowledge Hub</t>
  </si>
  <si>
    <t xml:space="preserve">Ishlab chiqaruvchi (Siemens Knowledge Hub)</t>
  </si>
  <si>
    <t xml:space="preserve">V357</t>
  </si>
  <si>
    <t xml:space="preserve">Elastography Solutions for Breast Imaging, explained by Dr. Chander Lulla</t>
  </si>
  <si>
    <t xml:space="preserve">https://www.youtube.com/watch?v=3ZV3wBT-bbk</t>
  </si>
  <si>
    <t xml:space="preserve">Mindray India</t>
  </si>
  <si>
    <t xml:space="preserve">Ishlab chiqaruvchi (Mindray India), ma’ruzachi — radiolog</t>
  </si>
  <si>
    <t xml:space="preserve">V358</t>
  </si>
  <si>
    <t xml:space="preserve">sonography Breast Shear Wave Elastography</t>
  </si>
  <si>
    <t xml:space="preserve">https://www.youtube.com/watch?v=5yfBvOGrHgs</t>
  </si>
  <si>
    <t xml:space="preserve">V359</t>
  </si>
  <si>
    <t xml:space="preserve">Shear Wave Elastography - Ultrasound - Canon Medical</t>
  </si>
  <si>
    <t xml:space="preserve">https://www.youtube.com/watch?v=t5P7WxxhzOQ</t>
  </si>
  <si>
    <t xml:space="preserve">Ishlab chiqaruvchi (Canon Medical)</t>
  </si>
  <si>
    <t xml:space="preserve">V360</t>
  </si>
  <si>
    <t xml:space="preserve">Dr. Maxime Ronot - "2D shear wave elastography of the liver"</t>
  </si>
  <si>
    <t xml:space="preserve">https://www.youtube.com/watch?v=ZohmxyYSqSw</t>
  </si>
  <si>
    <t xml:space="preserve">Canon Medical Systems Europe</t>
  </si>
  <si>
    <t xml:space="preserve">Ishlab chiqaruvchi (Canon Medical), ma’ruzachi — M. Ronot</t>
  </si>
  <si>
    <t xml:space="preserve">V361</t>
  </si>
  <si>
    <t xml:space="preserve">Precision in Measurements for Shear Wave Elastography</t>
  </si>
  <si>
    <t xml:space="preserve">https://www.youtube.com/watch?v=w8-K3Z9abBA</t>
  </si>
  <si>
    <t xml:space="preserve">V362</t>
  </si>
  <si>
    <t xml:space="preserve">Liver Ultrasound Elastography: Part 1 of Multi Part Series</t>
  </si>
  <si>
    <t xml:space="preserve">https://www.youtube.com/watch?v=StWQOqUckZM</t>
  </si>
  <si>
    <t xml:space="preserve">Professional jamiyat (International Society of Liver Ultrasound)</t>
  </si>
  <si>
    <t xml:space="preserve">V363</t>
  </si>
  <si>
    <t xml:space="preserve">2D Shear Wave Elastography for liver disease diagnosis: Clinical and Business Considerations</t>
  </si>
  <si>
    <t xml:space="preserve">https://www.youtube.com/watch?v=cBxFVyF2Xy8</t>
  </si>
  <si>
    <t xml:space="preserve">V364</t>
  </si>
  <si>
    <t xml:space="preserve">TMT: CONTRAST ENHANCED ULTRASOUND (CEUS): BASICS</t>
  </si>
  <si>
    <t xml:space="preserve">https://www.youtube.com/watch?v=c6gif0wXZoY</t>
  </si>
  <si>
    <t xml:space="preserve">V365</t>
  </si>
  <si>
    <t xml:space="preserve">Introduction to Contrast Enhanced Ultrasound</t>
  </si>
  <si>
    <t xml:space="preserve">https://www.youtube.com/watch?v=tCDZRtU7R8M</t>
  </si>
  <si>
    <t xml:space="preserve">V366</t>
  </si>
  <si>
    <t xml:space="preserve">Contrast Enhanced Ultrasound (CEUS)</t>
  </si>
  <si>
    <t xml:space="preserve">https://www.youtube.com/watch?v=iBNhC7KfaFA</t>
  </si>
  <si>
    <t xml:space="preserve">RSNA Case Collection</t>
  </si>
  <si>
    <t xml:space="preserve">Professional jamiyat (RSNA Case Collection)</t>
  </si>
  <si>
    <t xml:space="preserve">V367</t>
  </si>
  <si>
    <t xml:space="preserve">CEUS of Focal Liver Lesions</t>
  </si>
  <si>
    <t xml:space="preserve">https://www.youtube.com/watch?v=nDWhfoUc_98</t>
  </si>
  <si>
    <t xml:space="preserve">V368</t>
  </si>
  <si>
    <t xml:space="preserve">Contrast-Enhanced Ultrasound of Hemangioma</t>
  </si>
  <si>
    <t xml:space="preserve">https://www.youtube.com/watch?v=DbIKr8lMVD8</t>
  </si>
  <si>
    <t xml:space="preserve">V369</t>
  </si>
  <si>
    <t xml:space="preserve">Contrast-Enhanced Ultrasound of Focal Nodular Hyperplasia</t>
  </si>
  <si>
    <t xml:space="preserve">https://www.youtube.com/watch?v=zBesTEum5yM</t>
  </si>
  <si>
    <t xml:space="preserve">V370</t>
  </si>
  <si>
    <t xml:space="preserve">ECR hands-on session video - Prof Clevert - CEUS</t>
  </si>
  <si>
    <t xml:space="preserve">https://www.youtube.com/watch?v=00ElYXPyngk</t>
  </si>
  <si>
    <t xml:space="preserve">Ishlab chiqaruvchi (Philips Healthcare), ma’ruzachi — D.-A. Clevert (ECR)</t>
  </si>
  <si>
    <t xml:space="preserve">V371</t>
  </si>
  <si>
    <t xml:space="preserve">Contrast-Enhanced Ultrasound (CEUS)In Thyroid Interventional Procedure</t>
  </si>
  <si>
    <t xml:space="preserve">https://www.youtube.com/watch?v=Mcp1NHwq5L8</t>
  </si>
  <si>
    <t xml:space="preserve">TNT Association</t>
  </si>
  <si>
    <t xml:space="preserve">Professional assotsiatsiya (TNT Association)</t>
  </si>
  <si>
    <t xml:space="preserve">V372</t>
  </si>
  <si>
    <t xml:space="preserve">4D Ultrasound Training on Voluson and Other 4D Ultrasound Machines</t>
  </si>
  <si>
    <t xml:space="preserve">https://www.youtube.com/watch?v=zZGlBijatSQ</t>
  </si>
  <si>
    <t xml:space="preserve">Probo Medical</t>
  </si>
  <si>
    <t xml:space="preserve">Ta’lim kanali (Probo Medical)</t>
  </si>
  <si>
    <t xml:space="preserve">V373</t>
  </si>
  <si>
    <t xml:space="preserve">3D Ultrasound vs 2D Ultrasound: Why You Need to Master Volume Acquisition</t>
  </si>
  <si>
    <t xml:space="preserve">https://www.youtube.com/watch?v=BS79gV3Ef6Y</t>
  </si>
  <si>
    <t xml:space="preserve">Ta’lim kanali (Panorama Scan)</t>
  </si>
  <si>
    <t xml:space="preserve">V374</t>
  </si>
  <si>
    <t xml:space="preserve">Ultrasound and AI</t>
  </si>
  <si>
    <t xml:space="preserve">https://www.youtube.com/watch?v=CJeBZejU0ts</t>
  </si>
  <si>
    <t xml:space="preserve">V375</t>
  </si>
  <si>
    <t xml:space="preserve">Role of Artificial Intelligence in Echocardiography and Clinical Ultrasound</t>
  </si>
  <si>
    <t xml:space="preserve">https://www.youtube.com/watch?v=ozGTm_DvRSs</t>
  </si>
  <si>
    <t xml:space="preserve">Ruey Hu</t>
  </si>
  <si>
    <t xml:space="preserve">V376</t>
  </si>
  <si>
    <t xml:space="preserve">SAEM22: Machine Learning in POCUS - Past, Present, Future</t>
  </si>
  <si>
    <t xml:space="preserve">https://www.youtube.com/watch?v=P5DqGxxN70s</t>
  </si>
  <si>
    <t xml:space="preserve">SAEM</t>
  </si>
  <si>
    <t xml:space="preserve">Professional jamiyat (SAEM)</t>
  </si>
  <si>
    <t xml:space="preserve">V377</t>
  </si>
  <si>
    <t xml:space="preserve">Butterfly IQ: Review of the portable handheld ultrasound</t>
  </si>
  <si>
    <t xml:space="preserve">https://www.youtube.com/watch?v=CrzW-v_5BiQ</t>
  </si>
  <si>
    <t xml:space="preserve">Ali Haider MD</t>
  </si>
  <si>
    <t xml:space="preserve">V378</t>
  </si>
  <si>
    <t xml:space="preserve">Endoscopic Ultrasound - Mayo Clinic</t>
  </si>
  <si>
    <t xml:space="preserve">https://www.youtube.com/watch?v=NreeQ5eViiU</t>
  </si>
  <si>
    <t xml:space="preserve">Mayo Clinic</t>
  </si>
  <si>
    <t xml:space="preserve">Kasalxona (Mayo Clinic), bemorlar uchun</t>
  </si>
  <si>
    <t xml:space="preserve">V379</t>
  </si>
  <si>
    <t xml:space="preserve">Understanding EUS-FNA</t>
  </si>
  <si>
    <t xml:space="preserve">https://www.youtube.com/watch?v=OA4FNAQpeRc</t>
  </si>
  <si>
    <t xml:space="preserve">Animated Pancreas Patient</t>
  </si>
  <si>
    <t xml:space="preserve">Bemorlar uchun animatsiya</t>
  </si>
  <si>
    <t xml:space="preserve">V380</t>
  </si>
  <si>
    <t xml:space="preserve">Imaging - Ultrasound Guided Core Biopsy</t>
  </si>
  <si>
    <t xml:space="preserve">https://www.youtube.com/watch?v=TfMBzqYCMyI</t>
  </si>
  <si>
    <t xml:space="preserve">MemorialCare</t>
  </si>
  <si>
    <t xml:space="preserve">Kasalxona (MemorialCare)</t>
  </si>
  <si>
    <t xml:space="preserve">V381</t>
  </si>
  <si>
    <t xml:space="preserve">Ultrasound for Needle Guidance Using the In Plane Approach</t>
  </si>
  <si>
    <t xml:space="preserve">https://www.youtube.com/watch?v=tMpjaozbegU</t>
  </si>
  <si>
    <t xml:space="preserve">V382</t>
  </si>
  <si>
    <t xml:space="preserve">A crash course in ultrasound needle guidance</t>
  </si>
  <si>
    <t xml:space="preserve">https://www.youtube.com/watch?v=yRFf2erCqpA</t>
  </si>
  <si>
    <t xml:space="preserve">V383</t>
  </si>
  <si>
    <t xml:space="preserve">Ultrasound probe maneuvers to improve needle and target visualization</t>
  </si>
  <si>
    <t xml:space="preserve">https://www.youtube.com/watch?v=jpcvhUSZ_4k</t>
  </si>
  <si>
    <t xml:space="preserve">Regional Anesthesiology and Acute Pain Medicine</t>
  </si>
  <si>
    <t xml:space="preserve">Professional jamiyat (ASRA — Regional Anesthesiology and Acute Pain Medicine)</t>
  </si>
  <si>
    <t xml:space="preserve">V384</t>
  </si>
  <si>
    <t xml:space="preserve">Ultrasound Guided Paracentesis</t>
  </si>
  <si>
    <t xml:space="preserve">https://www.youtube.com/watch?v=nj5fACHLCIo</t>
  </si>
  <si>
    <t xml:space="preserve">Medical Specialists Associates</t>
  </si>
  <si>
    <t xml:space="preserve">Klinika kanali</t>
  </si>
  <si>
    <t xml:space="preserve">V385</t>
  </si>
  <si>
    <t xml:space="preserve">Ultrasound Guidance for Paracentesis</t>
  </si>
  <si>
    <t xml:space="preserve">https://www.youtube.com/watch?v=v9ar1mhpT-g</t>
  </si>
  <si>
    <t xml:space="preserve">The POCUS Atlas</t>
  </si>
  <si>
    <t xml:space="preserve">Ta’lim loyihasi (The POCUS Atlas)</t>
  </si>
  <si>
    <t xml:space="preserve">V386</t>
  </si>
  <si>
    <t xml:space="preserve">M4 Surgical Skills POCUS Procedures 4, Thoracentesis and Paracentesis</t>
  </si>
  <si>
    <t xml:space="preserve">https://www.youtube.com/watch?v=9xBnci2N7zU</t>
  </si>
  <si>
    <t xml:space="preserve">Universitet o‘qituvchisi (jarrohlik ko‘nikmalari kursi)</t>
  </si>
  <si>
    <t xml:space="preserve">V387</t>
  </si>
  <si>
    <t xml:space="preserve">Core Needle breast biopsy complications</t>
  </si>
  <si>
    <t xml:space="preserve">https://www.youtube.com/watch?v=goWpi2BtNcE</t>
  </si>
  <si>
    <t xml:space="preserve">Health4TheWorld Academy </t>
  </si>
  <si>
    <t xml:space="preserve">Ta’lim platformasi (Health4TheWorld Academy)</t>
  </si>
  <si>
    <t xml:space="preserve">V388</t>
  </si>
  <si>
    <t xml:space="preserve">Complications of Ultrasound Guided Nerve Blocks</t>
  </si>
  <si>
    <t xml:space="preserve">https://www.youtube.com/watch?v=wVt9frJBk5s</t>
  </si>
  <si>
    <t xml:space="preserve">V389</t>
  </si>
  <si>
    <t xml:space="preserve">Ultrasound Basics: An Intro to Ultrasound for Regional Anesthesia, Joint Injections and Nerve Blocks</t>
  </si>
  <si>
    <t xml:space="preserve">https://www.youtube.com/watch?v=P7k1Ejw1dAM</t>
  </si>
  <si>
    <t xml:space="preserve">NRAP Academy— David Rosenblum, MD  Pain Specialist</t>
  </si>
  <si>
    <t xml:space="preserve">Ta’lim markazi (NRAP Academy)</t>
  </si>
  <si>
    <t xml:space="preserve">V390</t>
  </si>
  <si>
    <t xml:space="preserve">Ultrasound-Guided Femoral Nerve Block - Regional anesthesia Crash course with Dr. Hadzic</t>
  </si>
  <si>
    <t xml:space="preserve">https://www.youtube.com/watch?v=tMy978ZwaDU</t>
  </si>
  <si>
    <t xml:space="preserve">NYSORA - Education</t>
  </si>
  <si>
    <t xml:space="preserve">Ta’lim markazi (NYSORA)</t>
  </si>
  <si>
    <t xml:space="preserve">V391</t>
  </si>
  <si>
    <t xml:space="preserve">Ultrasound-Guided Steroid Injection for the Wrist and Hand</t>
  </si>
  <si>
    <t xml:space="preserve">https://www.youtube.com/watch?v=ooSB9_nRL54</t>
  </si>
  <si>
    <t xml:space="preserve">Life Fit Wellness</t>
  </si>
  <si>
    <t xml:space="preserve">V392</t>
  </si>
  <si>
    <t xml:space="preserve">Normal Ultrasound Measurements And Size Ranges Of General Organs | Dr. Sam's Imaging Library</t>
  </si>
  <si>
    <t xml:space="preserve">https://www.youtube.com/watch?v=gsf9fSF031M</t>
  </si>
  <si>
    <t xml:space="preserve">V393</t>
  </si>
  <si>
    <t xml:space="preserve">Diagnostic Errors in Radiology</t>
  </si>
  <si>
    <t xml:space="preserve">https://www.youtube.com/watch?v=4zvnuij5Byg</t>
  </si>
  <si>
    <t xml:space="preserve">V394</t>
  </si>
  <si>
    <t xml:space="preserve">Errors and Discrepancies in Radiology By Dr. Anjali Agrawal</t>
  </si>
  <si>
    <t xml:space="preserve">https://www.youtube.com/watch?v=ys6vUOsrD-k</t>
  </si>
  <si>
    <t xml:space="preserve">V395</t>
  </si>
  <si>
    <t xml:space="preserve">Ep32: Diagnostic Error Part 1—Cognitive Bias</t>
  </si>
  <si>
    <t xml:space="preserve">https://www.youtube.com/watch?v=woMY390LDAU</t>
  </si>
  <si>
    <t xml:space="preserve">RACP</t>
  </si>
  <si>
    <t xml:space="preserve">Professional jamiyat (RACP), podkast</t>
  </si>
  <si>
    <t xml:space="preserve">V396</t>
  </si>
  <si>
    <t xml:space="preserve">Critical Appraisal of Evidence</t>
  </si>
  <si>
    <t xml:space="preserve">https://www.youtube.com/watch?v=AsD9Lp-q45Y</t>
  </si>
  <si>
    <t xml:space="preserve">CEPguidelines</t>
  </si>
  <si>
    <t xml:space="preserve">Ta’lim kanali (CEPguidelines)</t>
  </si>
  <si>
    <t xml:space="preserve">V397</t>
  </si>
  <si>
    <t xml:space="preserve">How to Read, Use and Interpret a Best Practice Guideline</t>
  </si>
  <si>
    <t xml:space="preserve">https://www.youtube.com/watch?v=xs9RceAkYy4</t>
  </si>
  <si>
    <t xml:space="preserve">RNAO Communications</t>
  </si>
  <si>
    <t xml:space="preserve">Professional assotsiatsiya (RNAO)</t>
  </si>
  <si>
    <t xml:space="preserve">V398</t>
  </si>
  <si>
    <t xml:space="preserve">AGREE II Instrument Overview</t>
  </si>
  <si>
    <t xml:space="preserve">https://www.youtube.com/watch?v=zUM6N3197O4</t>
  </si>
  <si>
    <t xml:space="preserve">The AMSSM</t>
  </si>
  <si>
    <t xml:space="preserve">Professional jamiyat (AMSSM)</t>
  </si>
  <si>
    <t xml:space="preserve">V399</t>
  </si>
  <si>
    <t xml:space="preserve">Ultrasound Education: Choosing the Right Preset</t>
  </si>
  <si>
    <t xml:space="preserve">https://www.youtube.com/watch?v=bPrAxDE2zHw</t>
  </si>
  <si>
    <t xml:space="preserve">V400</t>
  </si>
  <si>
    <t xml:space="preserve">Selecting Application Presets</t>
  </si>
  <si>
    <t xml:space="preserve">https://www.youtube.com/watch?v=sHUGGxurNog</t>
  </si>
  <si>
    <t xml:space="preserve">V401</t>
  </si>
  <si>
    <t xml:space="preserve">Customizing Presets</t>
  </si>
  <si>
    <t xml:space="preserve">https://www.youtube.com/watch?v=GIau9Z-C4_Y</t>
  </si>
  <si>
    <t xml:space="preserve">V402</t>
  </si>
  <si>
    <t xml:space="preserve">Taking Clinical Medical History in Radiology; Importance of Clinical History in Radiology</t>
  </si>
  <si>
    <t xml:space="preserve">https://www.youtube.com/watch?v=Gupf1_H4bSI</t>
  </si>
  <si>
    <t xml:space="preserve">Jos Plateau Radiology</t>
  </si>
  <si>
    <t xml:space="preserve">Shifokor kanali (radiolog, Jos Plateau Radiology)</t>
  </si>
  <si>
    <t xml:space="preserve">V403</t>
  </si>
  <si>
    <t xml:space="preserve">Improving Communication of Incidental Imaging Findings</t>
  </si>
  <si>
    <t xml:space="preserve">https://www.youtube.com/watch?v=bXrZr9nl3yc</t>
  </si>
  <si>
    <t xml:space="preserve">Mayo Proceedings</t>
  </si>
  <si>
    <t xml:space="preserve">Ilmiy jurnal (Mayo Clinic Proceedings)</t>
  </si>
  <si>
    <t xml:space="preserve">V404</t>
  </si>
  <si>
    <t xml:space="preserve">Addressing Actionable Incidental Findings in Emergency Department Imaging with Drs. Nicola and Moore</t>
  </si>
  <si>
    <t xml:space="preserve">https://www.youtube.com/watch?v=ORlQ4sITmz4</t>
  </si>
  <si>
    <t xml:space="preserve">Professional jamiyat (American College of Radiology)</t>
  </si>
  <si>
    <t xml:space="preserve">V405</t>
  </si>
  <si>
    <t xml:space="preserve">The Hidden Risk in Radiology: Incidental Findings Without Infrastructure</t>
  </si>
  <si>
    <t xml:space="preserve">https://www.youtube.com/watch?v=3xzCESrWumA</t>
  </si>
  <si>
    <t xml:space="preserve">RSNA</t>
  </si>
  <si>
    <t xml:space="preserve">Professional jamiyat (RSNA)</t>
  </si>
  <si>
    <t xml:space="preserve">V406</t>
  </si>
  <si>
    <t xml:space="preserve">Dilated Common Bile Duct</t>
  </si>
  <si>
    <t xml:space="preserve">https://www.youtube.com/watch?v=WuexfCIAUEA</t>
  </si>
  <si>
    <t xml:space="preserve">RadTrain</t>
  </si>
  <si>
    <t xml:space="preserve">Ta’lim kanali (RadTrain)</t>
  </si>
  <si>
    <t xml:space="preserve">V407</t>
  </si>
  <si>
    <t xml:space="preserve">INTRA HEPATIC BILIARY DILATATION Ultrasound VIDEO demonstration</t>
  </si>
  <si>
    <t xml:space="preserve">https://www.youtube.com/watch?v=2WcUJQiorR8</t>
  </si>
  <si>
    <t xml:space="preserve">Ta’lim kanali (Ultrasound &amp; Radiology Teaching)</t>
  </si>
  <si>
    <t xml:space="preserve">V408</t>
  </si>
  <si>
    <t xml:space="preserve">Understanding the Double Barrel Shotgun Sign in Dilated Common Bile Duct Ultrasound"</t>
  </si>
  <si>
    <t xml:space="preserve">https://www.youtube.com/watch?v=lh4ZVMxRKfM</t>
  </si>
  <si>
    <t xml:space="preserve">Radiology Lens</t>
  </si>
  <si>
    <t xml:space="preserve">Ta’lim kanali (Radiology Lens)</t>
  </si>
  <si>
    <t xml:space="preserve">V409</t>
  </si>
  <si>
    <t xml:space="preserve">Ultrasound of Choledocholithiasis (Common Bile Duct Stones)</t>
  </si>
  <si>
    <t xml:space="preserve">https://www.youtube.com/watch?v=L6Klbaxp_eE</t>
  </si>
  <si>
    <t xml:space="preserve">V410</t>
  </si>
  <si>
    <t xml:space="preserve">Choledocholithiasis || Common Bile Duct Calculus || Ultrasound || Case 264</t>
  </si>
  <si>
    <t xml:space="preserve">https://www.youtube.com/watch?v=jA_vi46GUp4</t>
  </si>
  <si>
    <t xml:space="preserve">Ta’lim kanali (Imaging Study)</t>
  </si>
  <si>
    <t xml:space="preserve">V411</t>
  </si>
  <si>
    <t xml:space="preserve">Bile Duct Ultrasound Normal Vs Abnormal Image Appearances | Biliary Tract Abnormalities USG Scan</t>
  </si>
  <si>
    <t xml:space="preserve">https://www.youtube.com/watch?v=ZOr33tDOVjw</t>
  </si>
  <si>
    <t xml:space="preserve">V412</t>
  </si>
  <si>
    <t xml:space="preserve">Pancreatic Pseudocyst (symptoms, diagnosis and treatment) - Walled off pancreatic necrosis (WOPN)</t>
  </si>
  <si>
    <t xml:space="preserve">https://www.youtube.com/watch?v=WexDD7eH_-I</t>
  </si>
  <si>
    <t xml:space="preserve">The Surgical Scholar</t>
  </si>
  <si>
    <t xml:space="preserve">Shifokor kanali (jarroh, The Surgical Scholar)</t>
  </si>
  <si>
    <t xml:space="preserve">V413</t>
  </si>
  <si>
    <t xml:space="preserve">Understanding NET Pancreas, MPD and Bile Duct Dilation: Ultrasound &amp; color Doppler imaging</t>
  </si>
  <si>
    <t xml:space="preserve">https://www.youtube.com/watch?v=o4RaquIWGpI</t>
  </si>
  <si>
    <t xml:space="preserve">Ta’lim kanali (Ultrasound videos)</t>
  </si>
  <si>
    <t xml:space="preserve">V414</t>
  </si>
  <si>
    <t xml:space="preserve">Pancreas Ultrasound Normal Vs Abnormal Image Appearances Comparison | Pancreatic Pathologies USG</t>
  </si>
  <si>
    <t xml:space="preserve">https://www.youtube.com/watch?v=6HtKv6dbQBQ</t>
  </si>
  <si>
    <t xml:space="preserve">V415</t>
  </si>
  <si>
    <t xml:space="preserve">How to: Ultrasound the Pancreas  - Zedu POCUS Coaching Corner - 1 July 2021</t>
  </si>
  <si>
    <t xml:space="preserve">https://www.youtube.com/watch?v=WxtTbXlKpoY</t>
  </si>
  <si>
    <t xml:space="preserve">Ta’lim markazi (Zedu Ultrasound Training)</t>
  </si>
  <si>
    <t xml:space="preserve">V416</t>
  </si>
  <si>
    <t xml:space="preserve">Ultrasound &amp; Color Doppler Imaging of the Normal Pancreas: Anatomy, Techniques &amp; Key Findings</t>
  </si>
  <si>
    <t xml:space="preserve">https://www.youtube.com/watch?v=NCPk_3e-uos</t>
  </si>
  <si>
    <t xml:space="preserve">V417</t>
  </si>
  <si>
    <t xml:space="preserve">Small Splenic Infarct on Ultrasound: Causes, Doppler Findings &amp; Prognosis Explained!</t>
  </si>
  <si>
    <t xml:space="preserve">https://www.youtube.com/watch?v=89iCXXVPhUA</t>
  </si>
  <si>
    <t xml:space="preserve">V418</t>
  </si>
  <si>
    <t xml:space="preserve">Diagnosis Explained | Splenic Infarction on Ultrasound | Ultrasonography Insights </t>
  </si>
  <si>
    <t xml:space="preserve">https://www.youtube.com/watch?v=2ezbh-31ugw</t>
  </si>
  <si>
    <t xml:space="preserve">Ultrasonography Insights </t>
  </si>
  <si>
    <t xml:space="preserve">Ta’lim kanali (Ultrasonography Insights)</t>
  </si>
  <si>
    <t xml:space="preserve">V419</t>
  </si>
  <si>
    <t xml:space="preserve">Splenic Rupture (FAST) Ultrasound: 5/2020</t>
  </si>
  <si>
    <t xml:space="preserve">https://www.youtube.com/watch?v=z5ZnC5Pnx_k</t>
  </si>
  <si>
    <t xml:space="preserve">Greg Zahn</t>
  </si>
  <si>
    <t xml:space="preserve">Shaxsiy kanal (shoshilinch tibbiyot)</t>
  </si>
  <si>
    <t xml:space="preserve">V420</t>
  </si>
  <si>
    <t xml:space="preserve">Increased renal cortical echogenicity on ultrasound is not always chronic kidney disease I POCUS</t>
  </si>
  <si>
    <t xml:space="preserve">https://www.youtube.com/watch?v=hyRbWnxifWg</t>
  </si>
  <si>
    <t xml:space="preserve">V421</t>
  </si>
  <si>
    <t xml:space="preserve">Ultrasound of renal parenchymal diseases</t>
  </si>
  <si>
    <t xml:space="preserve">https://www.youtube.com/watch?v=0DlJWaODxhk</t>
  </si>
  <si>
    <t xml:space="preserve">Seung Hyup Kim</t>
  </si>
  <si>
    <t xml:space="preserve">Shifokor kanali (radiolog, S. H. Kim)</t>
  </si>
  <si>
    <t xml:space="preserve">V422</t>
  </si>
  <si>
    <t xml:space="preserve">Kidney Ultrasound Normal Vs Chronic Kidney Disease (CKD) Imaging Findings | Chronic Renal Failure</t>
  </si>
  <si>
    <t xml:space="preserve">https://www.youtube.com/watch?v=bMQjWxDAPaI</t>
  </si>
  <si>
    <t xml:space="preserve">V423</t>
  </si>
  <si>
    <t xml:space="preserve">Adrenal Gland Ultrasound Normal Vs Abnormal Image Appearances | Cyst, Adenoma, Pheochromocytoma USG</t>
  </si>
  <si>
    <t xml:space="preserve">https://www.youtube.com/watch?v=Vx1idQA4rFs</t>
  </si>
  <si>
    <t xml:space="preserve">V424</t>
  </si>
  <si>
    <t xml:space="preserve">Scanning the Left Adrenal Gland</t>
  </si>
  <si>
    <t xml:space="preserve">https://www.youtube.com/watch?v=mOgREEp6chs</t>
  </si>
  <si>
    <t xml:space="preserve">V425</t>
  </si>
  <si>
    <t xml:space="preserve">Scanning the Right Adrenal Gland</t>
  </si>
  <si>
    <t xml:space="preserve">https://www.youtube.com/watch?v=E72lvRcgI3A</t>
  </si>
  <si>
    <t xml:space="preserve">V426</t>
  </si>
  <si>
    <t xml:space="preserve">RenalAdrenalRetroperitoneal Ultrasound</t>
  </si>
  <si>
    <t xml:space="preserve">https://www.youtube.com/watch?v=YHb3Fbul070</t>
  </si>
  <si>
    <t xml:space="preserve">V427</t>
  </si>
  <si>
    <t xml:space="preserve">Case of the Week: Retroperitoneal Fibrosis (Ultrasound &amp; CT)</t>
  </si>
  <si>
    <t xml:space="preserve">https://www.youtube.com/watch?v=PHYkL-0Y-50</t>
  </si>
  <si>
    <t xml:space="preserve">V428</t>
  </si>
  <si>
    <t xml:space="preserve">Ultrasound Insights: Diagnosing Suprapubic Ventral Incisional Hernia with Small Bowel and Omentum</t>
  </si>
  <si>
    <t xml:space="preserve">https://www.youtube.com/watch?v=7Je_qUhdkY8</t>
  </si>
  <si>
    <t xml:space="preserve">V429</t>
  </si>
  <si>
    <t xml:space="preserve">Reducible Umbilical Hernia: Ultrasound, MRI, Dynamic Findings &amp; Surgical Management</t>
  </si>
  <si>
    <t xml:space="preserve">https://www.youtube.com/watch?v=EPh60ad6gSE</t>
  </si>
  <si>
    <t xml:space="preserve">V430</t>
  </si>
  <si>
    <t xml:space="preserve">Ultrasound Video showing Scanning of Ventral hernia.</t>
  </si>
  <si>
    <t xml:space="preserve">https://www.youtube.com/watch?v=O9XYjGqPNRM</t>
  </si>
  <si>
    <t xml:space="preserve">Saeed Ahmad</t>
  </si>
  <si>
    <t xml:space="preserve">Shifokor kanali (sonolog)</t>
  </si>
  <si>
    <t xml:space="preserve">V431</t>
  </si>
  <si>
    <t xml:space="preserve">Abdominal US - The Bowel</t>
  </si>
  <si>
    <t xml:space="preserve">https://www.youtube.com/watch?v=VcdDgXT6oU0</t>
  </si>
  <si>
    <t xml:space="preserve">Shifokor kanali (radiolog, ta’lim)</t>
  </si>
  <si>
    <t xml:space="preserve">V432</t>
  </si>
  <si>
    <t xml:space="preserve">Clinical Practice Update: Intestinal Ultrasound in IBD</t>
  </si>
  <si>
    <t xml:space="preserve">https://www.youtube.com/watch?v=v0TKyJSH--Q</t>
  </si>
  <si>
    <t xml:space="preserve">AmerGastroAssn</t>
  </si>
  <si>
    <t xml:space="preserve">Professional jamiyat (American Gastroenterological Association)</t>
  </si>
  <si>
    <t xml:space="preserve">V433</t>
  </si>
  <si>
    <t xml:space="preserve">Understanding intestinal ultrasound for inflammatory bowel disease patients</t>
  </si>
  <si>
    <t xml:space="preserve">https://www.youtube.com/watch?v=061-1JLptiI</t>
  </si>
  <si>
    <t xml:space="preserve">UChicago Medicine</t>
  </si>
  <si>
    <t xml:space="preserve">Universitet kasalxonasi (UChicago Medicine)</t>
  </si>
  <si>
    <t xml:space="preserve">V434</t>
  </si>
  <si>
    <t xml:space="preserve">Session 5, Hot Topic: Intestinal Ultrasound in IBD Monitoring</t>
  </si>
  <si>
    <t xml:space="preserve">https://www.youtube.com/watch?v=r4TP8lQkZ1c</t>
  </si>
  <si>
    <t xml:space="preserve">Mount Sinai Health System</t>
  </si>
  <si>
    <t xml:space="preserve">Kasalxona (Mount Sinai Health System)</t>
  </si>
  <si>
    <t xml:space="preserve">V435</t>
  </si>
  <si>
    <t xml:space="preserve">Small Bowel Ultrasound Normal Vs Abnormal Image Appearances | Gastrointestinal Tract (GIT) USG</t>
  </si>
  <si>
    <t xml:space="preserve">https://www.youtube.com/watch?v=_7VBvxZ7fSg</t>
  </si>
  <si>
    <t xml:space="preserve">V436</t>
  </si>
  <si>
    <t xml:space="preserve">Hydrocele, testicular mass and large Epididymal Cyst.</t>
  </si>
  <si>
    <t xml:space="preserve">https://www.youtube.com/watch?v=Zp8pjAxe9Fo</t>
  </si>
  <si>
    <t xml:space="preserve">V437</t>
  </si>
  <si>
    <t xml:space="preserve">Prenatal Evaluation of Skeletal Dysplasias</t>
  </si>
  <si>
    <t xml:space="preserve">https://www.youtube.com/watch?v=hGzrB46auCQ</t>
  </si>
  <si>
    <t xml:space="preserve">Osteogenesis Imperfecta Foundation</t>
  </si>
  <si>
    <t xml:space="preserve">Bemorlar jamg‘armasi (Osteogenesis Imperfecta Foundation), ma’ruzachi — shifokor</t>
  </si>
  <si>
    <t xml:space="preserve">V438</t>
  </si>
  <si>
    <t xml:space="preserve">Prenatal Diagnosis of Fetal Skeletal Dysplasia | Angie Jelin, M.D.</t>
  </si>
  <si>
    <t xml:space="preserve">https://www.youtube.com/watch?v=WAsNGfncNf0</t>
  </si>
  <si>
    <t xml:space="preserve">Universitet kasalxonasi (Johns Hopkins Medicine)</t>
  </si>
  <si>
    <t xml:space="preserve">V439</t>
  </si>
  <si>
    <t xml:space="preserve">Fetal Musculoskeletal Ultrasound Normal Vs Abnormal Image Appearances | Skeletal Dysplasias MSK USG</t>
  </si>
  <si>
    <t xml:space="preserve">https://www.youtube.com/watch?v=9zDaNOJ81rU</t>
  </si>
  <si>
    <t xml:space="preserve">V440</t>
  </si>
  <si>
    <t xml:space="preserve">Skeletal Dysplasias Dr  Zainab Vora @ConceptualRadiology</t>
  </si>
  <si>
    <t xml:space="preserve">https://www.youtube.com/watch?v=IEI_pcLGX6I</t>
  </si>
  <si>
    <t xml:space="preserve">Conceptual Radiology</t>
  </si>
  <si>
    <t xml:space="preserve">Ta’lim kanali (Conceptual Radiology)</t>
  </si>
  <si>
    <t xml:space="preserve">V441</t>
  </si>
  <si>
    <t xml:space="preserve">Breast Implant Rupture: MRI &amp; Ultrasound Evaluatione</t>
  </si>
  <si>
    <t xml:space="preserve">https://www.youtube.com/watch?v=iWCtYl427uQ</t>
  </si>
  <si>
    <t xml:space="preserve">V442</t>
  </si>
  <si>
    <t xml:space="preserve">Ultrasound of Intussusception</t>
  </si>
  <si>
    <t xml:space="preserve">https://www.youtube.com/watch?v=O6ZjG9c_b-I</t>
  </si>
  <si>
    <t xml:space="preserve">V443</t>
  </si>
  <si>
    <t xml:space="preserve">Pediatric Emergency POCUS: Targeting Intussusception</t>
  </si>
  <si>
    <t xml:space="preserve">https://www.youtube.com/watch?v=p4EpL5dVmiU</t>
  </si>
  <si>
    <t xml:space="preserve">V444</t>
  </si>
  <si>
    <t xml:space="preserve">Intraoperative Ultrasound (IOUS) | Masterclass | AIG Hospitals</t>
  </si>
  <si>
    <t xml:space="preserve">https://www.youtube.com/watch?v=LeLbN_FQcds</t>
  </si>
  <si>
    <t xml:space="preserve">AIG Hospitals</t>
  </si>
  <si>
    <t xml:space="preserve">Kasalxona (AIG Hospitals)</t>
  </si>
  <si>
    <t xml:space="preserve">V445</t>
  </si>
  <si>
    <t xml:space="preserve">Using Intraoperative Ultrasound for Surgical Oncology: Dr. Robert Martin</t>
  </si>
  <si>
    <t xml:space="preserve">https://www.youtube.com/watch?v=DmKyfzScGkY</t>
  </si>
  <si>
    <t xml:space="preserve">BK Medical</t>
  </si>
  <si>
    <t xml:space="preserve">Ishlab chiqaruvchi (BK Medical), ma’ruzachi — jarroh-onkolog</t>
  </si>
  <si>
    <t xml:space="preserve">V446</t>
  </si>
  <si>
    <t xml:space="preserve">(Eng version) Abdominal Ultrasound Scanning Technique</t>
  </si>
  <si>
    <t xml:space="preserve">https://www.youtube.com/watch?v=enQBV0rbQ2I</t>
  </si>
  <si>
    <t xml:space="preserve">Walailak Chaiyasoot</t>
  </si>
  <si>
    <t xml:space="preserve">V447</t>
  </si>
  <si>
    <t xml:space="preserve">Primary Care POCUS: Why it is Needed and Common Questions About Billing and Credentialing</t>
  </si>
  <si>
    <t xml:space="preserve">https://www.youtube.com/watch?v=HHRZvqlXBU4</t>
  </si>
  <si>
    <t xml:space="preserve">Qidiruvdagi ma’lumot</t>
  </si>
  <si>
    <t xml:space="preserve">Muammo</t>
  </si>
  <si>
    <t xml:space="preserve">Qaror</t>
  </si>
  <si>
    <t xml:space="preserve">https://www.youtube.com/watch?v=bynlxFY8R_I</t>
  </si>
  <si>
    <t xml:space="preserve">Qidiruvda: “Unit 24: Patient Safety &amp; Bioeffects Sononerds Physics”</t>
  </si>
  <si>
    <t xml:space="preserve">Sahifa boshqa videoni berdi: “Ultrasound Reflection &amp; Refraction Explained” (Ultrasound for Beginners)</t>
  </si>
  <si>
    <t xml:space="preserve">Ziddiyat — qo‘lda tekshirish kerak</t>
  </si>
  <si>
    <t xml:space="preserve">https://www.youtube.com/watch?v=EwoohZ4dHZc</t>
  </si>
  <si>
    <t xml:space="preserve">Qidiruvda: “Ultrasound Physics with Sononerds Unit 15a”</t>
  </si>
  <si>
    <t xml:space="preserve">Sahifa “Unit 19: Doppler Physics” metadatasini berdi</t>
  </si>
  <si>
    <t xml:space="preserve">https://www.youtube.com/watch?v=BBvS4uwNF5U</t>
  </si>
  <si>
    <t xml:space="preserve">Qidiruvda: “Ultrasound Physics - Angle Correction for Doppler”</t>
  </si>
  <si>
    <t xml:space="preserve">Sahifa “Sononerds Unit 6b” metadatasini berdi</t>
  </si>
  <si>
    <t xml:space="preserve">https://www.youtube.com/watch?v=Fz2-LSMEov0</t>
  </si>
  <si>
    <t xml:space="preserve">Qidiruvda: “Disinfection of Ultrasound Devices”</t>
  </si>
  <si>
    <t xml:space="preserve">Sahifa “Proper POCUS Cleaning and Disinfection” (V-katalogda bor) ni berdi</t>
  </si>
  <si>
    <t xml:space="preserve">https://www.youtube.com/watch?v=xMHvz-43Fdk</t>
  </si>
  <si>
    <t xml:space="preserve">10 Ultrasound Artifacts That Can Improve Your Diagnosis! (VetImageLab, 2025-03-01)</t>
  </si>
  <si>
    <t xml:space="preserve">Veterinariya kanali</t>
  </si>
  <si>
    <t xml:space="preserve">Rad etildi — mavzuga mos emas</t>
  </si>
  <si>
    <t xml:space="preserve">https://www.youtube.com/watch?v=vRC-Mbj2gI0</t>
  </si>
  <si>
    <t xml:space="preserve">Ultrasound Physics Part 5 | ACOUSTIC IMPEDANCE (Sonographer Central, 2026-09-15)</t>
  </si>
  <si>
    <t xml:space="preserve">Yangi kanal, ishonchliligi noma’lum</t>
  </si>
  <si>
    <t xml:space="preserve">Zaxira</t>
  </si>
  <si>
    <t xml:space="preserve">https://www.youtube.com/watch?v=cMwLknD6ZMA</t>
  </si>
  <si>
    <t xml:space="preserve">Ultrasound Artifacts Explained (Circus of Physics, 2026-03-17)</t>
  </si>
  <si>
    <t xml:space="preserve">Umumiy fizika kanali, tibbiy ishonchliligi noma’lum</t>
  </si>
  <si>
    <t xml:space="preserve">https://www.youtube.com/watch?v=DNPx-XrdCuQ</t>
  </si>
  <si>
    <t xml:space="preserve">Ultrasound Training General Pediatric Protocols and the Abdomen</t>
  </si>
  <si>
    <t xml:space="preserve">oEmbed 401: yopiq yoki joylashtirish taqiqlangan</t>
  </si>
  <si>
    <t xml:space="preserve">Rad etildi</t>
  </si>
  <si>
    <t xml:space="preserve">https://www.youtube.com/watch?v=CVIUh9LKl78</t>
  </si>
  <si>
    <t xml:space="preserve">Introduction to ObGyn Ultrasound - Image Orientation</t>
  </si>
  <si>
    <t xml:space="preserve">oEmbed 403: yopiq</t>
  </si>
  <si>
    <t xml:space="preserve">https://www.youtube.com/watch?v=ahMemzGlSRQ</t>
  </si>
  <si>
    <t xml:space="preserve">Do’s and Don’ts of Ultrasound Ergonomics (BB Imaging)</t>
  </si>
  <si>
    <t xml:space="preserve">Serverda o‘ynamadi</t>
  </si>
  <si>
    <t xml:space="preserve">https://www.youtube.com/watch?v=iqi43TKHuVY</t>
  </si>
  <si>
    <t xml:space="preserve">A Brief Introduction to Ultrasound Measurement (Mobius Institute)</t>
  </si>
  <si>
    <t xml:space="preserve">Sanoat ultratovushi (tibbiy emas)</t>
  </si>
  <si>
    <t xml:space="preserve">https://www.youtube.com/watch?v=Ktj83BMnaoM</t>
  </si>
  <si>
    <t xml:space="preserve">Ultrasound Probe Orientation, Movements &amp; Planes Explained (eConceptual)</t>
  </si>
  <si>
    <t xml:space="preserve">upxTXulI7Vw bilan bir xil dars, boshqa kanalda</t>
  </si>
  <si>
    <t xml:space="preserve">Takroriy</t>
  </si>
  <si>
    <t xml:space="preserve">https://www.youtube.com/watch?v=u-gS07N-hV0</t>
  </si>
  <si>
    <t xml:space="preserve">Sonographer answers IMPORTANT ultrasound questions (lolgeselle)</t>
  </si>
  <si>
    <t xml:space="preserve">Umumiy savol-javob, mundarija mavzusiga aniq tegmaydi</t>
  </si>
  <si>
    <t xml:space="preserve">Server: “This video is not available” (oEmbed 401 yoki o‘ynamaydi)</t>
  </si>
  <si>
    <t xml:space="preserve">Ilovadan olib tashlandi</t>
  </si>
  <si>
    <t xml:space="preserve">https://www.youtube.com/watch?v=rXJlIqMys04</t>
  </si>
  <si>
    <t xml:space="preserve">Ultrasound of the Pancreas (GPT taklifi)</t>
  </si>
  <si>
    <t xml:space="preserve">https://www.youtube.com/watch?v=TQW8TUirVHA</t>
  </si>
  <si>
    <t xml:space="preserve">The New SRU Consensus of Routine Pelvis Ultrasound for Endometriosis</t>
  </si>
  <si>
    <t xml:space="preserve">https://www.youtube.com/watch?v=DcfhBvF1wYQ</t>
  </si>
  <si>
    <t xml:space="preserve">The ABCiDEa of how to diagnose endometriosis on pelvic ultrasound 2019</t>
  </si>
  <si>
    <t xml:space="preserve">16.7 da 3 ta dars yetarli</t>
  </si>
  <si>
    <t xml:space="preserve">https://www.youtube.com/watch?v=QL404TsHKvs</t>
  </si>
  <si>
    <t xml:space="preserve">Penile Doppler Explained: Normal Study vs Arterial Insufficiency and Venous Leak</t>
  </si>
  <si>
    <t xml:space="preserve">17.9 da 2 ta dars yetarli; kanal noma’lum</t>
  </si>
  <si>
    <t xml:space="preserve">https://www.youtube.com/watch?v=vw9xRBwzzxg</t>
  </si>
  <si>
    <t xml:space="preserve">Ultrasound Correct Crown Rump Length (CRL) measurement</t>
  </si>
  <si>
    <t xml:space="preserve">oEmbed 401</t>
  </si>
  <si>
    <t xml:space="preserve">https://www.youtube.com/watch?v=TaSSS4Fsi5o</t>
  </si>
  <si>
    <t xml:space="preserve">Ultrasound Training: Assessment of Fetal Growth and High-Risk Pregnancies</t>
  </si>
  <si>
    <t xml:space="preserve">https://www.youtube.com/watch?v=iEWhdk598aM</t>
  </si>
  <si>
    <t xml:space="preserve">Ultrasound of fetal anomalies of urinary tract</t>
  </si>
  <si>
    <t xml:space="preserve">https://www.youtube.com/watch?v=yii4FkVbrTc</t>
  </si>
  <si>
    <t xml:space="preserve">Twin Pregnancy Ultrasound: Lambda vs. T Sign Explained</t>
  </si>
  <si>
    <t xml:space="preserve">oEmbed 403</t>
  </si>
  <si>
    <t xml:space="preserve">https://www.youtube.com/watch?v=TfrPtbu7FX0</t>
  </si>
  <si>
    <t xml:space="preserve">Middle cerebral artery (MCA) peak systolic velocity Measurement</t>
  </si>
  <si>
    <t xml:space="preserve">oEmbed 404: o‘chirilgan</t>
  </si>
  <si>
    <t xml:space="preserve">https://www.youtube.com/watch?v=A1JQ63kvGPA</t>
  </si>
  <si>
    <t xml:space="preserve">Understanding the 3 Sacs Seen on 6-Week Pregnancy Ultrasound</t>
  </si>
  <si>
    <t xml:space="preserve">18.2 da 2 ta dars yetarli</t>
  </si>
  <si>
    <t xml:space="preserve">https://www.youtube.com/watch?v=ElIOxFQFICo</t>
  </si>
  <si>
    <t xml:space="preserve">Detailed anomaly scan (Pregnancy Calendar)</t>
  </si>
  <si>
    <t xml:space="preserve">Manba ishonchliligi past</t>
  </si>
  <si>
    <t xml:space="preserve">https://www.youtube.com/watch?v=dA2Jn5EAmTc</t>
  </si>
  <si>
    <t xml:space="preserve">BASICS OF 3D &amp; 4D ULTRASOUND ACQUISITION. (FDUC Benin TV)</t>
  </si>
  <si>
    <t xml:space="preserve">Manba ishonchliligi noma’lum</t>
  </si>
  <si>
    <t xml:space="preserve">https://www.youtube.com/watch?v=0oiJtKoJ6VY</t>
  </si>
  <si>
    <t xml:space="preserve">Breast Ultrasound - Structures &amp; Layers of the Breast</t>
  </si>
  <si>
    <t xml:space="preserve">https://www.youtube.com/watch?v=4UUsEKViZ4M</t>
  </si>
  <si>
    <t xml:space="preserve">Breast Ultrasound - Annotating an Image</t>
  </si>
  <si>
    <t xml:space="preserve">https://www.youtube.com/watch?v=3JlAdn1emEA</t>
  </si>
  <si>
    <t xml:space="preserve">Breast Ultrasound- Fibrocystic Changes</t>
  </si>
  <si>
    <t xml:space="preserve">https://www.youtube.com/watch?v=6SrUgCU0OCE</t>
  </si>
  <si>
    <t xml:space="preserve">Benign vs Malignant Characteristics of Breast Pathology on Ultrasound</t>
  </si>
  <si>
    <t xml:space="preserve">https://www.youtube.com/watch?v=ODVWAijqcS4</t>
  </si>
  <si>
    <t xml:space="preserve">Breast Ultrasound Mass Characterization (Shape, Margins &amp; Borders)</t>
  </si>
  <si>
    <t xml:space="preserve">https://www.youtube.com/watch?v=HdG8R0CRWlU</t>
  </si>
  <si>
    <t xml:space="preserve">Breast Ultrasound (Silicone Intracapsular vs Extracapsular Implant Rupture)</t>
  </si>
  <si>
    <t xml:space="preserve">https://www.youtube.com/watch?v=whSfFq9WPIM</t>
  </si>
  <si>
    <t xml:space="preserve">Male Breast Ultrasound</t>
  </si>
  <si>
    <t xml:space="preserve">https://www.youtube.com/watch?v=m7W79rixPZU</t>
  </si>
  <si>
    <t xml:space="preserve">Breast Ultrasound- Male Breast Pathology (Pseudo-Gynecomastia)</t>
  </si>
  <si>
    <t xml:space="preserve">https://www.youtube.com/watch?v=NXdmwnSjhx8</t>
  </si>
  <si>
    <t xml:space="preserve">Inflammatory conditions of the breast</t>
  </si>
  <si>
    <t xml:space="preserve">https://www.youtube.com/watch?v=UtgJ85-OdHM</t>
  </si>
  <si>
    <t xml:space="preserve">Ultrasound Evaluation of Regional Lymph Nodes.</t>
  </si>
  <si>
    <t xml:space="preserve">24.2 da 3 ta dars yetarli</t>
  </si>
  <si>
    <t xml:space="preserve">https://www.youtube.com/watch?v=poGrtzLVDLk</t>
  </si>
  <si>
    <t xml:space="preserve">Salivary Glands Ultrasound Normal Vs Abnormal Images</t>
  </si>
  <si>
    <t xml:space="preserve">24.1 da 3 ta dars yetarli</t>
  </si>
  <si>
    <t xml:space="preserve">https://www.youtube.com/watch?v=ox33IFd4X6A</t>
  </si>
  <si>
    <t xml:space="preserve">Spectral Doppler Ultrasound (All About Arteries)</t>
  </si>
  <si>
    <t xml:space="preserve">https://www.youtube.com/watch?v=f789zGhSHxg</t>
  </si>
  <si>
    <t xml:space="preserve">Spectral Doppler Ultrasound (All About Veins)</t>
  </si>
  <si>
    <t xml:space="preserve">https://www.youtube.com/watch?v=RBirmydmV5k</t>
  </si>
  <si>
    <t xml:space="preserve">Doppler Ultrasound (Arteries vs Veins)</t>
  </si>
  <si>
    <t xml:space="preserve">https://www.youtube.com/watch?v=I4lJJs_eUGg</t>
  </si>
  <si>
    <t xml:space="preserve">Sonographic evaluation of the liver transplant - Lecture</t>
  </si>
  <si>
    <t xml:space="preserve">https://www.youtube.com/watch?v=_CAkI846j7E</t>
  </si>
  <si>
    <t xml:space="preserve">Hot Tips - Finding the Vertebral Artery with Ultrasound (Gulfcoast)</t>
  </si>
  <si>
    <t xml:space="preserve">25.2 da yetarli</t>
  </si>
  <si>
    <t xml:space="preserve">https://www.youtube.com/watch?v=QaQNYFjvKxs</t>
  </si>
  <si>
    <t xml:space="preserve">POCUS: Differentiating the Aorta and IVC</t>
  </si>
  <si>
    <t xml:space="preserve">25.7 da 3 ta dars yetarli</t>
  </si>
  <si>
    <t xml:space="preserve">https://www.youtube.com/watch?v=yrPACgbEwBw</t>
  </si>
  <si>
    <t xml:space="preserve">Left Ventricular Chamber Size Quantification 2023 ASE Guidelines</t>
  </si>
  <si>
    <t xml:space="preserve">https://www.youtube.com/watch?v=seJHl9JH8XU</t>
  </si>
  <si>
    <t xml:space="preserve">Ultrasound of Hypertrophic Pyloric Stenosis</t>
  </si>
  <si>
    <t xml:space="preserve">https://www.youtube.com/watch?v=N_O3iehnN1Y</t>
  </si>
  <si>
    <t xml:space="preserve">RUSH Protocol (POCUS in shock an integrated approach)</t>
  </si>
  <si>
    <t xml:space="preserve">oEmbed 401: joylashtirish taqiqlangan</t>
  </si>
  <si>
    <t xml:space="preserve">https://www.youtube.com/watch?v=FHerMNhCR54</t>
  </si>
  <si>
    <t xml:space="preserve">How to: Lower Extremity Deep Vein Thrombosis with Ultrasound</t>
  </si>
  <si>
    <t xml:space="preserve">https://www.youtube.com/watch?v=gztrOtheKVI</t>
  </si>
  <si>
    <t xml:space="preserve">Reporting Ultrasound Shear Wave Elastography</t>
  </si>
  <si>
    <t xml:space="preserve">https://www.youtube.com/watch?v=017KIoyU-II</t>
  </si>
  <si>
    <t xml:space="preserve">AI and the Future of Ultrasound Imaging</t>
  </si>
  <si>
    <t xml:space="preserve">https://www.youtube.com/watch?v=clIVgP99ILw</t>
  </si>
  <si>
    <t xml:space="preserve">Handheld Ultrasound Transducer Comparisons - Vave Health vs Butterfly!</t>
  </si>
  <si>
    <t xml:space="preserve">https://www.youtube.com/watch?v=yJ2z3Ju0oow</t>
  </si>
  <si>
    <t xml:space="preserve">Ultrasound-Guided Thoracentesis</t>
  </si>
  <si>
    <t xml:space="preserve">https://www.youtube.com/watch?v=KxpoMn-qh7Q</t>
  </si>
  <si>
    <t xml:space="preserve">“Good to Know” in Ecografia : Elastografia Shear Wave</t>
  </si>
  <si>
    <t xml:space="preserve">Serverda o‘ynamadi (italyancha)</t>
  </si>
  <si>
    <t xml:space="preserve">https://www.youtube.com/watch?v=F6hdQJdWFkk</t>
  </si>
  <si>
    <t xml:space="preserve">Endoscopic Ultrasound (EUS) Procedure | Cincinnati Children’s</t>
  </si>
  <si>
    <t xml:space="preserve">https://www.youtube.com/watch?v=unkDQYOX_do</t>
  </si>
  <si>
    <t xml:space="preserve">Siemens Ultrasound Acuson Juniper and Shear-wave Elastography</t>
  </si>
  <si>
    <t xml:space="preserve">Apparat reklamasi, 30.7 ga mos emas</t>
  </si>
  <si>
    <t xml:space="preserve">https://www.youtube.com/watch?v=pm-kZJAlzfc</t>
  </si>
  <si>
    <t xml:space="preserve">A conversation about Shear Wave Elastography (SWE) Imaging | SonoVol</t>
  </si>
  <si>
    <t xml:space="preserve">Klinikadan oldingi (hayvon) tasvirlash</t>
  </si>
  <si>
    <t xml:space="preserve">https://www.youtube.com/watch?v=mQE4csiYaa8</t>
  </si>
  <si>
    <t xml:space="preserve">Introduction to clinical practice guidelines (2023 version)</t>
  </si>
  <si>
    <t xml:space="preserve">Kutubxona darsi; 33.7 uchun boshqalari yetarli</t>
  </si>
  <si>
    <t xml:space="preserve">https://www.youtube.com/watch?v=DYiDtQIFvtg</t>
  </si>
  <si>
    <t xml:space="preserve">Ultrasound of fetal skeletal anomalies</t>
  </si>
  <si>
    <t xml:space="preserve">https://www.youtube.com/watch?v=Z9gDTSXtzFc</t>
  </si>
  <si>
    <t xml:space="preserve">Pancreatic pseudocyst (Audiopedia)</t>
  </si>
  <si>
    <t xml:space="preserve">Avtomatik ovozli matn, UZI tasviri yo‘q</t>
  </si>
  <si>
    <t xml:space="preserve">https://www.youtube.com/watch?v=YRJ0TgCVajM</t>
  </si>
  <si>
    <t xml:space="preserve">Liver &amp; Spleen: Normal and Not</t>
  </si>
  <si>
    <t xml:space="preserve">Kattalar uchun; 27.10 (pediatrik me’yorlar) ga mos emas</t>
  </si>
  <si>
    <t xml:space="preserve">https://www.youtube.com/watch?v=lSCi-UPpBpE</t>
  </si>
  <si>
    <t xml:space="preserve">Intestinal Ultrasound: What to Expect</t>
  </si>
  <si>
    <t xml:space="preserve">Bemorlar uchun; 15.6 uchun boshqalari yetarli</t>
  </si>
  <si>
    <t xml:space="preserve">Kichik mavzular</t>
  </si>
  <si>
    <t xml:space="preserve">Video topilgan mavzular</t>
  </si>
  <si>
    <t xml:space="preserve">Video qamrovi</t>
  </si>
  <si>
    <t xml:space="preserve">Yetishmaydi</t>
  </si>
  <si>
    <t xml:space="preserve">Qisman</t>
  </si>
  <si>
    <t xml:space="preserve">Jami</t>
  </si>
  <si>
    <t xml:space="preserve">Loyiha holati (oldindan belgilangan mezonlar)</t>
  </si>
  <si>
    <t xml:space="preserve">Mezon</t>
  </si>
  <si>
    <t xml:space="preserve">Qanday hisoblanadi</t>
  </si>
  <si>
    <t xml:space="preserve">Natija</t>
  </si>
  <si>
    <t xml:space="preserve">Mundarija to‘liqligi</t>
  </si>
  <si>
    <t xml:space="preserve">Kodlangan kichik mavzular / berilgan mundarijadagi kichik mavzular (253)</t>
  </si>
  <si>
    <t xml:space="preserve">Video qamrovi (butun kurs)</t>
  </si>
  <si>
    <t xml:space="preserve">Kamida bitta videosi bor kichik mavzular / jami</t>
  </si>
  <si>
    <t xml:space="preserve">Video qamrovi (I bo‘lim)</t>
  </si>
  <si>
    <t xml:space="preserve">I bo‘limda kamida bitta videosi bor kichik mavzular / I bo‘lim mavzulari</t>
  </si>
  <si>
    <t xml:space="preserve">URL tekshiruvi</t>
  </si>
  <si>
    <t xml:space="preserve">Havolasi server (oEmbed) yoki sahifa orqali tasdiqlangan videolar / katalogdagi barcha videolar (ishlamaydiganlari ham maxrajda)</t>
  </si>
  <si>
    <t xml:space="preserve">Sifat auditi</t>
  </si>
  <si>
    <t xml:space="preserve">To‘liq ko‘rilib 6 mezon bo‘yicha baholangan videolar / katalogdagi videolar</t>
  </si>
  <si>
    <t xml:space="preserve">Mavjud material</t>
  </si>
  <si>
    <t xml:space="preserve">Qayerda</t>
  </si>
  <si>
    <t xml:space="preserve">Mazmuni</t>
  </si>
  <si>
    <t xml:space="preserve">SHOKALONdagi o‘rni</t>
  </si>
  <si>
    <t xml:space="preserve">SHOKALON — strategiya va birinchi reja</t>
  </si>
  <si>
    <t xml:space="preserve">Hujjat, 2026-10-11</t>
  </si>
  <si>
    <t xml:space="preserve">13 ta qorin bo‘shlig‘i videosi (jigar, CBD, elastografiya, pankreas, buyrak)</t>
  </si>
  <si>
    <t xml:space="preserve">Mavjud, saqlandi</t>
  </si>
  <si>
    <t xml:space="preserve">Katalogda V001–V013</t>
  </si>
  <si>
    <t xml:space="preserve">Oldingi mundarija (boshqa suhbatda)</t>
  </si>
  <si>
    <t xml:space="preserve">Bu sessiyada topilmadi</t>
  </si>
  <si>
    <t xml:space="preserve">Siz aytgan avvalgi mundarija</t>
  </si>
  <si>
    <t xml:space="preserve">Topilmadi</t>
  </si>
  <si>
    <t xml:space="preserve">Matnini yuborsangiz, 33 bobli mundarija bilan solishtiraman</t>
  </si>
  <si>
    <t xml:space="preserve">Telefondagi video papkalar</t>
  </si>
  <si>
    <t xml:space="preserve">Telefon, “Video” ilovasi (skrinshot, 2026-10-11)</t>
  </si>
  <si>
    <t xml:space="preserve">Doplerografiya 20, Exokardiografiya 32, Neyrosonografiya 19, Qalqonsimon bez 17, Qorin bo‘shlig‘i va ginekologiya 15, Sut bezi va limfa tugunlari 19, xomila 47, VIDEO 10, Movies 16</t>
  </si>
  <si>
    <t xml:space="preserve">Mavjud, lekin tekshirilmagan</t>
  </si>
  <si>
    <t xml:space="preserve">Fayl nomlari ko‘rinmaydi; ro‘yxatini yuborsangiz katalogga “mahalliy fayl” sifatida bog‘layman</t>
  </si>
  <si>
    <t xml:space="preserve">Jigar o‘choqlari ultratovush diagnostikasi qo‘llanmasi</t>
  </si>
  <si>
    <t xml:space="preserve">Hujjat, 2026-10-07</t>
  </si>
  <si>
    <t xml:space="preserve">Jigar fokal hosilalari</t>
  </si>
  <si>
    <t xml:space="preserve">3-bosqich (atlas): 03.10.05, 03.10.06, 03.10.09</t>
  </si>
  <si>
    <t xml:space="preserve">УЗД тести, Senior daraja УЗД саволлари</t>
  </si>
  <si>
    <t xml:space="preserve">Hujjatlar, 2026-10-06</t>
  </si>
  <si>
    <t xml:space="preserve">Test savollari (kirill)</t>
  </si>
  <si>
    <t xml:space="preserve">4-bosqich (testlar); mundarija kodlariga bog‘lash kerak</t>
  </si>
  <si>
    <t xml:space="preserve">Neonatal exokardiografiya — amaliy qo‘llanma</t>
  </si>
  <si>
    <t xml:space="preserve">Hujjat, 2026-09-27</t>
  </si>
  <si>
    <t xml:space="preserve">Chaqaloqlar exokardiografiyasi</t>
  </si>
  <si>
    <t xml:space="preserve">3-bosqich: 09.27.09, 08.26.12</t>
  </si>
  <si>
    <t xml:space="preserve">UZI lug‘ati (228 atama)</t>
  </si>
  <si>
    <t xml:space="preserve">Dual Replay repozitoriysi, assets/uzi_glossary.tsv</t>
  </si>
  <si>
    <t xml:space="preserve">Shifokor tekshirgan atamalar</t>
  </si>
  <si>
    <t xml:space="preserve">Mavjud va tekshirilgan</t>
  </si>
  <si>
    <t xml:space="preserve">7-bosqich (tarjima) uchun yagona atama standarti</t>
  </si>
  <si>
    <t xml:space="preserve">Dual Replay uz ilovasi</t>
  </si>
  <si>
    <t xml:space="preserve">GitHub: botanikjon-droid/dual-sub-replay, claude/uzi-glossary-speech (08d0668)</t>
  </si>
  <si>
    <t xml:space="preserve">Subtitr, tarjima, lug‘at, ovoz</t>
  </si>
  <si>
    <t xml:space="preserve">Mavjud</t>
  </si>
  <si>
    <t xml:space="preserve">9-bosqich: katalog JSON sifatida ilovaga kiradi</t>
  </si>
  <si>
    <t xml:space="preserve">Mundarija auditi</t>
  </si>
  <si>
    <t xml:space="preserve">Tur</t>
  </si>
  <si>
    <t xml:space="preserve">Kod(lar)</t>
  </si>
  <si>
    <t xml:space="preserve">Taklif</t>
  </si>
  <si>
    <t xml:space="preserve">Takror</t>
  </si>
  <si>
    <t xml:space="preserve">01.02.07 / 01.06.05</t>
  </si>
  <si>
    <t xml:space="preserve">Datchik gigiyenasi ikki joyda</t>
  </si>
  <si>
    <t xml:space="preserve">2.7 da qoldirish, 6.5 da havola</t>
  </si>
  <si>
    <t xml:space="preserve">03.15.01, 03.15.02 / 07.25.07</t>
  </si>
  <si>
    <t xml:space="preserve">Aorta va pastki kava vena ikki joyda</t>
  </si>
  <si>
    <t xml:space="preserve">15-bobda klinik qism, 25.7 da Doppler qismi; yoki 25.7 ni olib tashlash</t>
  </si>
  <si>
    <t xml:space="preserve">03.10.07 / 12.30.04, 12.30.06</t>
  </si>
  <si>
    <t xml:space="preserve">Jigar elastografiyasi ikki joyda</t>
  </si>
  <si>
    <t xml:space="preserve">10.7 — qisqa klinik ko‘rinish, 30-bob — texnika; havola bilan</t>
  </si>
  <si>
    <t xml:space="preserve">06.22.07 / 12.32.03</t>
  </si>
  <si>
    <t xml:space="preserve">Biopsiya ikki joyda</t>
  </si>
  <si>
    <t xml:space="preserve">22.7 ni “ko‘rsatmalar” bilan cheklash</t>
  </si>
  <si>
    <t xml:space="preserve">05.21.08 / 08.26.12 / 09.27.09</t>
  </si>
  <si>
    <t xml:space="preserve">Homila va bolalar yuragi uch joyda</t>
  </si>
  <si>
    <t xml:space="preserve">Har birining yoshi va maqsadini aniq ajratish</t>
  </si>
  <si>
    <t xml:space="preserve">04.16.08 / 05.18.06</t>
  </si>
  <si>
    <t xml:space="preserve">Ektopik homiladorlik ikki joyda</t>
  </si>
  <si>
    <t xml:space="preserve">16.8 — chanoq suyuqligi, 18.6 — asosiy mavzu</t>
  </si>
  <si>
    <t xml:space="preserve">Tartib</t>
  </si>
  <si>
    <t xml:space="preserve">Doppler aliasing Doppler asoslaridan (5-bob) oldin</t>
  </si>
  <si>
    <t xml:space="preserve">5-bob oxiriga ko‘chirish yoki 4.5 ni “Doppler artefaktlariga kirish” deb qoldirish</t>
  </si>
  <si>
    <t xml:space="preserve">Atama</t>
  </si>
  <si>
    <t xml:space="preserve">“Eksenel” rezolyutsiya</t>
  </si>
  <si>
    <t xml:space="preserve">“Aksial” rezolyutsiya</t>
  </si>
  <si>
    <t xml:space="preserve">Inglizcha “compound imaging, harmonic imaging”</t>
  </si>
  <si>
    <t xml:space="preserve">“kompaund va garmonik tasvirlash (compound, harmonic)”</t>
  </si>
  <si>
    <t xml:space="preserve">01.02.01 / 01.02.02</t>
  </si>
  <si>
    <t xml:space="preserve">“transduser” va “datchik” aralash</t>
  </si>
  <si>
    <t xml:space="preserve">Lug‘atdagidek “datchik” asosiy, “transduser” qavsda</t>
  </si>
  <si>
    <t xml:space="preserve">VIII bo‘lim</t>
  </si>
  <si>
    <t xml:space="preserve">“ECHOKARDIOGRAFIYA” va 26.13 da “EchoKG”</t>
  </si>
  <si>
    <t xml:space="preserve">Bir xil yozuv: “Exokardiografiya (EchoKG)”</t>
  </si>
  <si>
    <t xml:space="preserve">US LI-RADS yo‘q</t>
  </si>
  <si>
    <t xml:space="preserve">Jigar saratoni xavfi guruhida UZI skriningi qo‘shish</t>
  </si>
  <si>
    <t xml:space="preserve">ACR GB-RADS yo‘q</t>
  </si>
  <si>
    <t xml:space="preserve">O‘t pufagi devori qalinlashuvi tasnifi qo‘shish</t>
  </si>
  <si>
    <t xml:space="preserve">Yo‘ldosh akkretasi spektri yo‘q</t>
  </si>
  <si>
    <t xml:space="preserve">Qo‘shish</t>
  </si>
  <si>
    <t xml:space="preserve">Kengaytirish</t>
  </si>
  <si>
    <t xml:space="preserve">Neyrosonografiya bitta mavzu</t>
  </si>
  <si>
    <t xml:space="preserve">Alohida bob (normal anatomiya, IVH darajalari, PVL, gidrotsefaliya, Doppler)</t>
  </si>
  <si>
    <t xml:space="preserve">Loyihadan chetga chiqishlar va tuzatish (2026-10-17)</t>
  </si>
  <si>
    <t xml:space="preserve">Chetga chiqish</t>
  </si>
  <si>
    <t xml:space="preserve">Prompt talabi</t>
  </si>
  <si>
    <t xml:space="preserve">Nima qilindi</t>
  </si>
  <si>
    <t xml:space="preserve">Ikki alohida katalog: ilovada 135 dars (bo‘lim → mavzu), Excel’da 50 video (kod bilan); ilova darslarining kodi va Video ID’si yo‘q edi</t>
  </si>
  <si>
    <t xml:space="preserve">“Har bir videoga noyob ID va mundarija kodi”</t>
  </si>
  <si>
    <t xml:space="preserve">Ilovadagi barcha 135 dars yagona Katalogga kiritildi: Video ID, asosiy va qo‘shimcha kod; “Izoh” ustunida ilovadagi joyi</t>
  </si>
  <si>
    <t xml:space="preserve">Tuzatildi</t>
  </si>
  <si>
    <t xml:space="preserve">Ilovada 3 ta ishlamaydigan havola bor edi</t>
  </si>
  <si>
    <t xml:space="preserve">“Havolalar to‘g‘riligini tekshirish”</t>
  </si>
  <si>
    <t xml:space="preserve">Server tekshiruvi; 3 tasi almashtirildi; eski qatorlar “Ishlamaydi” deb saqlandi</t>
  </si>
  <si>
    <t xml:space="preserve">Bosqichlar aralashgan: katalog tugamasdan ilovada tarjima tugmasi, konspekt-PDF va test qilingan (7, 11-bosqichlar)</t>
  </si>
  <si>
    <t xml:space="preserve">“Bosqichlarni aralashtirma”</t>
  </si>
  <si>
    <t xml:space="preserve">Siz so‘ragan funksiyalar o‘chirilmadi. Katalog yakunlanmaguncha atlas, test va prezentatsiya bo‘yicha yangi ish boshlanmaydi</t>
  </si>
  <si>
    <t xml:space="preserve">To‘xtatildi</t>
  </si>
  <si>
    <t xml:space="preserve">Ilova bo‘limlari (asoslar + 11 tekshiruv turi) 33 bobli tuzilmadan farq qiladi</t>
  </si>
  <si>
    <t xml:space="preserve">Mundarija asosiy tuzilma</t>
  </si>
  <si>
    <t xml:space="preserve">Ilova qulay ko‘rinish sifatida qoladi; bog‘lanish Katalogdagi kodlar orqali. Ilovada kod ko‘rsatish — 9-bosqichda</t>
  </si>
  <si>
    <t xml:space="preserve">Rejalashtirildi</t>
  </si>
  <si>
    <t xml:space="preserve">Ilova katalogi v1 (82 dars) uchun daraja va 30 ballik baho yo‘q</t>
  </si>
  <si>
    <t xml:space="preserve">Daraja va baho</t>
  </si>
  <si>
    <t xml:space="preserve">Daraja “Belgilanmagan”; ballar faqat video ko‘rilgach qo‘yiladi</t>
  </si>
  <si>
    <t xml:space="preserve">Ochiq</t>
  </si>
  <si>
    <t xml:space="preserve">Ommaviy SRT tarjimasi boshlanmagan; ilovada faqat ko‘rish paytidagi jonli tarjima bor</t>
  </si>
  <si>
    <t xml:space="preserve">“Subtitrlar to‘liq yig‘ilmaguncha tarjimaga o‘tma”</t>
  </si>
  <si>
    <t xml:space="preserve">Mos — o‘zgarish shart emas</t>
  </si>
  <si>
    <t xml:space="preserve">Mos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</si>
</sst>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GgEFNTCF3hE" TargetMode="External"/><Relationship Id="rId2" Type="http://schemas.openxmlformats.org/officeDocument/2006/relationships/hyperlink" Target="https://www.youtube.com/watch?v=oUO9OtDKkIo" TargetMode="External"/><Relationship Id="rId3" Type="http://schemas.openxmlformats.org/officeDocument/2006/relationships/hyperlink" Target="https://www.youtube.com/watch?v=EHNIZ5YyVgw" TargetMode="External"/><Relationship Id="rId4" Type="http://schemas.openxmlformats.org/officeDocument/2006/relationships/hyperlink" Target="https://www.youtube.com/watch?v=oQkzUPrnVt8" TargetMode="External"/><Relationship Id="rId5" Type="http://schemas.openxmlformats.org/officeDocument/2006/relationships/hyperlink" Target="https://www.youtube.com/watch?v=mS5n2wNjuDs" TargetMode="External"/><Relationship Id="rId6" Type="http://schemas.openxmlformats.org/officeDocument/2006/relationships/hyperlink" Target="https://www.youtube.com/watch?v=yGlP6mraFsI" TargetMode="External"/><Relationship Id="rId7" Type="http://schemas.openxmlformats.org/officeDocument/2006/relationships/hyperlink" Target="https://www.youtube.com/watch?v=1RNmygm6Crs" TargetMode="External"/><Relationship Id="rId8" Type="http://schemas.openxmlformats.org/officeDocument/2006/relationships/hyperlink" Target="https://www.youtube.com/watch?v=G-LbrNbOd-Y" TargetMode="External"/><Relationship Id="rId9" Type="http://schemas.openxmlformats.org/officeDocument/2006/relationships/hyperlink" Target="https://www.youtube.com/watch?v=QiS7Xxya_2U" TargetMode="External"/><Relationship Id="rId10" Type="http://schemas.openxmlformats.org/officeDocument/2006/relationships/hyperlink" Target="https://www.youtube.com/watch?v=cnDPPfMtdEk" TargetMode="External"/><Relationship Id="rId11" Type="http://schemas.openxmlformats.org/officeDocument/2006/relationships/hyperlink" Target="https://www.youtube.com/watch?v=2SIZOqJiUt4" TargetMode="External"/><Relationship Id="rId12" Type="http://schemas.openxmlformats.org/officeDocument/2006/relationships/hyperlink" Target="https://www.youtube.com/watch?v=2lgt7C4Ijf4" TargetMode="External"/><Relationship Id="rId13" Type="http://schemas.openxmlformats.org/officeDocument/2006/relationships/hyperlink" Target="https://www.youtube.com/watch?v=tnXdSOkVJs4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x6hXhLNc-jU" TargetMode="External"/><Relationship Id="rId2" Type="http://schemas.openxmlformats.org/officeDocument/2006/relationships/hyperlink" Target="https://www.youtube.com/watch?v=JSUsM8aN1XU" TargetMode="External"/><Relationship Id="rId3" Type="http://schemas.openxmlformats.org/officeDocument/2006/relationships/hyperlink" Target="https://www.youtube.com/watch?v=GvvGZENUvWc" TargetMode="External"/><Relationship Id="rId4" Type="http://schemas.openxmlformats.org/officeDocument/2006/relationships/hyperlink" Target="https://www.youtube.com/watch?v=U50O8_fsemY" TargetMode="External"/><Relationship Id="rId5" Type="http://schemas.openxmlformats.org/officeDocument/2006/relationships/hyperlink" Target="https://www.youtube.com/watch?v=eoze_8nUjfA" TargetMode="External"/><Relationship Id="rId6" Type="http://schemas.openxmlformats.org/officeDocument/2006/relationships/hyperlink" Target="https://www.youtube.com/watch?v=3pIL7c-8UH8" TargetMode="External"/><Relationship Id="rId7" Type="http://schemas.openxmlformats.org/officeDocument/2006/relationships/hyperlink" Target="https://www.youtube.com/watch?v=luK0ElID9Hs" TargetMode="External"/><Relationship Id="rId8" Type="http://schemas.openxmlformats.org/officeDocument/2006/relationships/hyperlink" Target="https://www.youtube.com/watch?v=xLYBOf2da8s" TargetMode="External"/><Relationship Id="rId9" Type="http://schemas.openxmlformats.org/officeDocument/2006/relationships/hyperlink" Target="https://www.youtube.com/watch?v=SS-ATlJ9OCk" TargetMode="External"/><Relationship Id="rId10" Type="http://schemas.openxmlformats.org/officeDocument/2006/relationships/hyperlink" Target="https://www.youtube.com/watch?v=yK_ETT0yZ5Q" TargetMode="External"/><Relationship Id="rId11" Type="http://schemas.openxmlformats.org/officeDocument/2006/relationships/hyperlink" Target="https://www.youtube.com/watch?v=8JjIbqp5kVI" TargetMode="External"/><Relationship Id="rId12" Type="http://schemas.openxmlformats.org/officeDocument/2006/relationships/hyperlink" Target="https://www.youtube.com/watch?v=LsK7ykAjHog" TargetMode="External"/><Relationship Id="rId13" Type="http://schemas.openxmlformats.org/officeDocument/2006/relationships/hyperlink" Target="https://www.youtube.com/watch?v=eSekFP_KIQk" TargetMode="External"/><Relationship Id="rId14" Type="http://schemas.openxmlformats.org/officeDocument/2006/relationships/hyperlink" Target="https://www.youtube.com/watch?v=c6PQzbzJgUg" TargetMode="External"/><Relationship Id="rId15" Type="http://schemas.openxmlformats.org/officeDocument/2006/relationships/hyperlink" Target="https://www.youtube.com/watch?v=UFU9zVAa6WM" TargetMode="External"/><Relationship Id="rId16" Type="http://schemas.openxmlformats.org/officeDocument/2006/relationships/hyperlink" Target="https://www.youtube.com/watch?v=jv748J0XB-0" TargetMode="External"/><Relationship Id="rId17" Type="http://schemas.openxmlformats.org/officeDocument/2006/relationships/hyperlink" Target="https://www.youtube.com/watch?v=htzA4DUZz_s" TargetMode="External"/><Relationship Id="rId18" Type="http://schemas.openxmlformats.org/officeDocument/2006/relationships/hyperlink" Target="https://www.youtube.com/watch?v=-zXuz0mqe_Q" TargetMode="External"/><Relationship Id="rId19" Type="http://schemas.openxmlformats.org/officeDocument/2006/relationships/hyperlink" Target="https://www.youtube.com/watch?v=Q1YPZ-04dag" TargetMode="External"/><Relationship Id="rId20" Type="http://schemas.openxmlformats.org/officeDocument/2006/relationships/hyperlink" Target="https://www.youtube.com/watch?v=77LZeskg4Eg" TargetMode="External"/><Relationship Id="rId21" Type="http://schemas.openxmlformats.org/officeDocument/2006/relationships/hyperlink" Target="https://www.youtube.com/watch?v=TSHVXMbS2jM" TargetMode="External"/><Relationship Id="rId22" Type="http://schemas.openxmlformats.org/officeDocument/2006/relationships/hyperlink" Target="https://www.youtube.com/watch?v=HC_tHnNZJ-Q" TargetMode="External"/><Relationship Id="rId23" Type="http://schemas.openxmlformats.org/officeDocument/2006/relationships/hyperlink" Target="https://www.youtube.com/watch?v=QzZEKS1x0l8" TargetMode="External"/><Relationship Id="rId24" Type="http://schemas.openxmlformats.org/officeDocument/2006/relationships/hyperlink" Target="https://www.youtube.com/watch?v=C0OFM297MlU" TargetMode="External"/><Relationship Id="rId25" Type="http://schemas.openxmlformats.org/officeDocument/2006/relationships/hyperlink" Target="https://www.youtube.com/watch?v=iLVeRa95WQc" TargetMode="External"/><Relationship Id="rId26" Type="http://schemas.openxmlformats.org/officeDocument/2006/relationships/hyperlink" Target="https://www.youtube.com/watch?v=0rmwXyPXwhs" TargetMode="External"/><Relationship Id="rId27" Type="http://schemas.openxmlformats.org/officeDocument/2006/relationships/hyperlink" Target="https://www.youtube.com/watch?v=EvZSiMTiePI" TargetMode="External"/><Relationship Id="rId28" Type="http://schemas.openxmlformats.org/officeDocument/2006/relationships/hyperlink" Target="https://www.youtube.com/watch?v=UYtaDkhVrmQ" TargetMode="External"/><Relationship Id="rId29" Type="http://schemas.openxmlformats.org/officeDocument/2006/relationships/hyperlink" Target="https://www.youtube.com/watch?v=_8R-IiuLM0k" TargetMode="External"/><Relationship Id="rId30" Type="http://schemas.openxmlformats.org/officeDocument/2006/relationships/hyperlink" Target="https://www.youtube.com/watch?v=8nS4NYD_LnU" TargetMode="External"/><Relationship Id="rId31" Type="http://schemas.openxmlformats.org/officeDocument/2006/relationships/hyperlink" Target="https://www.youtube.com/watch?v=mKomnw4PEwE" TargetMode="External"/><Relationship Id="rId32" Type="http://schemas.openxmlformats.org/officeDocument/2006/relationships/hyperlink" Target="https://www.youtube.com/watch?v=z6n7C_4rHhk" TargetMode="External"/><Relationship Id="rId33" Type="http://schemas.openxmlformats.org/officeDocument/2006/relationships/hyperlink" Target="https://www.youtube.com/watch?v=hMPA6hVPh0A" TargetMode="External"/><Relationship Id="rId34" Type="http://schemas.openxmlformats.org/officeDocument/2006/relationships/hyperlink" Target="https://www.youtube.com/watch?v=x8suZz5FeuM" TargetMode="External"/><Relationship Id="rId35" Type="http://schemas.openxmlformats.org/officeDocument/2006/relationships/hyperlink" Target="https://www.youtube.com/watch?v=AvbdjCMA8OU" TargetMode="External"/><Relationship Id="rId36" Type="http://schemas.openxmlformats.org/officeDocument/2006/relationships/hyperlink" Target="https://www.youtube.com/watch?v=imM2qJY_bEI" TargetMode="External"/><Relationship Id="rId37" Type="http://schemas.openxmlformats.org/officeDocument/2006/relationships/hyperlink" Target="https://www.youtube.com/watch?v=48m-hcI8i1g" TargetMode="External"/><Relationship Id="rId38" Type="http://schemas.openxmlformats.org/officeDocument/2006/relationships/hyperlink" Target="https://www.youtube.com/watch?v=0U2Pcu2SjeM" TargetMode="External"/><Relationship Id="rId39" Type="http://schemas.openxmlformats.org/officeDocument/2006/relationships/hyperlink" Target="https://www.youtube.com/watch?v=SN6_YKVl-U0" TargetMode="External"/><Relationship Id="rId40" Type="http://schemas.openxmlformats.org/officeDocument/2006/relationships/hyperlink" Target="https://www.youtube.com/watch?v=SyYkOglVVLo" TargetMode="External"/><Relationship Id="rId41" Type="http://schemas.openxmlformats.org/officeDocument/2006/relationships/hyperlink" Target="https://www.youtube.com/watch?v=NjcYR_tO1iw" TargetMode="External"/><Relationship Id="rId42" Type="http://schemas.openxmlformats.org/officeDocument/2006/relationships/hyperlink" Target="https://www.youtube.com/watch?v=Xq7VJ864GIg" TargetMode="External"/><Relationship Id="rId43" Type="http://schemas.openxmlformats.org/officeDocument/2006/relationships/hyperlink" Target="https://www.youtube.com/watch?v=R2yTdxP-j8I" TargetMode="External"/><Relationship Id="rId44" Type="http://schemas.openxmlformats.org/officeDocument/2006/relationships/hyperlink" Target="https://www.youtube.com/watch?v=NrWKEJD-_RA" TargetMode="External"/><Relationship Id="rId45" Type="http://schemas.openxmlformats.org/officeDocument/2006/relationships/hyperlink" Target="https://www.youtube.com/watch?v=dIvPZ6Mhraw" TargetMode="External"/><Relationship Id="rId46" Type="http://schemas.openxmlformats.org/officeDocument/2006/relationships/hyperlink" Target="https://www.youtube.com/watch?v=LeI3ns30mvg" TargetMode="External"/><Relationship Id="rId47" Type="http://schemas.openxmlformats.org/officeDocument/2006/relationships/hyperlink" Target="https://www.youtube.com/watch?v=U6swOcsO6c0" TargetMode="External"/><Relationship Id="rId48" Type="http://schemas.openxmlformats.org/officeDocument/2006/relationships/hyperlink" Target="https://www.youtube.com/watch?v=wHdEZaY4M2g" TargetMode="External"/><Relationship Id="rId49" Type="http://schemas.openxmlformats.org/officeDocument/2006/relationships/hyperlink" Target="https://www.youtube.com/watch?v=3cWIePSocMA" TargetMode="External"/><Relationship Id="rId50" Type="http://schemas.openxmlformats.org/officeDocument/2006/relationships/hyperlink" Target="https://www.youtube.com/watch?v=XdSrvyKCpfw" TargetMode="External"/><Relationship Id="rId51" Type="http://schemas.openxmlformats.org/officeDocument/2006/relationships/hyperlink" Target="https://www.youtube.com/watch?v=12AEms8K5oY" TargetMode="External"/><Relationship Id="rId52" Type="http://schemas.openxmlformats.org/officeDocument/2006/relationships/hyperlink" Target="https://www.youtube.com/watch?v=BEkT3_979fw" TargetMode="External"/><Relationship Id="rId53" Type="http://schemas.openxmlformats.org/officeDocument/2006/relationships/hyperlink" Target="https://www.youtube.com/watch?v=y8VPgK-tToA" TargetMode="External"/><Relationship Id="rId54" Type="http://schemas.openxmlformats.org/officeDocument/2006/relationships/hyperlink" Target="https://www.youtube.com/watch?v=HnG1GieOkUk" TargetMode="External"/><Relationship Id="rId55" Type="http://schemas.openxmlformats.org/officeDocument/2006/relationships/hyperlink" Target="https://www.youtube.com/watch?v=XJ_4bkD8bbg" TargetMode="External"/><Relationship Id="rId56" Type="http://schemas.openxmlformats.org/officeDocument/2006/relationships/hyperlink" Target="https://www.youtube.com/watch?v=aQRtyG32s1o" TargetMode="External"/><Relationship Id="rId57" Type="http://schemas.openxmlformats.org/officeDocument/2006/relationships/hyperlink" Target="https://www.youtube.com/watch?v=J5gRFeZ7cZU" TargetMode="External"/><Relationship Id="rId58" Type="http://schemas.openxmlformats.org/officeDocument/2006/relationships/hyperlink" Target="https://www.youtube.com/watch?v=8pETh6qhIdM" TargetMode="External"/><Relationship Id="rId59" Type="http://schemas.openxmlformats.org/officeDocument/2006/relationships/hyperlink" Target="https://www.youtube.com/watch?v=A9jHe08T4VE" TargetMode="External"/><Relationship Id="rId60" Type="http://schemas.openxmlformats.org/officeDocument/2006/relationships/hyperlink" Target="https://www.youtube.com/watch?v=enp-lIVqyBQ" TargetMode="External"/><Relationship Id="rId61" Type="http://schemas.openxmlformats.org/officeDocument/2006/relationships/hyperlink" Target="https://www.youtube.com/watch?v=374A77l6es0" TargetMode="External"/><Relationship Id="rId62" Type="http://schemas.openxmlformats.org/officeDocument/2006/relationships/hyperlink" Target="https://www.youtube.com/watch?v=IsJeMgxTFMU" TargetMode="External"/><Relationship Id="rId63" Type="http://schemas.openxmlformats.org/officeDocument/2006/relationships/hyperlink" Target="https://www.youtube.com/watch?v=e-DBRFgQPYw" TargetMode="External"/><Relationship Id="rId64" Type="http://schemas.openxmlformats.org/officeDocument/2006/relationships/hyperlink" Target="https://www.youtube.com/watch?v=CZpeA_lJ6rE" TargetMode="External"/><Relationship Id="rId65" Type="http://schemas.openxmlformats.org/officeDocument/2006/relationships/hyperlink" Target="https://www.youtube.com/watch?v=4JTq2gyW5Nw" TargetMode="External"/><Relationship Id="rId66" Type="http://schemas.openxmlformats.org/officeDocument/2006/relationships/hyperlink" Target="https://www.youtube.com/watch?v=FpiqQs0gwgI" TargetMode="External"/><Relationship Id="rId67" Type="http://schemas.openxmlformats.org/officeDocument/2006/relationships/hyperlink" Target="https://www.youtube.com/watch?v=GcS3jKyR5sg" TargetMode="External"/><Relationship Id="rId68" Type="http://schemas.openxmlformats.org/officeDocument/2006/relationships/hyperlink" Target="https://www.youtube.com/watch?v=sD-aFMQxT08" TargetMode="External"/><Relationship Id="rId69" Type="http://schemas.openxmlformats.org/officeDocument/2006/relationships/hyperlink" Target="https://www.youtube.com/watch?v=JoQtlTNrGZA" TargetMode="External"/><Relationship Id="rId70" Type="http://schemas.openxmlformats.org/officeDocument/2006/relationships/hyperlink" Target="https://www.youtube.com/watch?v=veQhbLyqLyU" TargetMode="External"/><Relationship Id="rId71" Type="http://schemas.openxmlformats.org/officeDocument/2006/relationships/hyperlink" Target="https://www.youtube.com/watch?v=qdlb0bl2eOI" TargetMode="External"/><Relationship Id="rId72" Type="http://schemas.openxmlformats.org/officeDocument/2006/relationships/hyperlink" Target="https://www.youtube.com/watch?v=vSba7T95CXQ" TargetMode="External"/><Relationship Id="rId73" Type="http://schemas.openxmlformats.org/officeDocument/2006/relationships/hyperlink" Target="https://www.youtube.com/watch?v=ji2I3Pv1R0g" TargetMode="External"/><Relationship Id="rId74" Type="http://schemas.openxmlformats.org/officeDocument/2006/relationships/hyperlink" Target="https://www.youtube.com/watch?v=YC3-xfRxwYU" TargetMode="External"/><Relationship Id="rId75" Type="http://schemas.openxmlformats.org/officeDocument/2006/relationships/hyperlink" Target="https://www.youtube.com/watch?v=R6rX5Qclgl8" TargetMode="External"/><Relationship Id="rId76" Type="http://schemas.openxmlformats.org/officeDocument/2006/relationships/hyperlink" Target="https://www.youtube.com/watch?v=gcGHNdrgYW8" TargetMode="External"/><Relationship Id="rId77" Type="http://schemas.openxmlformats.org/officeDocument/2006/relationships/hyperlink" Target="https://www.youtube.com/watch?v=sxLmYjilCxM" TargetMode="External"/><Relationship Id="rId78" Type="http://schemas.openxmlformats.org/officeDocument/2006/relationships/hyperlink" Target="https://www.youtube.com/watch?v=ULezXrne5n4" TargetMode="External"/><Relationship Id="rId79" Type="http://schemas.openxmlformats.org/officeDocument/2006/relationships/hyperlink" Target="https://www.youtube.com/watch?v=nPoCYs7uKC0" TargetMode="External"/><Relationship Id="rId80" Type="http://schemas.openxmlformats.org/officeDocument/2006/relationships/hyperlink" Target="https://www.youtube.com/watch?v=LEd7IzICClE" TargetMode="External"/><Relationship Id="rId81" Type="http://schemas.openxmlformats.org/officeDocument/2006/relationships/hyperlink" Target="https://www.youtube.com/watch?v=nhVo53WChSA" TargetMode="External"/><Relationship Id="rId82" Type="http://schemas.openxmlformats.org/officeDocument/2006/relationships/hyperlink" Target="https://www.youtube.com/watch?v=FbXwoxwS1Dw" TargetMode="External"/><Relationship Id="rId83" Type="http://schemas.openxmlformats.org/officeDocument/2006/relationships/hyperlink" Target="https://www.youtube.com/watch?v=IQ5pUWIu6mI" TargetMode="External"/><Relationship Id="rId84" Type="http://schemas.openxmlformats.org/officeDocument/2006/relationships/hyperlink" Target="https://www.youtube.com/watch?v=c6A81JiJMSE" TargetMode="External"/><Relationship Id="rId85" Type="http://schemas.openxmlformats.org/officeDocument/2006/relationships/hyperlink" Target="https://www.youtube.com/watch?v=vpmcgZ7lGFs" TargetMode="External"/><Relationship Id="rId86" Type="http://schemas.openxmlformats.org/officeDocument/2006/relationships/hyperlink" Target="https://www.youtube.com/watch?v=uyaaVrrBj0I" TargetMode="External"/><Relationship Id="rId87" Type="http://schemas.openxmlformats.org/officeDocument/2006/relationships/hyperlink" Target="https://www.youtube.com/watch?v=zG8ZZHEMLGA" TargetMode="External"/><Relationship Id="rId88" Type="http://schemas.openxmlformats.org/officeDocument/2006/relationships/hyperlink" Target="https://www.youtube.com/watch?v=0QdwB2Jr4_o" TargetMode="External"/><Relationship Id="rId89" Type="http://schemas.openxmlformats.org/officeDocument/2006/relationships/hyperlink" Target="https://www.youtube.com/watch?v=im0gKSxURbg" TargetMode="External"/><Relationship Id="rId90" Type="http://schemas.openxmlformats.org/officeDocument/2006/relationships/hyperlink" Target="https://www.youtube.com/watch?v=6IV2OcpLUz4" TargetMode="External"/><Relationship Id="rId91" Type="http://schemas.openxmlformats.org/officeDocument/2006/relationships/hyperlink" Target="https://www.youtube.com/watch?v=JJFx_Se8kvc" TargetMode="External"/><Relationship Id="rId92" Type="http://schemas.openxmlformats.org/officeDocument/2006/relationships/hyperlink" Target="https://www.youtube.com/watch?v=fPPNqhd9DRk" TargetMode="External"/><Relationship Id="rId93" Type="http://schemas.openxmlformats.org/officeDocument/2006/relationships/hyperlink" Target="https://www.youtube.com/watch?v=_xXJgRVC0pU" TargetMode="External"/><Relationship Id="rId94" Type="http://schemas.openxmlformats.org/officeDocument/2006/relationships/hyperlink" Target="https://www.youtube.com/watch?v=7qIoGhlrbVc" TargetMode="External"/><Relationship Id="rId95" Type="http://schemas.openxmlformats.org/officeDocument/2006/relationships/hyperlink" Target="https://www.youtube.com/watch?v=xrHiJtoggUI" TargetMode="External"/><Relationship Id="rId96" Type="http://schemas.openxmlformats.org/officeDocument/2006/relationships/hyperlink" Target="https://www.youtube.com/watch?v=l8heXKDGcOA" TargetMode="External"/><Relationship Id="rId97" Type="http://schemas.openxmlformats.org/officeDocument/2006/relationships/hyperlink" Target="https://www.youtube.com/watch?v=hW9FYG60OUY" TargetMode="External"/><Relationship Id="rId98" Type="http://schemas.openxmlformats.org/officeDocument/2006/relationships/hyperlink" Target="https://www.youtube.com/watch?v=LQGIWOlGW0E" TargetMode="External"/><Relationship Id="rId99" Type="http://schemas.openxmlformats.org/officeDocument/2006/relationships/hyperlink" Target="https://www.youtube.com/watch?v=qAyRTluQxU8" TargetMode="External"/><Relationship Id="rId100" Type="http://schemas.openxmlformats.org/officeDocument/2006/relationships/hyperlink" Target="https://www.youtube.com/watch?v=yGg7Ci88HrQ" TargetMode="External"/><Relationship Id="rId101" Type="http://schemas.openxmlformats.org/officeDocument/2006/relationships/hyperlink" Target="https://www.youtube.com/watch?v=bwuUR_Z8kb4" TargetMode="External"/><Relationship Id="rId102" Type="http://schemas.openxmlformats.org/officeDocument/2006/relationships/hyperlink" Target="https://www.youtube.com/watch?v=sA8Sje-Amu0" TargetMode="External"/><Relationship Id="rId103" Type="http://schemas.openxmlformats.org/officeDocument/2006/relationships/hyperlink" Target="https://www.youtube.com/watch?v=22qAYGU1Y0o" TargetMode="External"/><Relationship Id="rId104" Type="http://schemas.openxmlformats.org/officeDocument/2006/relationships/hyperlink" Target="https://www.youtube.com/watch?v=Q7KWVNuxHDU" TargetMode="External"/><Relationship Id="rId105" Type="http://schemas.openxmlformats.org/officeDocument/2006/relationships/hyperlink" Target="https://www.youtube.com/watch?v=L8nAxK3fSpU" TargetMode="External"/><Relationship Id="rId106" Type="http://schemas.openxmlformats.org/officeDocument/2006/relationships/hyperlink" Target="https://www.youtube.com/watch?v=CENa72T47j0" TargetMode="External"/><Relationship Id="rId107" Type="http://schemas.openxmlformats.org/officeDocument/2006/relationships/hyperlink" Target="https://www.youtube.com/watch?v=g2_xvYaH7QI" TargetMode="External"/><Relationship Id="rId108" Type="http://schemas.openxmlformats.org/officeDocument/2006/relationships/hyperlink" Target="https://www.youtube.com/watch?v=Ooy4tdaxGg0" TargetMode="External"/><Relationship Id="rId109" Type="http://schemas.openxmlformats.org/officeDocument/2006/relationships/hyperlink" Target="https://www.youtube.com/watch?v=BA4K6lfcdAM" TargetMode="External"/><Relationship Id="rId110" Type="http://schemas.openxmlformats.org/officeDocument/2006/relationships/hyperlink" Target="https://www.youtube.com/watch?v=3_7pAMUD588" TargetMode="External"/><Relationship Id="rId111" Type="http://schemas.openxmlformats.org/officeDocument/2006/relationships/hyperlink" Target="https://www.youtube.com/watch?v=K3JX3u59UhY" TargetMode="External"/><Relationship Id="rId112" Type="http://schemas.openxmlformats.org/officeDocument/2006/relationships/hyperlink" Target="https://www.youtube.com/watch?v=yJs1OxjtPu8" TargetMode="External"/><Relationship Id="rId113" Type="http://schemas.openxmlformats.org/officeDocument/2006/relationships/hyperlink" Target="https://www.youtube.com/watch?v=YCnH12uhPDU" TargetMode="External"/><Relationship Id="rId114" Type="http://schemas.openxmlformats.org/officeDocument/2006/relationships/hyperlink" Target="https://www.youtube.com/watch?v=AltM6ycwADA" TargetMode="External"/><Relationship Id="rId115" Type="http://schemas.openxmlformats.org/officeDocument/2006/relationships/hyperlink" Target="https://www.youtube.com/watch?v=KKwAIzhnpCA" TargetMode="External"/><Relationship Id="rId116" Type="http://schemas.openxmlformats.org/officeDocument/2006/relationships/hyperlink" Target="https://www.youtube.com/watch?v=XTi_JtdnMJM" TargetMode="External"/><Relationship Id="rId117" Type="http://schemas.openxmlformats.org/officeDocument/2006/relationships/hyperlink" Target="https://www.youtube.com/watch?v=MBXIHbNMIH4" TargetMode="External"/><Relationship Id="rId118" Type="http://schemas.openxmlformats.org/officeDocument/2006/relationships/hyperlink" Target="https://www.youtube.com/watch?v=s729yinUGbY" TargetMode="External"/><Relationship Id="rId119" Type="http://schemas.openxmlformats.org/officeDocument/2006/relationships/hyperlink" Target="https://www.youtube.com/watch?v=kK-KIbFOzQw" TargetMode="External"/><Relationship Id="rId120" Type="http://schemas.openxmlformats.org/officeDocument/2006/relationships/hyperlink" Target="https://www.youtube.com/watch?v=BWQaxujCQOs" TargetMode="External"/><Relationship Id="rId121" Type="http://schemas.openxmlformats.org/officeDocument/2006/relationships/hyperlink" Target="https://www.youtube.com/watch?v=UN4SN43I_6A" TargetMode="External"/><Relationship Id="rId122" Type="http://schemas.openxmlformats.org/officeDocument/2006/relationships/hyperlink" Target="https://www.youtube.com/watch?v=-i6o2uF0r8s" TargetMode="External"/><Relationship Id="rId123" Type="http://schemas.openxmlformats.org/officeDocument/2006/relationships/hyperlink" Target="https://www.youtube.com/watch?v=asGR_FOFljA" TargetMode="External"/><Relationship Id="rId124" Type="http://schemas.openxmlformats.org/officeDocument/2006/relationships/hyperlink" Target="https://www.youtube.com/watch?v=KD67TdZK70Q" TargetMode="External"/><Relationship Id="rId125" Type="http://schemas.openxmlformats.org/officeDocument/2006/relationships/hyperlink" Target="https://www.youtube.com/watch?v=mOrHMGMVSh4" TargetMode="External"/><Relationship Id="rId126" Type="http://schemas.openxmlformats.org/officeDocument/2006/relationships/hyperlink" Target="https://www.youtube.com/watch?v=WP1xj15MjnM" TargetMode="External"/><Relationship Id="rId127" Type="http://schemas.openxmlformats.org/officeDocument/2006/relationships/hyperlink" Target="https://www.youtube.com/watch?v=dLuWKMY8cV8" TargetMode="External"/><Relationship Id="rId128" Type="http://schemas.openxmlformats.org/officeDocument/2006/relationships/hyperlink" Target="https://www.youtube.com/watch?v=M-X7PIuxHS0" TargetMode="External"/><Relationship Id="rId129" Type="http://schemas.openxmlformats.org/officeDocument/2006/relationships/hyperlink" Target="https://www.youtube.com/watch?v=b3NaWMh6tgQ" TargetMode="External"/><Relationship Id="rId130" Type="http://schemas.openxmlformats.org/officeDocument/2006/relationships/hyperlink" Target="https://www.youtube.com/watch?v=sWR9a3tBZVY" TargetMode="External"/><Relationship Id="rId131" Type="http://schemas.openxmlformats.org/officeDocument/2006/relationships/hyperlink" Target="https://www.youtube.com/watch?v=1pkokOa9arg" TargetMode="External"/><Relationship Id="rId132" Type="http://schemas.openxmlformats.org/officeDocument/2006/relationships/hyperlink" Target="https://www.youtube.com/watch?v=BwSJCkTBN0c" TargetMode="External"/><Relationship Id="rId133" Type="http://schemas.openxmlformats.org/officeDocument/2006/relationships/hyperlink" Target="https://www.youtube.com/watch?v=TCpKWtJ9g9A" TargetMode="External"/><Relationship Id="rId134" Type="http://schemas.openxmlformats.org/officeDocument/2006/relationships/hyperlink" Target="https://www.youtube.com/watch?v=BkBcQBgUdWw" TargetMode="External"/><Relationship Id="rId135" Type="http://schemas.openxmlformats.org/officeDocument/2006/relationships/hyperlink" Target="https://www.youtube.com/watch?v=_rakGya8Y3E" TargetMode="External"/><Relationship Id="rId136" Type="http://schemas.openxmlformats.org/officeDocument/2006/relationships/hyperlink" Target="https://www.youtube.com/watch?v=DY_RDyZBSL4" TargetMode="External"/><Relationship Id="rId137" Type="http://schemas.openxmlformats.org/officeDocument/2006/relationships/hyperlink" Target="https://www.youtube.com/watch?v=D91jcPrxIJw" TargetMode="External"/><Relationship Id="rId138" Type="http://schemas.openxmlformats.org/officeDocument/2006/relationships/hyperlink" Target="https://www.youtube.com/watch?v=7KNgLUA587w" TargetMode="External"/><Relationship Id="rId139" Type="http://schemas.openxmlformats.org/officeDocument/2006/relationships/hyperlink" Target="https://www.youtube.com/watch?v=eanifUMkxHo" TargetMode="External"/><Relationship Id="rId140" Type="http://schemas.openxmlformats.org/officeDocument/2006/relationships/hyperlink" Target="https://www.youtube.com/watch?v=2B1KRrid-b4" TargetMode="External"/><Relationship Id="rId141" Type="http://schemas.openxmlformats.org/officeDocument/2006/relationships/hyperlink" Target="https://www.youtube.com/watch?v=SCnuJpgJaxc" TargetMode="External"/><Relationship Id="rId142" Type="http://schemas.openxmlformats.org/officeDocument/2006/relationships/hyperlink" Target="https://www.youtube.com/watch?v=7F86WvNvU3U" TargetMode="External"/><Relationship Id="rId143" Type="http://schemas.openxmlformats.org/officeDocument/2006/relationships/hyperlink" Target="https://www.youtube.com/watch?v=F3s_Jh29H5w" TargetMode="External"/><Relationship Id="rId144" Type="http://schemas.openxmlformats.org/officeDocument/2006/relationships/hyperlink" Target="https://www.youtube.com/watch?v=03aBMNSCuzA" TargetMode="External"/><Relationship Id="rId145" Type="http://schemas.openxmlformats.org/officeDocument/2006/relationships/hyperlink" Target="https://www.youtube.com/watch?v=GhkNXh0m5Nk" TargetMode="External"/><Relationship Id="rId146" Type="http://schemas.openxmlformats.org/officeDocument/2006/relationships/hyperlink" Target="https://www.youtube.com/watch?v=2vT6TudpdLs" TargetMode="External"/><Relationship Id="rId147" Type="http://schemas.openxmlformats.org/officeDocument/2006/relationships/hyperlink" Target="https://www.youtube.com/watch?v=r5WvUEPhCfo" TargetMode="External"/><Relationship Id="rId148" Type="http://schemas.openxmlformats.org/officeDocument/2006/relationships/hyperlink" Target="https://www.youtube.com/watch?v=upxTXulI7Vw" TargetMode="External"/><Relationship Id="rId149" Type="http://schemas.openxmlformats.org/officeDocument/2006/relationships/hyperlink" Target="https://www.youtube.com/watch?v=AxuGkz78pBA" TargetMode="External"/><Relationship Id="rId150" Type="http://schemas.openxmlformats.org/officeDocument/2006/relationships/hyperlink" Target="https://www.youtube.com/watch?v=MhiAiPvxiUM" TargetMode="External"/><Relationship Id="rId151" Type="http://schemas.openxmlformats.org/officeDocument/2006/relationships/hyperlink" Target="https://www.youtube.com/watch?v=v1Sbi4wdMVs" TargetMode="External"/><Relationship Id="rId152" Type="http://schemas.openxmlformats.org/officeDocument/2006/relationships/hyperlink" Target="https://www.youtube.com/watch?v=ZFsYdpEkRRc" TargetMode="External"/><Relationship Id="rId153" Type="http://schemas.openxmlformats.org/officeDocument/2006/relationships/hyperlink" Target="https://www.youtube.com/watch?v=gH1EabSgLMk" TargetMode="External"/><Relationship Id="rId154" Type="http://schemas.openxmlformats.org/officeDocument/2006/relationships/hyperlink" Target="https://www.youtube.com/watch?v=OBzbE0H9FUM" TargetMode="External"/><Relationship Id="rId155" Type="http://schemas.openxmlformats.org/officeDocument/2006/relationships/hyperlink" Target="https://www.youtube.com/watch?v=VCq-ZQg6i08" TargetMode="External"/><Relationship Id="rId156" Type="http://schemas.openxmlformats.org/officeDocument/2006/relationships/hyperlink" Target="https://www.youtube.com/watch?v=CV3jWuFSHo4" TargetMode="External"/><Relationship Id="rId157" Type="http://schemas.openxmlformats.org/officeDocument/2006/relationships/hyperlink" Target="https://www.youtube.com/watch?v=TKPTNFeMGTA" TargetMode="External"/><Relationship Id="rId158" Type="http://schemas.openxmlformats.org/officeDocument/2006/relationships/hyperlink" Target="https://www.youtube.com/watch?v=jIn1ZDOUY00" TargetMode="External"/><Relationship Id="rId159" Type="http://schemas.openxmlformats.org/officeDocument/2006/relationships/hyperlink" Target="https://www.youtube.com/watch?v=3S48hbwkFdg" TargetMode="External"/><Relationship Id="rId160" Type="http://schemas.openxmlformats.org/officeDocument/2006/relationships/hyperlink" Target="https://www.youtube.com/watch?v=3ECCimg6KSE" TargetMode="External"/><Relationship Id="rId161" Type="http://schemas.openxmlformats.org/officeDocument/2006/relationships/hyperlink" Target="https://www.youtube.com/watch?v=NnoHlaxJhes" TargetMode="External"/><Relationship Id="rId162" Type="http://schemas.openxmlformats.org/officeDocument/2006/relationships/hyperlink" Target="https://www.youtube.com/watch?v=l_Ef3D9-8jc" TargetMode="External"/><Relationship Id="rId163" Type="http://schemas.openxmlformats.org/officeDocument/2006/relationships/hyperlink" Target="https://www.youtube.com/watch?v=10Tus9CBjG4" TargetMode="External"/><Relationship Id="rId164" Type="http://schemas.openxmlformats.org/officeDocument/2006/relationships/hyperlink" Target="https://www.youtube.com/watch?v=7d4luvgDnnU" TargetMode="External"/><Relationship Id="rId165" Type="http://schemas.openxmlformats.org/officeDocument/2006/relationships/hyperlink" Target="https://www.youtube.com/watch?v=4M_mon2ubH0" TargetMode="External"/><Relationship Id="rId166" Type="http://schemas.openxmlformats.org/officeDocument/2006/relationships/hyperlink" Target="https://www.youtube.com/watch?v=zYUjp9_GHCg" TargetMode="External"/><Relationship Id="rId167" Type="http://schemas.openxmlformats.org/officeDocument/2006/relationships/hyperlink" Target="https://www.youtube.com/watch?v=lkb3nwp_jIE" TargetMode="External"/><Relationship Id="rId168" Type="http://schemas.openxmlformats.org/officeDocument/2006/relationships/hyperlink" Target="https://www.youtube.com/watch?v=pUDjkNvsfEc" TargetMode="External"/><Relationship Id="rId169" Type="http://schemas.openxmlformats.org/officeDocument/2006/relationships/hyperlink" Target="https://www.youtube.com/watch?v=jnrb8dKKHvw" TargetMode="External"/><Relationship Id="rId170" Type="http://schemas.openxmlformats.org/officeDocument/2006/relationships/hyperlink" Target="https://www.youtube.com/watch?v=Bg2LHJoIgao" TargetMode="External"/><Relationship Id="rId171" Type="http://schemas.openxmlformats.org/officeDocument/2006/relationships/hyperlink" Target="https://www.youtube.com/watch?v=iRhuwIV6msA" TargetMode="External"/><Relationship Id="rId172" Type="http://schemas.openxmlformats.org/officeDocument/2006/relationships/hyperlink" Target="https://www.youtube.com/watch?v=sLAIM8GJR3w" TargetMode="External"/><Relationship Id="rId173" Type="http://schemas.openxmlformats.org/officeDocument/2006/relationships/hyperlink" Target="https://www.youtube.com/watch?v=Ql7RBhjJ7GE" TargetMode="External"/><Relationship Id="rId174" Type="http://schemas.openxmlformats.org/officeDocument/2006/relationships/hyperlink" Target="https://www.youtube.com/watch?v=SLhqztA0E2I" TargetMode="External"/><Relationship Id="rId175" Type="http://schemas.openxmlformats.org/officeDocument/2006/relationships/hyperlink" Target="https://www.youtube.com/watch?v=nnpASPO3WxQ" TargetMode="External"/><Relationship Id="rId176" Type="http://schemas.openxmlformats.org/officeDocument/2006/relationships/hyperlink" Target="https://www.youtube.com/watch?v=y7QZvbPdVC4" TargetMode="External"/><Relationship Id="rId177" Type="http://schemas.openxmlformats.org/officeDocument/2006/relationships/hyperlink" Target="https://www.youtube.com/watch?v=oLmjuV11eTs" TargetMode="External"/><Relationship Id="rId178" Type="http://schemas.openxmlformats.org/officeDocument/2006/relationships/hyperlink" Target="https://www.youtube.com/watch?v=R2szHuS-jFc" TargetMode="External"/><Relationship Id="rId179" Type="http://schemas.openxmlformats.org/officeDocument/2006/relationships/hyperlink" Target="https://www.youtube.com/watch?v=DZgK3I78PCA" TargetMode="External"/><Relationship Id="rId180" Type="http://schemas.openxmlformats.org/officeDocument/2006/relationships/hyperlink" Target="https://www.youtube.com/watch?v=xVgVavfHn7I" TargetMode="External"/><Relationship Id="rId181" Type="http://schemas.openxmlformats.org/officeDocument/2006/relationships/hyperlink" Target="https://www.youtube.com/watch?v=iVPJ4J4tP3g" TargetMode="External"/><Relationship Id="rId182" Type="http://schemas.openxmlformats.org/officeDocument/2006/relationships/hyperlink" Target="https://www.youtube.com/watch?v=MzIelLQ4Gmo" TargetMode="External"/><Relationship Id="rId183" Type="http://schemas.openxmlformats.org/officeDocument/2006/relationships/hyperlink" Target="https://www.youtube.com/watch?v=D-0Quvs4aL4" TargetMode="External"/><Relationship Id="rId184" Type="http://schemas.openxmlformats.org/officeDocument/2006/relationships/hyperlink" Target="https://www.youtube.com/watch?v=69gsm1iMGr0" TargetMode="External"/><Relationship Id="rId185" Type="http://schemas.openxmlformats.org/officeDocument/2006/relationships/hyperlink" Target="https://www.youtube.com/watch?v=uR_fIjMSmpo" TargetMode="External"/><Relationship Id="rId186" Type="http://schemas.openxmlformats.org/officeDocument/2006/relationships/hyperlink" Target="https://www.youtube.com/watch?v=FwL7IKsfjZ0" TargetMode="External"/><Relationship Id="rId187" Type="http://schemas.openxmlformats.org/officeDocument/2006/relationships/hyperlink" Target="https://www.youtube.com/watch?v=VFsn-LfKCjI" TargetMode="External"/><Relationship Id="rId188" Type="http://schemas.openxmlformats.org/officeDocument/2006/relationships/hyperlink" Target="https://www.youtube.com/watch?v=TyuYETb4k_I" TargetMode="External"/><Relationship Id="rId189" Type="http://schemas.openxmlformats.org/officeDocument/2006/relationships/hyperlink" Target="https://www.youtube.com/watch?v=vGKgUPf3A64" TargetMode="External"/><Relationship Id="rId190" Type="http://schemas.openxmlformats.org/officeDocument/2006/relationships/hyperlink" Target="https://www.youtube.com/watch?v=oAoqrEsk5_k" TargetMode="External"/><Relationship Id="rId191" Type="http://schemas.openxmlformats.org/officeDocument/2006/relationships/hyperlink" Target="https://www.youtube.com/watch?v=d23v9RM3GXA" TargetMode="External"/><Relationship Id="rId192" Type="http://schemas.openxmlformats.org/officeDocument/2006/relationships/hyperlink" Target="https://www.youtube.com/watch?v=uts5CNIBuXk" TargetMode="External"/><Relationship Id="rId193" Type="http://schemas.openxmlformats.org/officeDocument/2006/relationships/hyperlink" Target="https://www.youtube.com/watch?v=kWHAzsYec6o" TargetMode="External"/><Relationship Id="rId194" Type="http://schemas.openxmlformats.org/officeDocument/2006/relationships/hyperlink" Target="https://www.youtube.com/watch?v=f_GR7AZEDWo" TargetMode="External"/><Relationship Id="rId195" Type="http://schemas.openxmlformats.org/officeDocument/2006/relationships/hyperlink" Target="https://www.youtube.com/watch?v=lKWYc414iro" TargetMode="External"/><Relationship Id="rId196" Type="http://schemas.openxmlformats.org/officeDocument/2006/relationships/hyperlink" Target="https://www.youtube.com/watch?v=77ArLz9A7yI" TargetMode="External"/><Relationship Id="rId197" Type="http://schemas.openxmlformats.org/officeDocument/2006/relationships/hyperlink" Target="https://www.youtube.com/watch?v=dgk8uNfJnAQ" TargetMode="External"/><Relationship Id="rId198" Type="http://schemas.openxmlformats.org/officeDocument/2006/relationships/hyperlink" Target="https://www.youtube.com/watch?v=4T39JIOiytw" TargetMode="External"/><Relationship Id="rId199" Type="http://schemas.openxmlformats.org/officeDocument/2006/relationships/hyperlink" Target="https://www.youtube.com/watch?v=b-W_PCM7Tfk" TargetMode="External"/><Relationship Id="rId200" Type="http://schemas.openxmlformats.org/officeDocument/2006/relationships/hyperlink" Target="https://www.youtube.com/watch?v=raIclmdJOPo" TargetMode="External"/><Relationship Id="rId201" Type="http://schemas.openxmlformats.org/officeDocument/2006/relationships/hyperlink" Target="https://www.youtube.com/watch?v=HAe1cqz3NBs" TargetMode="External"/><Relationship Id="rId202" Type="http://schemas.openxmlformats.org/officeDocument/2006/relationships/hyperlink" Target="https://www.youtube.com/watch?v=V4VuRC5oC8c" TargetMode="External"/><Relationship Id="rId203" Type="http://schemas.openxmlformats.org/officeDocument/2006/relationships/hyperlink" Target="https://www.youtube.com/watch?v=0Fa60LWMuPk" TargetMode="External"/><Relationship Id="rId204" Type="http://schemas.openxmlformats.org/officeDocument/2006/relationships/hyperlink" Target="https://www.youtube.com/watch?v=uCbcN87colY" TargetMode="External"/><Relationship Id="rId205" Type="http://schemas.openxmlformats.org/officeDocument/2006/relationships/hyperlink" Target="https://www.youtube.com/watch?v=edk-IFhNPp0" TargetMode="External"/><Relationship Id="rId206" Type="http://schemas.openxmlformats.org/officeDocument/2006/relationships/hyperlink" Target="https://www.youtube.com/watch?v=4jsv2ClMV6o" TargetMode="External"/><Relationship Id="rId207" Type="http://schemas.openxmlformats.org/officeDocument/2006/relationships/hyperlink" Target="https://www.youtube.com/watch?v=3z53bFanal4" TargetMode="External"/><Relationship Id="rId208" Type="http://schemas.openxmlformats.org/officeDocument/2006/relationships/hyperlink" Target="https://www.youtube.com/watch?v=cL8aSaXYjuA" TargetMode="External"/><Relationship Id="rId209" Type="http://schemas.openxmlformats.org/officeDocument/2006/relationships/hyperlink" Target="https://www.youtube.com/watch?v=yTRL5DDVsn0" TargetMode="External"/><Relationship Id="rId210" Type="http://schemas.openxmlformats.org/officeDocument/2006/relationships/hyperlink" Target="https://www.youtube.com/watch?v=ILdHR_ZTt0c" TargetMode="External"/><Relationship Id="rId211" Type="http://schemas.openxmlformats.org/officeDocument/2006/relationships/hyperlink" Target="https://www.youtube.com/watch?v=j6HKEUrJs0U" TargetMode="External"/><Relationship Id="rId212" Type="http://schemas.openxmlformats.org/officeDocument/2006/relationships/hyperlink" Target="https://www.youtube.com/watch?v=-FRkMaG7ok4" TargetMode="External"/><Relationship Id="rId213" Type="http://schemas.openxmlformats.org/officeDocument/2006/relationships/hyperlink" Target="https://www.youtube.com/watch?v=dKS3AFX1cAc" TargetMode="External"/><Relationship Id="rId214" Type="http://schemas.openxmlformats.org/officeDocument/2006/relationships/hyperlink" Target="https://www.youtube.com/watch?v=eSnBj7k4RHI" TargetMode="External"/><Relationship Id="rId215" Type="http://schemas.openxmlformats.org/officeDocument/2006/relationships/hyperlink" Target="https://www.youtube.com/watch?v=mjA7tOUJDtQ" TargetMode="External"/><Relationship Id="rId216" Type="http://schemas.openxmlformats.org/officeDocument/2006/relationships/hyperlink" Target="https://www.youtube.com/watch?v=cRdiTjNfKoc" TargetMode="External"/><Relationship Id="rId217" Type="http://schemas.openxmlformats.org/officeDocument/2006/relationships/hyperlink" Target="https://www.youtube.com/watch?v=6EQ7Klt5deY" TargetMode="External"/><Relationship Id="rId218" Type="http://schemas.openxmlformats.org/officeDocument/2006/relationships/hyperlink" Target="https://www.youtube.com/watch?v=CEdkxDrsUl0" TargetMode="External"/><Relationship Id="rId219" Type="http://schemas.openxmlformats.org/officeDocument/2006/relationships/hyperlink" Target="https://www.youtube.com/watch?v=aonx_SmsNUg" TargetMode="External"/><Relationship Id="rId220" Type="http://schemas.openxmlformats.org/officeDocument/2006/relationships/hyperlink" Target="https://www.youtube.com/watch?v=S0VT5FIdusM" TargetMode="External"/><Relationship Id="rId221" Type="http://schemas.openxmlformats.org/officeDocument/2006/relationships/hyperlink" Target="https://www.youtube.com/watch?v=xK2n8FL-FDQ" TargetMode="External"/><Relationship Id="rId222" Type="http://schemas.openxmlformats.org/officeDocument/2006/relationships/hyperlink" Target="https://www.youtube.com/watch?v=uiHuUQAK5aA" TargetMode="External"/><Relationship Id="rId223" Type="http://schemas.openxmlformats.org/officeDocument/2006/relationships/hyperlink" Target="https://www.youtube.com/watch?v=8msfDgSs2DQ" TargetMode="External"/><Relationship Id="rId224" Type="http://schemas.openxmlformats.org/officeDocument/2006/relationships/hyperlink" Target="https://www.youtube.com/watch?v=4kiYVtQRp5Q" TargetMode="External"/><Relationship Id="rId225" Type="http://schemas.openxmlformats.org/officeDocument/2006/relationships/hyperlink" Target="https://www.youtube.com/watch?v=mJ1qLENEmCU" TargetMode="External"/><Relationship Id="rId226" Type="http://schemas.openxmlformats.org/officeDocument/2006/relationships/hyperlink" Target="https://www.youtube.com/watch?v=FWCc-4uc4Gg" TargetMode="External"/><Relationship Id="rId227" Type="http://schemas.openxmlformats.org/officeDocument/2006/relationships/hyperlink" Target="https://www.youtube.com/watch?v=NAJ8vEHi47g" TargetMode="External"/><Relationship Id="rId228" Type="http://schemas.openxmlformats.org/officeDocument/2006/relationships/hyperlink" Target="https://www.youtube.com/watch?v=95hfv5CDagk" TargetMode="External"/><Relationship Id="rId229" Type="http://schemas.openxmlformats.org/officeDocument/2006/relationships/hyperlink" Target="https://www.youtube.com/watch?v=Y0i9aEq3nPI" TargetMode="External"/><Relationship Id="rId230" Type="http://schemas.openxmlformats.org/officeDocument/2006/relationships/hyperlink" Target="https://www.youtube.com/watch?v=t9Nfrkfx2yY" TargetMode="External"/><Relationship Id="rId231" Type="http://schemas.openxmlformats.org/officeDocument/2006/relationships/hyperlink" Target="https://www.youtube.com/watch?v=mgSbrOJtYF0" TargetMode="External"/><Relationship Id="rId232" Type="http://schemas.openxmlformats.org/officeDocument/2006/relationships/hyperlink" Target="https://www.youtube.com/watch?v=tiyIh86V1w0" TargetMode="External"/><Relationship Id="rId233" Type="http://schemas.openxmlformats.org/officeDocument/2006/relationships/hyperlink" Target="https://www.youtube.com/watch?v=k4zizDotKGY" TargetMode="External"/><Relationship Id="rId234" Type="http://schemas.openxmlformats.org/officeDocument/2006/relationships/hyperlink" Target="https://www.youtube.com/watch?v=uJNNdtixjaI" TargetMode="External"/><Relationship Id="rId235" Type="http://schemas.openxmlformats.org/officeDocument/2006/relationships/hyperlink" Target="https://www.youtube.com/watch?v=5fdcofNDsnc" TargetMode="External"/><Relationship Id="rId236" Type="http://schemas.openxmlformats.org/officeDocument/2006/relationships/hyperlink" Target="https://www.youtube.com/watch?v=S3hdw5ps9Y4" TargetMode="External"/><Relationship Id="rId237" Type="http://schemas.openxmlformats.org/officeDocument/2006/relationships/hyperlink" Target="https://www.youtube.com/watch?v=f_rImBA5p0o" TargetMode="External"/><Relationship Id="rId238" Type="http://schemas.openxmlformats.org/officeDocument/2006/relationships/hyperlink" Target="https://www.youtube.com/watch?v=xZ0XGDjMP-Y" TargetMode="External"/><Relationship Id="rId239" Type="http://schemas.openxmlformats.org/officeDocument/2006/relationships/hyperlink" Target="https://www.youtube.com/watch?v=H4pFkouRNQU" TargetMode="External"/><Relationship Id="rId240" Type="http://schemas.openxmlformats.org/officeDocument/2006/relationships/hyperlink" Target="https://www.youtube.com/watch?v=tY8LfQZix6c" TargetMode="External"/><Relationship Id="rId241" Type="http://schemas.openxmlformats.org/officeDocument/2006/relationships/hyperlink" Target="https://www.youtube.com/watch?v=LwsIsm4LVlA" TargetMode="External"/><Relationship Id="rId242" Type="http://schemas.openxmlformats.org/officeDocument/2006/relationships/hyperlink" Target="https://www.youtube.com/watch?v=rHw1juJvsOo" TargetMode="External"/><Relationship Id="rId243" Type="http://schemas.openxmlformats.org/officeDocument/2006/relationships/hyperlink" Target="https://www.youtube.com/watch?v=Pg1ZNXv8_Jo" TargetMode="External"/><Relationship Id="rId244" Type="http://schemas.openxmlformats.org/officeDocument/2006/relationships/hyperlink" Target="https://www.youtube.com/watch?v=58pckPHl5ss" TargetMode="External"/><Relationship Id="rId245" Type="http://schemas.openxmlformats.org/officeDocument/2006/relationships/hyperlink" Target="https://www.youtube.com/watch?v=VYqv6z9M3qk" TargetMode="External"/><Relationship Id="rId246" Type="http://schemas.openxmlformats.org/officeDocument/2006/relationships/hyperlink" Target="https://www.youtube.com/watch?v=-QlMiyUl1nQ" TargetMode="External"/><Relationship Id="rId247" Type="http://schemas.openxmlformats.org/officeDocument/2006/relationships/hyperlink" Target="https://www.youtube.com/watch?v=ZvVwU57osa4" TargetMode="External"/><Relationship Id="rId248" Type="http://schemas.openxmlformats.org/officeDocument/2006/relationships/hyperlink" Target="https://www.youtube.com/watch?v=Hlb-rO_dc8s" TargetMode="External"/><Relationship Id="rId249" Type="http://schemas.openxmlformats.org/officeDocument/2006/relationships/hyperlink" Target="https://www.youtube.com/watch?v=x_oYxvyv11s" TargetMode="External"/><Relationship Id="rId250" Type="http://schemas.openxmlformats.org/officeDocument/2006/relationships/hyperlink" Target="https://www.youtube.com/watch?v=hOuvpubuSaw" TargetMode="External"/><Relationship Id="rId251" Type="http://schemas.openxmlformats.org/officeDocument/2006/relationships/hyperlink" Target="https://www.youtube.com/watch?v=4tPKM69ZMHE" TargetMode="External"/><Relationship Id="rId252" Type="http://schemas.openxmlformats.org/officeDocument/2006/relationships/hyperlink" Target="https://www.youtube.com/watch?v=VuaIfoh8Ptc" TargetMode="External"/><Relationship Id="rId253" Type="http://schemas.openxmlformats.org/officeDocument/2006/relationships/hyperlink" Target="https://www.youtube.com/watch?v=FCz-gDAicd8" TargetMode="External"/><Relationship Id="rId254" Type="http://schemas.openxmlformats.org/officeDocument/2006/relationships/hyperlink" Target="https://www.youtube.com/watch?v=hEq1Y8Pm3fg" TargetMode="External"/><Relationship Id="rId255" Type="http://schemas.openxmlformats.org/officeDocument/2006/relationships/hyperlink" Target="https://www.youtube.com/watch?v=FcDaoIzxgcM" TargetMode="External"/><Relationship Id="rId256" Type="http://schemas.openxmlformats.org/officeDocument/2006/relationships/hyperlink" Target="https://www.youtube.com/watch?v=hWXD8EeJo6s" TargetMode="External"/><Relationship Id="rId257" Type="http://schemas.openxmlformats.org/officeDocument/2006/relationships/hyperlink" Target="https://www.youtube.com/watch?v=UWwkysQdNIU" TargetMode="External"/><Relationship Id="rId258" Type="http://schemas.openxmlformats.org/officeDocument/2006/relationships/hyperlink" Target="https://www.youtube.com/watch?v=4z6I3yGVS-M" TargetMode="External"/><Relationship Id="rId259" Type="http://schemas.openxmlformats.org/officeDocument/2006/relationships/hyperlink" Target="https://www.youtube.com/watch?v=LBgLEM2jm-c" TargetMode="External"/><Relationship Id="rId260" Type="http://schemas.openxmlformats.org/officeDocument/2006/relationships/hyperlink" Target="https://www.youtube.com/watch?v=X-e_WsgWjUU" TargetMode="External"/><Relationship Id="rId261" Type="http://schemas.openxmlformats.org/officeDocument/2006/relationships/hyperlink" Target="https://www.youtube.com/watch?v=mEJU6T0Ac2c" TargetMode="External"/><Relationship Id="rId262" Type="http://schemas.openxmlformats.org/officeDocument/2006/relationships/hyperlink" Target="https://www.youtube.com/watch?v=gNLTZipajwM" TargetMode="External"/><Relationship Id="rId263" Type="http://schemas.openxmlformats.org/officeDocument/2006/relationships/hyperlink" Target="https://www.youtube.com/watch?v=PAJ5UomIm4w" TargetMode="External"/><Relationship Id="rId264" Type="http://schemas.openxmlformats.org/officeDocument/2006/relationships/hyperlink" Target="https://www.youtube.com/watch?v=RmxR883d7DQ" TargetMode="External"/><Relationship Id="rId265" Type="http://schemas.openxmlformats.org/officeDocument/2006/relationships/hyperlink" Target="https://www.youtube.com/watch?v=mWFupi4YOBA" TargetMode="External"/><Relationship Id="rId266" Type="http://schemas.openxmlformats.org/officeDocument/2006/relationships/hyperlink" Target="https://www.youtube.com/watch?v=I2vhPP1VgkA" TargetMode="External"/><Relationship Id="rId267" Type="http://schemas.openxmlformats.org/officeDocument/2006/relationships/hyperlink" Target="https://www.youtube.com/watch?v=ADQxr0da_yk" TargetMode="External"/><Relationship Id="rId268" Type="http://schemas.openxmlformats.org/officeDocument/2006/relationships/hyperlink" Target="https://www.youtube.com/watch?v=IaejYqKM6mI" TargetMode="External"/><Relationship Id="rId269" Type="http://schemas.openxmlformats.org/officeDocument/2006/relationships/hyperlink" Target="https://www.youtube.com/watch?v=0jwR7ClJZgo" TargetMode="External"/><Relationship Id="rId270" Type="http://schemas.openxmlformats.org/officeDocument/2006/relationships/hyperlink" Target="https://www.youtube.com/watch?v=TeGAC9MoZow" TargetMode="External"/><Relationship Id="rId271" Type="http://schemas.openxmlformats.org/officeDocument/2006/relationships/hyperlink" Target="https://www.youtube.com/watch?v=n5HblR27soE" TargetMode="External"/><Relationship Id="rId272" Type="http://schemas.openxmlformats.org/officeDocument/2006/relationships/hyperlink" Target="https://www.youtube.com/watch?v=QFDDU7lpsuA" TargetMode="External"/><Relationship Id="rId273" Type="http://schemas.openxmlformats.org/officeDocument/2006/relationships/hyperlink" Target="https://www.youtube.com/watch?v=LcuG9zdK4tM" TargetMode="External"/><Relationship Id="rId274" Type="http://schemas.openxmlformats.org/officeDocument/2006/relationships/hyperlink" Target="https://www.youtube.com/watch?v=fyegmq-hMhI" TargetMode="External"/><Relationship Id="rId275" Type="http://schemas.openxmlformats.org/officeDocument/2006/relationships/hyperlink" Target="https://www.youtube.com/watch?v=SHhKyEaW1NM" TargetMode="External"/><Relationship Id="rId276" Type="http://schemas.openxmlformats.org/officeDocument/2006/relationships/hyperlink" Target="https://www.youtube.com/watch?v=Flc8xS2foOU" TargetMode="External"/><Relationship Id="rId277" Type="http://schemas.openxmlformats.org/officeDocument/2006/relationships/hyperlink" Target="https://www.youtube.com/watch?v=ts4a50k08bE" TargetMode="External"/><Relationship Id="rId278" Type="http://schemas.openxmlformats.org/officeDocument/2006/relationships/hyperlink" Target="https://www.youtube.com/watch?v=cFHfoL1k_pk" TargetMode="External"/><Relationship Id="rId279" Type="http://schemas.openxmlformats.org/officeDocument/2006/relationships/hyperlink" Target="https://www.youtube.com/watch?v=PeTOlKIaNBI" TargetMode="External"/><Relationship Id="rId280" Type="http://schemas.openxmlformats.org/officeDocument/2006/relationships/hyperlink" Target="https://www.youtube.com/watch?v=3El9mtbhkX4" TargetMode="External"/><Relationship Id="rId281" Type="http://schemas.openxmlformats.org/officeDocument/2006/relationships/hyperlink" Target="https://www.youtube.com/watch?v=jF22GbTfFS4" TargetMode="External"/><Relationship Id="rId282" Type="http://schemas.openxmlformats.org/officeDocument/2006/relationships/hyperlink" Target="https://www.youtube.com/watch?v=1kuYwCDc0tM" TargetMode="External"/><Relationship Id="rId283" Type="http://schemas.openxmlformats.org/officeDocument/2006/relationships/hyperlink" Target="https://www.youtube.com/watch?v=pZT_13noYjE" TargetMode="External"/><Relationship Id="rId284" Type="http://schemas.openxmlformats.org/officeDocument/2006/relationships/hyperlink" Target="https://www.youtube.com/watch?v=WJ6EfMZwr6o" TargetMode="External"/><Relationship Id="rId285" Type="http://schemas.openxmlformats.org/officeDocument/2006/relationships/hyperlink" Target="https://www.youtube.com/watch?v=xcTmcjBMLrU" TargetMode="External"/><Relationship Id="rId286" Type="http://schemas.openxmlformats.org/officeDocument/2006/relationships/hyperlink" Target="https://www.youtube.com/watch?v=Rm5H_kH2QTg" TargetMode="External"/><Relationship Id="rId287" Type="http://schemas.openxmlformats.org/officeDocument/2006/relationships/hyperlink" Target="https://www.youtube.com/watch?v=kCCE16_X9_o" TargetMode="External"/><Relationship Id="rId288" Type="http://schemas.openxmlformats.org/officeDocument/2006/relationships/hyperlink" Target="https://www.youtube.com/watch?v=KfGIkbE_7Yo" TargetMode="External"/><Relationship Id="rId289" Type="http://schemas.openxmlformats.org/officeDocument/2006/relationships/hyperlink" Target="https://www.youtube.com/watch?v=c5r5o6tdWGo" TargetMode="External"/><Relationship Id="rId290" Type="http://schemas.openxmlformats.org/officeDocument/2006/relationships/hyperlink" Target="https://www.youtube.com/watch?v=idFDcFpnCGQ" TargetMode="External"/><Relationship Id="rId291" Type="http://schemas.openxmlformats.org/officeDocument/2006/relationships/hyperlink" Target="https://www.youtube.com/watch?v=kygmtUisB4Y" TargetMode="External"/><Relationship Id="rId292" Type="http://schemas.openxmlformats.org/officeDocument/2006/relationships/hyperlink" Target="https://www.youtube.com/watch?v=QXMD7dTurO4" TargetMode="External"/><Relationship Id="rId293" Type="http://schemas.openxmlformats.org/officeDocument/2006/relationships/hyperlink" Target="https://www.youtube.com/watch?v=D2ce7sfiOT0" TargetMode="External"/><Relationship Id="rId294" Type="http://schemas.openxmlformats.org/officeDocument/2006/relationships/hyperlink" Target="https://www.youtube.com/watch?v=3MsngAG8Pjs" TargetMode="External"/><Relationship Id="rId295" Type="http://schemas.openxmlformats.org/officeDocument/2006/relationships/hyperlink" Target="https://www.youtube.com/watch?v=WiYZdPS6Wjs" TargetMode="External"/><Relationship Id="rId296" Type="http://schemas.openxmlformats.org/officeDocument/2006/relationships/hyperlink" Target="https://www.youtube.com/watch?v=AfwjVLFYYt0" TargetMode="External"/><Relationship Id="rId297" Type="http://schemas.openxmlformats.org/officeDocument/2006/relationships/hyperlink" Target="https://www.youtube.com/watch?v=5mC4uIjsxjI" TargetMode="External"/><Relationship Id="rId298" Type="http://schemas.openxmlformats.org/officeDocument/2006/relationships/hyperlink" Target="https://www.youtube.com/watch?v=UggcygRRar8" TargetMode="External"/><Relationship Id="rId299" Type="http://schemas.openxmlformats.org/officeDocument/2006/relationships/hyperlink" Target="https://www.youtube.com/watch?v=fOM-_AGGyxI" TargetMode="External"/><Relationship Id="rId300" Type="http://schemas.openxmlformats.org/officeDocument/2006/relationships/hyperlink" Target="https://www.youtube.com/watch?v=m3hkemZU3P0" TargetMode="External"/><Relationship Id="rId301" Type="http://schemas.openxmlformats.org/officeDocument/2006/relationships/hyperlink" Target="https://www.youtube.com/watch?v=tKFjmbKRuuY" TargetMode="External"/><Relationship Id="rId302" Type="http://schemas.openxmlformats.org/officeDocument/2006/relationships/hyperlink" Target="https://www.youtube.com/watch?v=u_JnrufkxFc" TargetMode="External"/><Relationship Id="rId303" Type="http://schemas.openxmlformats.org/officeDocument/2006/relationships/hyperlink" Target="https://www.youtube.com/watch?v=yG6R8vwbaTA" TargetMode="External"/><Relationship Id="rId304" Type="http://schemas.openxmlformats.org/officeDocument/2006/relationships/hyperlink" Target="https://www.youtube.com/watch?v=PLsiuY8DVz4" TargetMode="External"/><Relationship Id="rId305" Type="http://schemas.openxmlformats.org/officeDocument/2006/relationships/hyperlink" Target="https://www.youtube.com/watch?v=shceIjFAyQ8" TargetMode="External"/><Relationship Id="rId306" Type="http://schemas.openxmlformats.org/officeDocument/2006/relationships/hyperlink" Target="https://www.youtube.com/watch?v=-c2z6E1ZYv4" TargetMode="External"/><Relationship Id="rId307" Type="http://schemas.openxmlformats.org/officeDocument/2006/relationships/hyperlink" Target="https://www.youtube.com/watch?v=UUgFHvQl_Zg" TargetMode="External"/><Relationship Id="rId308" Type="http://schemas.openxmlformats.org/officeDocument/2006/relationships/hyperlink" Target="https://www.youtube.com/watch?v=jAI9PBfPB_Q" TargetMode="External"/><Relationship Id="rId309" Type="http://schemas.openxmlformats.org/officeDocument/2006/relationships/hyperlink" Target="https://www.youtube.com/watch?v=znsVV0Y2D38" TargetMode="External"/><Relationship Id="rId310" Type="http://schemas.openxmlformats.org/officeDocument/2006/relationships/hyperlink" Target="https://www.youtube.com/watch?v=TPrepneQZkY" TargetMode="External"/><Relationship Id="rId311" Type="http://schemas.openxmlformats.org/officeDocument/2006/relationships/hyperlink" Target="https://www.youtube.com/watch?v=0BfDNNj87zk" TargetMode="External"/><Relationship Id="rId312" Type="http://schemas.openxmlformats.org/officeDocument/2006/relationships/hyperlink" Target="https://www.youtube.com/watch?v=ipkAb5RHF_M" TargetMode="External"/><Relationship Id="rId313" Type="http://schemas.openxmlformats.org/officeDocument/2006/relationships/hyperlink" Target="https://www.youtube.com/watch?v=cJGFcVnOTug" TargetMode="External"/><Relationship Id="rId314" Type="http://schemas.openxmlformats.org/officeDocument/2006/relationships/hyperlink" Target="https://www.youtube.com/watch?v=P9cR8czVyr4" TargetMode="External"/><Relationship Id="rId315" Type="http://schemas.openxmlformats.org/officeDocument/2006/relationships/hyperlink" Target="https://www.youtube.com/watch?v=uZs18hx6yCk" TargetMode="External"/><Relationship Id="rId316" Type="http://schemas.openxmlformats.org/officeDocument/2006/relationships/hyperlink" Target="https://www.youtube.com/watch?v=WZRvDxP6Abc" TargetMode="External"/><Relationship Id="rId317" Type="http://schemas.openxmlformats.org/officeDocument/2006/relationships/hyperlink" Target="https://www.youtube.com/watch?v=PzhApRYmpX4" TargetMode="External"/><Relationship Id="rId318" Type="http://schemas.openxmlformats.org/officeDocument/2006/relationships/hyperlink" Target="https://www.youtube.com/watch?v=FaMwTyYeogI" TargetMode="External"/><Relationship Id="rId319" Type="http://schemas.openxmlformats.org/officeDocument/2006/relationships/hyperlink" Target="https://www.youtube.com/watch?v=Sq_iRyFIceA" TargetMode="External"/><Relationship Id="rId320" Type="http://schemas.openxmlformats.org/officeDocument/2006/relationships/hyperlink" Target="https://www.youtube.com/watch?v=ruhbh3UZaCM" TargetMode="External"/><Relationship Id="rId321" Type="http://schemas.openxmlformats.org/officeDocument/2006/relationships/hyperlink" Target="https://www.youtube.com/watch?v=zAX4ofzWvds" TargetMode="External"/><Relationship Id="rId322" Type="http://schemas.openxmlformats.org/officeDocument/2006/relationships/hyperlink" Target="https://www.youtube.com/watch?v=bw5gAYuAA3k" TargetMode="External"/><Relationship Id="rId323" Type="http://schemas.openxmlformats.org/officeDocument/2006/relationships/hyperlink" Target="https://www.youtube.com/watch?v=EIwnKdYPtJ4" TargetMode="External"/><Relationship Id="rId324" Type="http://schemas.openxmlformats.org/officeDocument/2006/relationships/hyperlink" Target="https://www.youtube.com/watch?v=doFMIeb_PXc" TargetMode="External"/><Relationship Id="rId325" Type="http://schemas.openxmlformats.org/officeDocument/2006/relationships/hyperlink" Target="https://www.youtube.com/watch?v=FCeS3Kx_vKE" TargetMode="External"/><Relationship Id="rId326" Type="http://schemas.openxmlformats.org/officeDocument/2006/relationships/hyperlink" Target="https://www.youtube.com/watch?v=eywfXP4HAug" TargetMode="External"/><Relationship Id="rId327" Type="http://schemas.openxmlformats.org/officeDocument/2006/relationships/hyperlink" Target="https://www.youtube.com/watch?v=C9r_GqeJXSM" TargetMode="External"/><Relationship Id="rId328" Type="http://schemas.openxmlformats.org/officeDocument/2006/relationships/hyperlink" Target="https://www.youtube.com/watch?v=qyIqEL18GxM" TargetMode="External"/><Relationship Id="rId329" Type="http://schemas.openxmlformats.org/officeDocument/2006/relationships/hyperlink" Target="https://www.youtube.com/watch?v=7Yfe2vOpFmY" TargetMode="External"/><Relationship Id="rId330" Type="http://schemas.openxmlformats.org/officeDocument/2006/relationships/hyperlink" Target="https://www.youtube.com/watch?v=8TIxHJVr3Sk" TargetMode="External"/><Relationship Id="rId331" Type="http://schemas.openxmlformats.org/officeDocument/2006/relationships/hyperlink" Target="https://www.youtube.com/watch?v=KecEMRTWlJY" TargetMode="External"/><Relationship Id="rId332" Type="http://schemas.openxmlformats.org/officeDocument/2006/relationships/hyperlink" Target="https://www.youtube.com/watch?v=LrCt0o30ygY" TargetMode="External"/><Relationship Id="rId333" Type="http://schemas.openxmlformats.org/officeDocument/2006/relationships/hyperlink" Target="https://www.youtube.com/watch?v=xLCHZBG8nv0" TargetMode="External"/><Relationship Id="rId334" Type="http://schemas.openxmlformats.org/officeDocument/2006/relationships/hyperlink" Target="https://www.youtube.com/watch?v=Xv0abFuo5gY" TargetMode="External"/><Relationship Id="rId335" Type="http://schemas.openxmlformats.org/officeDocument/2006/relationships/hyperlink" Target="https://www.youtube.com/watch?v=nWyF1SoIeBQ" TargetMode="External"/><Relationship Id="rId336" Type="http://schemas.openxmlformats.org/officeDocument/2006/relationships/hyperlink" Target="https://www.youtube.com/watch?v=SQfxMrcJd08" TargetMode="External"/><Relationship Id="rId337" Type="http://schemas.openxmlformats.org/officeDocument/2006/relationships/hyperlink" Target="https://www.youtube.com/watch?v=h2geLj0rsf0" TargetMode="External"/><Relationship Id="rId338" Type="http://schemas.openxmlformats.org/officeDocument/2006/relationships/hyperlink" Target="https://www.youtube.com/watch?v=bRlOQVrITRE" TargetMode="External"/><Relationship Id="rId339" Type="http://schemas.openxmlformats.org/officeDocument/2006/relationships/hyperlink" Target="https://www.youtube.com/watch?v=l-BX3wVhDIg" TargetMode="External"/><Relationship Id="rId340" Type="http://schemas.openxmlformats.org/officeDocument/2006/relationships/hyperlink" Target="https://www.youtube.com/watch?v=NMeXq1bjWHs" TargetMode="External"/><Relationship Id="rId341" Type="http://schemas.openxmlformats.org/officeDocument/2006/relationships/hyperlink" Target="https://www.youtube.com/watch?v=OVUmIIpG8kU" TargetMode="External"/><Relationship Id="rId342" Type="http://schemas.openxmlformats.org/officeDocument/2006/relationships/hyperlink" Target="https://www.youtube.com/watch?v=1HFbwq0BI5k" TargetMode="External"/><Relationship Id="rId343" Type="http://schemas.openxmlformats.org/officeDocument/2006/relationships/hyperlink" Target="https://www.youtube.com/watch?v=jv-dLWJCsSo" TargetMode="External"/><Relationship Id="rId344" Type="http://schemas.openxmlformats.org/officeDocument/2006/relationships/hyperlink" Target="https://www.youtube.com/watch?v=7a35oUQ6qCE" TargetMode="External"/><Relationship Id="rId345" Type="http://schemas.openxmlformats.org/officeDocument/2006/relationships/hyperlink" Target="https://www.youtube.com/watch?v=0KbvJQtzN7M" TargetMode="External"/><Relationship Id="rId346" Type="http://schemas.openxmlformats.org/officeDocument/2006/relationships/hyperlink" Target="https://www.youtube.com/watch?v=n1aFbAidte4" TargetMode="External"/><Relationship Id="rId347" Type="http://schemas.openxmlformats.org/officeDocument/2006/relationships/hyperlink" Target="https://www.youtube.com/watch?v=qs0_Z5iODnk" TargetMode="External"/><Relationship Id="rId348" Type="http://schemas.openxmlformats.org/officeDocument/2006/relationships/hyperlink" Target="https://www.youtube.com/watch?v=nqzRStX8_As" TargetMode="External"/><Relationship Id="rId349" Type="http://schemas.openxmlformats.org/officeDocument/2006/relationships/hyperlink" Target="https://www.youtube.com/watch?v=PigsnIUYITE" TargetMode="External"/><Relationship Id="rId350" Type="http://schemas.openxmlformats.org/officeDocument/2006/relationships/hyperlink" Target="https://www.youtube.com/watch?v=bbvoDaLRcbw" TargetMode="External"/><Relationship Id="rId351" Type="http://schemas.openxmlformats.org/officeDocument/2006/relationships/hyperlink" Target="https://www.youtube.com/watch?v=sDmaPj0ntu8" TargetMode="External"/><Relationship Id="rId352" Type="http://schemas.openxmlformats.org/officeDocument/2006/relationships/hyperlink" Target="https://www.youtube.com/watch?v=ONhWQ2iH5yU" TargetMode="External"/><Relationship Id="rId353" Type="http://schemas.openxmlformats.org/officeDocument/2006/relationships/hyperlink" Target="https://www.youtube.com/watch?v=aNU6KSqL1T0" TargetMode="External"/><Relationship Id="rId354" Type="http://schemas.openxmlformats.org/officeDocument/2006/relationships/hyperlink" Target="https://www.youtube.com/watch?v=IPPCWEbO_xA" TargetMode="External"/><Relationship Id="rId355" Type="http://schemas.openxmlformats.org/officeDocument/2006/relationships/hyperlink" Target="https://www.youtube.com/watch?v=Yk_uxvJDOD8" TargetMode="External"/><Relationship Id="rId356" Type="http://schemas.openxmlformats.org/officeDocument/2006/relationships/hyperlink" Target="https://www.youtube.com/watch?v=UJa9tPzbSXw" TargetMode="External"/><Relationship Id="rId357" Type="http://schemas.openxmlformats.org/officeDocument/2006/relationships/hyperlink" Target="https://www.youtube.com/watch?v=3ZV3wBT-bbk" TargetMode="External"/><Relationship Id="rId358" Type="http://schemas.openxmlformats.org/officeDocument/2006/relationships/hyperlink" Target="https://www.youtube.com/watch?v=5yfBvOGrHgs" TargetMode="External"/><Relationship Id="rId359" Type="http://schemas.openxmlformats.org/officeDocument/2006/relationships/hyperlink" Target="https://www.youtube.com/watch?v=t5P7WxxhzOQ" TargetMode="External"/><Relationship Id="rId360" Type="http://schemas.openxmlformats.org/officeDocument/2006/relationships/hyperlink" Target="https://www.youtube.com/watch?v=ZohmxyYSqSw" TargetMode="External"/><Relationship Id="rId361" Type="http://schemas.openxmlformats.org/officeDocument/2006/relationships/hyperlink" Target="https://www.youtube.com/watch?v=w8-K3Z9abBA" TargetMode="External"/><Relationship Id="rId362" Type="http://schemas.openxmlformats.org/officeDocument/2006/relationships/hyperlink" Target="https://www.youtube.com/watch?v=StWQOqUckZM" TargetMode="External"/><Relationship Id="rId363" Type="http://schemas.openxmlformats.org/officeDocument/2006/relationships/hyperlink" Target="https://www.youtube.com/watch?v=cBxFVyF2Xy8" TargetMode="External"/><Relationship Id="rId364" Type="http://schemas.openxmlformats.org/officeDocument/2006/relationships/hyperlink" Target="https://www.youtube.com/watch?v=c6gif0wXZoY" TargetMode="External"/><Relationship Id="rId365" Type="http://schemas.openxmlformats.org/officeDocument/2006/relationships/hyperlink" Target="https://www.youtube.com/watch?v=tCDZRtU7R8M" TargetMode="External"/><Relationship Id="rId366" Type="http://schemas.openxmlformats.org/officeDocument/2006/relationships/hyperlink" Target="https://www.youtube.com/watch?v=iBNhC7KfaFA" TargetMode="External"/><Relationship Id="rId367" Type="http://schemas.openxmlformats.org/officeDocument/2006/relationships/hyperlink" Target="https://www.youtube.com/watch?v=nDWhfoUc_98" TargetMode="External"/><Relationship Id="rId368" Type="http://schemas.openxmlformats.org/officeDocument/2006/relationships/hyperlink" Target="https://www.youtube.com/watch?v=DbIKr8lMVD8" TargetMode="External"/><Relationship Id="rId369" Type="http://schemas.openxmlformats.org/officeDocument/2006/relationships/hyperlink" Target="https://www.youtube.com/watch?v=zBesTEum5yM" TargetMode="External"/><Relationship Id="rId370" Type="http://schemas.openxmlformats.org/officeDocument/2006/relationships/hyperlink" Target="https://www.youtube.com/watch?v=00ElYXPyngk" TargetMode="External"/><Relationship Id="rId371" Type="http://schemas.openxmlformats.org/officeDocument/2006/relationships/hyperlink" Target="https://www.youtube.com/watch?v=Mcp1NHwq5L8" TargetMode="External"/><Relationship Id="rId372" Type="http://schemas.openxmlformats.org/officeDocument/2006/relationships/hyperlink" Target="https://www.youtube.com/watch?v=zZGlBijatSQ" TargetMode="External"/><Relationship Id="rId373" Type="http://schemas.openxmlformats.org/officeDocument/2006/relationships/hyperlink" Target="https://www.youtube.com/watch?v=BS79gV3Ef6Y" TargetMode="External"/><Relationship Id="rId374" Type="http://schemas.openxmlformats.org/officeDocument/2006/relationships/hyperlink" Target="https://www.youtube.com/watch?v=CJeBZejU0ts" TargetMode="External"/><Relationship Id="rId375" Type="http://schemas.openxmlformats.org/officeDocument/2006/relationships/hyperlink" Target="https://www.youtube.com/watch?v=ozGTm_DvRSs" TargetMode="External"/><Relationship Id="rId376" Type="http://schemas.openxmlformats.org/officeDocument/2006/relationships/hyperlink" Target="https://www.youtube.com/watch?v=P5DqGxxN70s" TargetMode="External"/><Relationship Id="rId377" Type="http://schemas.openxmlformats.org/officeDocument/2006/relationships/hyperlink" Target="https://www.youtube.com/watch?v=CrzW-v_5BiQ" TargetMode="External"/><Relationship Id="rId378" Type="http://schemas.openxmlformats.org/officeDocument/2006/relationships/hyperlink" Target="https://www.youtube.com/watch?v=NreeQ5eViiU" TargetMode="External"/><Relationship Id="rId379" Type="http://schemas.openxmlformats.org/officeDocument/2006/relationships/hyperlink" Target="https://www.youtube.com/watch?v=OA4FNAQpeRc" TargetMode="External"/><Relationship Id="rId380" Type="http://schemas.openxmlformats.org/officeDocument/2006/relationships/hyperlink" Target="https://www.youtube.com/watch?v=TfMBzqYCMyI" TargetMode="External"/><Relationship Id="rId381" Type="http://schemas.openxmlformats.org/officeDocument/2006/relationships/hyperlink" Target="https://www.youtube.com/watch?v=tMpjaozbegU" TargetMode="External"/><Relationship Id="rId382" Type="http://schemas.openxmlformats.org/officeDocument/2006/relationships/hyperlink" Target="https://www.youtube.com/watch?v=yRFf2erCqpA" TargetMode="External"/><Relationship Id="rId383" Type="http://schemas.openxmlformats.org/officeDocument/2006/relationships/hyperlink" Target="https://www.youtube.com/watch?v=jpcvhUSZ_4k" TargetMode="External"/><Relationship Id="rId384" Type="http://schemas.openxmlformats.org/officeDocument/2006/relationships/hyperlink" Target="https://www.youtube.com/watch?v=nj5fACHLCIo" TargetMode="External"/><Relationship Id="rId385" Type="http://schemas.openxmlformats.org/officeDocument/2006/relationships/hyperlink" Target="https://www.youtube.com/watch?v=v9ar1mhpT-g" TargetMode="External"/><Relationship Id="rId386" Type="http://schemas.openxmlformats.org/officeDocument/2006/relationships/hyperlink" Target="https://www.youtube.com/watch?v=9xBnci2N7zU" TargetMode="External"/><Relationship Id="rId387" Type="http://schemas.openxmlformats.org/officeDocument/2006/relationships/hyperlink" Target="https://www.youtube.com/watch?v=goWpi2BtNcE" TargetMode="External"/><Relationship Id="rId388" Type="http://schemas.openxmlformats.org/officeDocument/2006/relationships/hyperlink" Target="https://www.youtube.com/watch?v=wVt9frJBk5s" TargetMode="External"/><Relationship Id="rId389" Type="http://schemas.openxmlformats.org/officeDocument/2006/relationships/hyperlink" Target="https://www.youtube.com/watch?v=P7k1Ejw1dAM" TargetMode="External"/><Relationship Id="rId390" Type="http://schemas.openxmlformats.org/officeDocument/2006/relationships/hyperlink" Target="https://www.youtube.com/watch?v=tMy978ZwaDU" TargetMode="External"/><Relationship Id="rId391" Type="http://schemas.openxmlformats.org/officeDocument/2006/relationships/hyperlink" Target="https://www.youtube.com/watch?v=ooSB9_nRL54" TargetMode="External"/><Relationship Id="rId392" Type="http://schemas.openxmlformats.org/officeDocument/2006/relationships/hyperlink" Target="https://www.youtube.com/watch?v=gsf9fSF031M" TargetMode="External"/><Relationship Id="rId393" Type="http://schemas.openxmlformats.org/officeDocument/2006/relationships/hyperlink" Target="https://www.youtube.com/watch?v=4zvnuij5Byg" TargetMode="External"/><Relationship Id="rId394" Type="http://schemas.openxmlformats.org/officeDocument/2006/relationships/hyperlink" Target="https://www.youtube.com/watch?v=ys6vUOsrD-k" TargetMode="External"/><Relationship Id="rId395" Type="http://schemas.openxmlformats.org/officeDocument/2006/relationships/hyperlink" Target="https://www.youtube.com/watch?v=woMY390LDAU" TargetMode="External"/><Relationship Id="rId396" Type="http://schemas.openxmlformats.org/officeDocument/2006/relationships/hyperlink" Target="https://www.youtube.com/watch?v=AsD9Lp-q45Y" TargetMode="External"/><Relationship Id="rId397" Type="http://schemas.openxmlformats.org/officeDocument/2006/relationships/hyperlink" Target="https://www.youtube.com/watch?v=xs9RceAkYy4" TargetMode="External"/><Relationship Id="rId398" Type="http://schemas.openxmlformats.org/officeDocument/2006/relationships/hyperlink" Target="https://www.youtube.com/watch?v=zUM6N3197O4" TargetMode="External"/><Relationship Id="rId399" Type="http://schemas.openxmlformats.org/officeDocument/2006/relationships/hyperlink" Target="https://www.youtube.com/watch?v=bPrAxDE2zHw" TargetMode="External"/><Relationship Id="rId400" Type="http://schemas.openxmlformats.org/officeDocument/2006/relationships/hyperlink" Target="https://www.youtube.com/watch?v=sHUGGxurNog" TargetMode="External"/><Relationship Id="rId401" Type="http://schemas.openxmlformats.org/officeDocument/2006/relationships/hyperlink" Target="https://www.youtube.com/watch?v=GIau9Z-C4_Y" TargetMode="External"/><Relationship Id="rId402" Type="http://schemas.openxmlformats.org/officeDocument/2006/relationships/hyperlink" Target="https://www.youtube.com/watch?v=Gupf1_H4bSI" TargetMode="External"/><Relationship Id="rId403" Type="http://schemas.openxmlformats.org/officeDocument/2006/relationships/hyperlink" Target="https://www.youtube.com/watch?v=bXrZr9nl3yc" TargetMode="External"/><Relationship Id="rId404" Type="http://schemas.openxmlformats.org/officeDocument/2006/relationships/hyperlink" Target="https://www.youtube.com/watch?v=ORlQ4sITmz4" TargetMode="External"/><Relationship Id="rId405" Type="http://schemas.openxmlformats.org/officeDocument/2006/relationships/hyperlink" Target="https://www.youtube.com/watch?v=3xzCESrWumA" TargetMode="External"/><Relationship Id="rId406" Type="http://schemas.openxmlformats.org/officeDocument/2006/relationships/hyperlink" Target="https://www.youtube.com/watch?v=WuexfCIAUEA" TargetMode="External"/><Relationship Id="rId407" Type="http://schemas.openxmlformats.org/officeDocument/2006/relationships/hyperlink" Target="https://www.youtube.com/watch?v=2WcUJQiorR8" TargetMode="External"/><Relationship Id="rId408" Type="http://schemas.openxmlformats.org/officeDocument/2006/relationships/hyperlink" Target="https://www.youtube.com/watch?v=lh4ZVMxRKfM" TargetMode="External"/><Relationship Id="rId409" Type="http://schemas.openxmlformats.org/officeDocument/2006/relationships/hyperlink" Target="https://www.youtube.com/watch?v=L6Klbaxp_eE" TargetMode="External"/><Relationship Id="rId410" Type="http://schemas.openxmlformats.org/officeDocument/2006/relationships/hyperlink" Target="https://www.youtube.com/watch?v=jA_vi46GUp4" TargetMode="External"/><Relationship Id="rId411" Type="http://schemas.openxmlformats.org/officeDocument/2006/relationships/hyperlink" Target="https://www.youtube.com/watch?v=ZOr33tDOVjw" TargetMode="External"/><Relationship Id="rId412" Type="http://schemas.openxmlformats.org/officeDocument/2006/relationships/hyperlink" Target="https://www.youtube.com/watch?v=WexDD7eH_-I" TargetMode="External"/><Relationship Id="rId413" Type="http://schemas.openxmlformats.org/officeDocument/2006/relationships/hyperlink" Target="https://www.youtube.com/watch?v=o4RaquIWGpI" TargetMode="External"/><Relationship Id="rId414" Type="http://schemas.openxmlformats.org/officeDocument/2006/relationships/hyperlink" Target="https://www.youtube.com/watch?v=6HtKv6dbQBQ" TargetMode="External"/><Relationship Id="rId415" Type="http://schemas.openxmlformats.org/officeDocument/2006/relationships/hyperlink" Target="https://www.youtube.com/watch?v=WxtTbXlKpoY" TargetMode="External"/><Relationship Id="rId416" Type="http://schemas.openxmlformats.org/officeDocument/2006/relationships/hyperlink" Target="https://www.youtube.com/watch?v=NCPk_3e-uos" TargetMode="External"/><Relationship Id="rId417" Type="http://schemas.openxmlformats.org/officeDocument/2006/relationships/hyperlink" Target="https://www.youtube.com/watch?v=89iCXXVPhUA" TargetMode="External"/><Relationship Id="rId418" Type="http://schemas.openxmlformats.org/officeDocument/2006/relationships/hyperlink" Target="https://www.youtube.com/watch?v=2ezbh-31ugw" TargetMode="External"/><Relationship Id="rId419" Type="http://schemas.openxmlformats.org/officeDocument/2006/relationships/hyperlink" Target="https://www.youtube.com/watch?v=z5ZnC5Pnx_k" TargetMode="External"/><Relationship Id="rId420" Type="http://schemas.openxmlformats.org/officeDocument/2006/relationships/hyperlink" Target="https://www.youtube.com/watch?v=hyRbWnxifWg" TargetMode="External"/><Relationship Id="rId421" Type="http://schemas.openxmlformats.org/officeDocument/2006/relationships/hyperlink" Target="https://www.youtube.com/watch?v=0DlJWaODxhk" TargetMode="External"/><Relationship Id="rId422" Type="http://schemas.openxmlformats.org/officeDocument/2006/relationships/hyperlink" Target="https://www.youtube.com/watch?v=bMQjWxDAPaI" TargetMode="External"/><Relationship Id="rId423" Type="http://schemas.openxmlformats.org/officeDocument/2006/relationships/hyperlink" Target="https://www.youtube.com/watch?v=Vx1idQA4rFs" TargetMode="External"/><Relationship Id="rId424" Type="http://schemas.openxmlformats.org/officeDocument/2006/relationships/hyperlink" Target="https://www.youtube.com/watch?v=mOgREEp6chs" TargetMode="External"/><Relationship Id="rId425" Type="http://schemas.openxmlformats.org/officeDocument/2006/relationships/hyperlink" Target="https://www.youtube.com/watch?v=E72lvRcgI3A" TargetMode="External"/><Relationship Id="rId426" Type="http://schemas.openxmlformats.org/officeDocument/2006/relationships/hyperlink" Target="https://www.youtube.com/watch?v=YHb3Fbul070" TargetMode="External"/><Relationship Id="rId427" Type="http://schemas.openxmlformats.org/officeDocument/2006/relationships/hyperlink" Target="https://www.youtube.com/watch?v=PHYkL-0Y-50" TargetMode="External"/><Relationship Id="rId428" Type="http://schemas.openxmlformats.org/officeDocument/2006/relationships/hyperlink" Target="https://www.youtube.com/watch?v=7Je_qUhdkY8" TargetMode="External"/><Relationship Id="rId429" Type="http://schemas.openxmlformats.org/officeDocument/2006/relationships/hyperlink" Target="https://www.youtube.com/watch?v=EPh60ad6gSE" TargetMode="External"/><Relationship Id="rId430" Type="http://schemas.openxmlformats.org/officeDocument/2006/relationships/hyperlink" Target="https://www.youtube.com/watch?v=O9XYjGqPNRM" TargetMode="External"/><Relationship Id="rId431" Type="http://schemas.openxmlformats.org/officeDocument/2006/relationships/hyperlink" Target="https://www.youtube.com/watch?v=VcdDgXT6oU0" TargetMode="External"/><Relationship Id="rId432" Type="http://schemas.openxmlformats.org/officeDocument/2006/relationships/hyperlink" Target="https://www.youtube.com/watch?v=v0TKyJSH--Q" TargetMode="External"/><Relationship Id="rId433" Type="http://schemas.openxmlformats.org/officeDocument/2006/relationships/hyperlink" Target="https://www.youtube.com/watch?v=061-1JLptiI" TargetMode="External"/><Relationship Id="rId434" Type="http://schemas.openxmlformats.org/officeDocument/2006/relationships/hyperlink" Target="https://www.youtube.com/watch?v=r4TP8lQkZ1c" TargetMode="External"/><Relationship Id="rId435" Type="http://schemas.openxmlformats.org/officeDocument/2006/relationships/hyperlink" Target="https://www.youtube.com/watch?v=_7VBvxZ7fSg" TargetMode="External"/><Relationship Id="rId436" Type="http://schemas.openxmlformats.org/officeDocument/2006/relationships/hyperlink" Target="https://www.youtube.com/watch?v=Zp8pjAxe9Fo" TargetMode="External"/><Relationship Id="rId437" Type="http://schemas.openxmlformats.org/officeDocument/2006/relationships/hyperlink" Target="https://www.youtube.com/watch?v=hGzrB46auCQ" TargetMode="External"/><Relationship Id="rId438" Type="http://schemas.openxmlformats.org/officeDocument/2006/relationships/hyperlink" Target="https://www.youtube.com/watch?v=WAsNGfncNf0" TargetMode="External"/><Relationship Id="rId439" Type="http://schemas.openxmlformats.org/officeDocument/2006/relationships/hyperlink" Target="https://www.youtube.com/watch?v=9zDaNOJ81rU" TargetMode="External"/><Relationship Id="rId440" Type="http://schemas.openxmlformats.org/officeDocument/2006/relationships/hyperlink" Target="https://www.youtube.com/watch?v=IEI_pcLGX6I" TargetMode="External"/><Relationship Id="rId441" Type="http://schemas.openxmlformats.org/officeDocument/2006/relationships/hyperlink" Target="https://www.youtube.com/watch?v=iWCtYl427uQ" TargetMode="External"/><Relationship Id="rId442" Type="http://schemas.openxmlformats.org/officeDocument/2006/relationships/hyperlink" Target="https://www.youtube.com/watch?v=O6ZjG9c_b-I" TargetMode="External"/><Relationship Id="rId443" Type="http://schemas.openxmlformats.org/officeDocument/2006/relationships/hyperlink" Target="https://www.youtube.com/watch?v=p4EpL5dVmiU" TargetMode="External"/><Relationship Id="rId444" Type="http://schemas.openxmlformats.org/officeDocument/2006/relationships/hyperlink" Target="https://www.youtube.com/watch?v=LeLbN_FQcds" TargetMode="External"/><Relationship Id="rId445" Type="http://schemas.openxmlformats.org/officeDocument/2006/relationships/hyperlink" Target="https://www.youtube.com/watch?v=DmKyfzScGkY" TargetMode="External"/><Relationship Id="rId446" Type="http://schemas.openxmlformats.org/officeDocument/2006/relationships/hyperlink" Target="https://www.youtube.com/watch?v=enQBV0rbQ2I" TargetMode="External"/><Relationship Id="rId447" Type="http://schemas.openxmlformats.org/officeDocument/2006/relationships/hyperlink" Target="https://www.youtube.com/watch?v=HHRZvqlXBU4" TargetMode="External"/><Relationship Id="rId448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bynlxFY8R_I" TargetMode="External"/><Relationship Id="rId2" Type="http://schemas.openxmlformats.org/officeDocument/2006/relationships/hyperlink" Target="https://www.youtube.com/watch?v=EwoohZ4dHZc" TargetMode="External"/><Relationship Id="rId3" Type="http://schemas.openxmlformats.org/officeDocument/2006/relationships/hyperlink" Target="https://www.youtube.com/watch?v=BBvS4uwNF5U" TargetMode="External"/><Relationship Id="rId4" Type="http://schemas.openxmlformats.org/officeDocument/2006/relationships/hyperlink" Target="https://www.youtube.com/watch?v=Fz2-LSMEov0" TargetMode="External"/><Relationship Id="rId5" Type="http://schemas.openxmlformats.org/officeDocument/2006/relationships/hyperlink" Target="https://www.youtube.com/watch?v=xMHvz-43Fdk" TargetMode="External"/><Relationship Id="rId6" Type="http://schemas.openxmlformats.org/officeDocument/2006/relationships/hyperlink" Target="https://www.youtube.com/watch?v=vRC-Mbj2gI0" TargetMode="External"/><Relationship Id="rId7" Type="http://schemas.openxmlformats.org/officeDocument/2006/relationships/hyperlink" Target="https://www.youtube.com/watch?v=cMwLknD6ZMA" TargetMode="External"/><Relationship Id="rId8" Type="http://schemas.openxmlformats.org/officeDocument/2006/relationships/hyperlink" Target="https://www.youtube.com/watch?v=DNPx-XrdCuQ" TargetMode="External"/><Relationship Id="rId9" Type="http://schemas.openxmlformats.org/officeDocument/2006/relationships/hyperlink" Target="https://www.youtube.com/watch?v=CVIUh9LKl78" TargetMode="External"/><Relationship Id="rId10" Type="http://schemas.openxmlformats.org/officeDocument/2006/relationships/hyperlink" Target="https://www.youtube.com/watch?v=ahMemzGlSRQ" TargetMode="External"/><Relationship Id="rId11" Type="http://schemas.openxmlformats.org/officeDocument/2006/relationships/hyperlink" Target="https://www.youtube.com/watch?v=iqi43TKHuVY" TargetMode="External"/><Relationship Id="rId12" Type="http://schemas.openxmlformats.org/officeDocument/2006/relationships/hyperlink" Target="https://www.youtube.com/watch?v=Ktj83BMnaoM" TargetMode="External"/><Relationship Id="rId13" Type="http://schemas.openxmlformats.org/officeDocument/2006/relationships/hyperlink" Target="https://www.youtube.com/watch?v=u-gS07N-hV0" TargetMode="External"/><Relationship Id="rId14" Type="http://schemas.openxmlformats.org/officeDocument/2006/relationships/hyperlink" Target="https://www.youtube.com/watch?v=C0OFM297MlU" TargetMode="External"/><Relationship Id="rId15" Type="http://schemas.openxmlformats.org/officeDocument/2006/relationships/hyperlink" Target="https://www.youtube.com/watch?v=SN6_YKVl-U0" TargetMode="External"/><Relationship Id="rId16" Type="http://schemas.openxmlformats.org/officeDocument/2006/relationships/hyperlink" Target="https://www.youtube.com/watch?v=SyYkOglVVLo" TargetMode="External"/><Relationship Id="rId17" Type="http://schemas.openxmlformats.org/officeDocument/2006/relationships/hyperlink" Target="https://www.youtube.com/watch?v=rXJlIqMys04" TargetMode="External"/><Relationship Id="rId18" Type="http://schemas.openxmlformats.org/officeDocument/2006/relationships/hyperlink" Target="https://www.youtube.com/watch?v=TQW8TUirVHA" TargetMode="External"/><Relationship Id="rId19" Type="http://schemas.openxmlformats.org/officeDocument/2006/relationships/hyperlink" Target="https://www.youtube.com/watch?v=DcfhBvF1wYQ" TargetMode="External"/><Relationship Id="rId20" Type="http://schemas.openxmlformats.org/officeDocument/2006/relationships/hyperlink" Target="https://www.youtube.com/watch?v=QL404TsHKvs" TargetMode="External"/><Relationship Id="rId21" Type="http://schemas.openxmlformats.org/officeDocument/2006/relationships/hyperlink" Target="https://www.youtube.com/watch?v=vw9xRBwzzxg" TargetMode="External"/><Relationship Id="rId22" Type="http://schemas.openxmlformats.org/officeDocument/2006/relationships/hyperlink" Target="https://www.youtube.com/watch?v=TaSSS4Fsi5o" TargetMode="External"/><Relationship Id="rId23" Type="http://schemas.openxmlformats.org/officeDocument/2006/relationships/hyperlink" Target="https://www.youtube.com/watch?v=iEWhdk598aM" TargetMode="External"/><Relationship Id="rId24" Type="http://schemas.openxmlformats.org/officeDocument/2006/relationships/hyperlink" Target="https://www.youtube.com/watch?v=yii4FkVbrTc" TargetMode="External"/><Relationship Id="rId25" Type="http://schemas.openxmlformats.org/officeDocument/2006/relationships/hyperlink" Target="https://www.youtube.com/watch?v=TfrPtbu7FX0" TargetMode="External"/><Relationship Id="rId26" Type="http://schemas.openxmlformats.org/officeDocument/2006/relationships/hyperlink" Target="https://www.youtube.com/watch?v=A1JQ63kvGPA" TargetMode="External"/><Relationship Id="rId27" Type="http://schemas.openxmlformats.org/officeDocument/2006/relationships/hyperlink" Target="https://www.youtube.com/watch?v=ElIOxFQFICo" TargetMode="External"/><Relationship Id="rId28" Type="http://schemas.openxmlformats.org/officeDocument/2006/relationships/hyperlink" Target="https://www.youtube.com/watch?v=dA2Jn5EAmTc" TargetMode="External"/><Relationship Id="rId29" Type="http://schemas.openxmlformats.org/officeDocument/2006/relationships/hyperlink" Target="https://www.youtube.com/watch?v=0oiJtKoJ6VY" TargetMode="External"/><Relationship Id="rId30" Type="http://schemas.openxmlformats.org/officeDocument/2006/relationships/hyperlink" Target="https://www.youtube.com/watch?v=4UUsEKViZ4M" TargetMode="External"/><Relationship Id="rId31" Type="http://schemas.openxmlformats.org/officeDocument/2006/relationships/hyperlink" Target="https://www.youtube.com/watch?v=3JlAdn1emEA" TargetMode="External"/><Relationship Id="rId32" Type="http://schemas.openxmlformats.org/officeDocument/2006/relationships/hyperlink" Target="https://www.youtube.com/watch?v=6SrUgCU0OCE" TargetMode="External"/><Relationship Id="rId33" Type="http://schemas.openxmlformats.org/officeDocument/2006/relationships/hyperlink" Target="https://www.youtube.com/watch?v=ODVWAijqcS4" TargetMode="External"/><Relationship Id="rId34" Type="http://schemas.openxmlformats.org/officeDocument/2006/relationships/hyperlink" Target="https://www.youtube.com/watch?v=HdG8R0CRWlU" TargetMode="External"/><Relationship Id="rId35" Type="http://schemas.openxmlformats.org/officeDocument/2006/relationships/hyperlink" Target="https://www.youtube.com/watch?v=whSfFq9WPIM" TargetMode="External"/><Relationship Id="rId36" Type="http://schemas.openxmlformats.org/officeDocument/2006/relationships/hyperlink" Target="https://www.youtube.com/watch?v=m7W79rixPZU" TargetMode="External"/><Relationship Id="rId37" Type="http://schemas.openxmlformats.org/officeDocument/2006/relationships/hyperlink" Target="https://www.youtube.com/watch?v=NXdmwnSjhx8" TargetMode="External"/><Relationship Id="rId38" Type="http://schemas.openxmlformats.org/officeDocument/2006/relationships/hyperlink" Target="https://www.youtube.com/watch?v=UtgJ85-OdHM" TargetMode="External"/><Relationship Id="rId39" Type="http://schemas.openxmlformats.org/officeDocument/2006/relationships/hyperlink" Target="https://www.youtube.com/watch?v=poGrtzLVDLk" TargetMode="External"/><Relationship Id="rId40" Type="http://schemas.openxmlformats.org/officeDocument/2006/relationships/hyperlink" Target="https://www.youtube.com/watch?v=ox33IFd4X6A" TargetMode="External"/><Relationship Id="rId41" Type="http://schemas.openxmlformats.org/officeDocument/2006/relationships/hyperlink" Target="https://www.youtube.com/watch?v=f789zGhSHxg" TargetMode="External"/><Relationship Id="rId42" Type="http://schemas.openxmlformats.org/officeDocument/2006/relationships/hyperlink" Target="https://www.youtube.com/watch?v=RBirmydmV5k" TargetMode="External"/><Relationship Id="rId43" Type="http://schemas.openxmlformats.org/officeDocument/2006/relationships/hyperlink" Target="https://www.youtube.com/watch?v=I4lJJs_eUGg" TargetMode="External"/><Relationship Id="rId44" Type="http://schemas.openxmlformats.org/officeDocument/2006/relationships/hyperlink" Target="https://www.youtube.com/watch?v=_CAkI846j7E" TargetMode="External"/><Relationship Id="rId45" Type="http://schemas.openxmlformats.org/officeDocument/2006/relationships/hyperlink" Target="https://www.youtube.com/watch?v=QaQNYFjvKxs" TargetMode="External"/><Relationship Id="rId46" Type="http://schemas.openxmlformats.org/officeDocument/2006/relationships/hyperlink" Target="https://www.youtube.com/watch?v=yrPACgbEwBw" TargetMode="External"/><Relationship Id="rId47" Type="http://schemas.openxmlformats.org/officeDocument/2006/relationships/hyperlink" Target="https://www.youtube.com/watch?v=seJHl9JH8XU" TargetMode="External"/><Relationship Id="rId48" Type="http://schemas.openxmlformats.org/officeDocument/2006/relationships/hyperlink" Target="https://www.youtube.com/watch?v=N_O3iehnN1Y" TargetMode="External"/><Relationship Id="rId49" Type="http://schemas.openxmlformats.org/officeDocument/2006/relationships/hyperlink" Target="https://www.youtube.com/watch?v=FHerMNhCR54" TargetMode="External"/><Relationship Id="rId50" Type="http://schemas.openxmlformats.org/officeDocument/2006/relationships/hyperlink" Target="https://www.youtube.com/watch?v=gztrOtheKVI" TargetMode="External"/><Relationship Id="rId51" Type="http://schemas.openxmlformats.org/officeDocument/2006/relationships/hyperlink" Target="https://www.youtube.com/watch?v=017KIoyU-II" TargetMode="External"/><Relationship Id="rId52" Type="http://schemas.openxmlformats.org/officeDocument/2006/relationships/hyperlink" Target="https://www.youtube.com/watch?v=clIVgP99ILw" TargetMode="External"/><Relationship Id="rId53" Type="http://schemas.openxmlformats.org/officeDocument/2006/relationships/hyperlink" Target="https://www.youtube.com/watch?v=yJ2z3Ju0oow" TargetMode="External"/><Relationship Id="rId54" Type="http://schemas.openxmlformats.org/officeDocument/2006/relationships/hyperlink" Target="https://www.youtube.com/watch?v=KxpoMn-qh7Q" TargetMode="External"/><Relationship Id="rId55" Type="http://schemas.openxmlformats.org/officeDocument/2006/relationships/hyperlink" Target="https://www.youtube.com/watch?v=F6hdQJdWFkk" TargetMode="External"/><Relationship Id="rId56" Type="http://schemas.openxmlformats.org/officeDocument/2006/relationships/hyperlink" Target="https://www.youtube.com/watch?v=unkDQYOX_do" TargetMode="External"/><Relationship Id="rId57" Type="http://schemas.openxmlformats.org/officeDocument/2006/relationships/hyperlink" Target="https://www.youtube.com/watch?v=pm-kZJAlzfc" TargetMode="External"/><Relationship Id="rId58" Type="http://schemas.openxmlformats.org/officeDocument/2006/relationships/hyperlink" Target="https://www.youtube.com/watch?v=mQE4csiYaa8" TargetMode="External"/><Relationship Id="rId59" Type="http://schemas.openxmlformats.org/officeDocument/2006/relationships/hyperlink" Target="https://www.youtube.com/watch?v=DYiDtQIFvtg" TargetMode="External"/><Relationship Id="rId60" Type="http://schemas.openxmlformats.org/officeDocument/2006/relationships/hyperlink" Target="https://www.youtube.com/watch?v=Z9gDTSXtzFc" TargetMode="External"/><Relationship Id="rId61" Type="http://schemas.openxmlformats.org/officeDocument/2006/relationships/hyperlink" Target="https://www.youtube.com/watch?v=YRJ0TgCVajM" TargetMode="External"/><Relationship Id="rId62" Type="http://schemas.openxmlformats.org/officeDocument/2006/relationships/hyperlink" Target="https://www.youtube.com/watch?v=lSCi-UPpBp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48.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23.8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2"/>
      <c r="B4" s="2"/>
    </row>
    <row r="5" customFormat="false" ht="23.85" hidden="false" customHeight="false" outlineLevel="0" collapsed="false">
      <c r="A5" s="3" t="s">
        <v>5</v>
      </c>
      <c r="B5" s="2" t="s">
        <v>6</v>
      </c>
    </row>
    <row r="6" customFormat="false" ht="23.85" hidden="false" customHeight="false" outlineLevel="0" collapsed="false">
      <c r="A6" s="3" t="s">
        <v>7</v>
      </c>
      <c r="B6" s="2" t="s">
        <v>8</v>
      </c>
    </row>
    <row r="7" customFormat="false" ht="23.8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13</v>
      </c>
      <c r="B10" s="2"/>
    </row>
    <row r="11" customFormat="false" ht="23.85" hidden="false" customHeight="false" outlineLevel="0" collapsed="false">
      <c r="A11" s="3" t="s">
        <v>14</v>
      </c>
      <c r="B11" s="2" t="s">
        <v>15</v>
      </c>
    </row>
    <row r="12" customFormat="false" ht="23.85" hidden="false" customHeight="false" outlineLevel="0" collapsed="false">
      <c r="A12" s="3" t="s">
        <v>16</v>
      </c>
      <c r="B12" s="2" t="s">
        <v>17</v>
      </c>
    </row>
    <row r="13" customFormat="false" ht="15" hidden="false" customHeight="false" outlineLevel="0" collapsed="false">
      <c r="A13" s="3" t="s">
        <v>18</v>
      </c>
      <c r="B13" s="2" t="s">
        <v>19</v>
      </c>
    </row>
    <row r="14" customFormat="false" ht="23.85" hidden="false" customHeight="false" outlineLevel="0" collapsed="false">
      <c r="A14" s="3" t="s">
        <v>20</v>
      </c>
      <c r="B14" s="2" t="s">
        <v>21</v>
      </c>
    </row>
    <row r="15" customFormat="false" ht="15" hidden="false" customHeight="false" outlineLevel="0" collapsed="false">
      <c r="A15" s="3" t="s">
        <v>22</v>
      </c>
      <c r="B15" s="2" t="s">
        <v>23</v>
      </c>
    </row>
    <row r="16" customFormat="false" ht="23.85" hidden="false" customHeight="false" outlineLevel="0" collapsed="false">
      <c r="A16" s="4" t="s">
        <v>24</v>
      </c>
      <c r="B16" s="2" t="s">
        <v>25</v>
      </c>
    </row>
    <row r="17" customFormat="false" ht="15" hidden="false" customHeight="false" outlineLevel="0" collapsed="false">
      <c r="A17" s="2"/>
      <c r="B17" s="2"/>
    </row>
    <row r="18" customFormat="false" ht="23.85" hidden="false" customHeight="false" outlineLevel="0" collapsed="false">
      <c r="A18" s="3" t="s">
        <v>26</v>
      </c>
      <c r="B18" s="2" t="s">
        <v>27</v>
      </c>
    </row>
    <row r="19" customFormat="false" ht="15" hidden="false" customHeight="false" outlineLevel="0" collapsed="false">
      <c r="A19" s="3" t="s">
        <v>28</v>
      </c>
      <c r="B19" s="2" t="s">
        <v>29</v>
      </c>
    </row>
    <row r="20" customFormat="false" ht="15" hidden="false" customHeight="false" outlineLevel="0" collapsed="false">
      <c r="A20" s="2"/>
      <c r="B20" s="2"/>
    </row>
    <row r="21" customFormat="false" ht="23.85" hidden="false" customHeight="false" outlineLevel="0" collapsed="false">
      <c r="A21" s="3" t="s">
        <v>30</v>
      </c>
      <c r="B21" s="2" t="s">
        <v>31</v>
      </c>
    </row>
    <row r="22" customFormat="false" ht="35.05" hidden="false" customHeight="false" outlineLevel="0" collapsed="false">
      <c r="A22" s="3" t="s">
        <v>32</v>
      </c>
      <c r="B22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0"/>
    <col collapsed="false" customWidth="true" hidden="false" outlineLevel="0" max="4" min="4" style="0" width="60"/>
    <col collapsed="false" customWidth="true" hidden="false" outlineLevel="0" max="6" min="5" style="0" width="10"/>
    <col collapsed="false" customWidth="true" hidden="false" outlineLevel="0" max="7" min="7" style="0" width="34"/>
    <col collapsed="false" customWidth="true" hidden="false" outlineLevel="0" max="8" min="8" style="0" width="24"/>
    <col collapsed="false" customWidth="true" hidden="false" outlineLevel="0" max="9" min="9" style="0" width="50"/>
  </cols>
  <sheetData>
    <row r="1" customFormat="false" ht="31.5" hidden="false" customHeight="tru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</row>
    <row r="2" customFormat="false" ht="23.85" hidden="false" customHeight="fals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6" t="n">
        <f aca="false">COUNTIFS(Katalog!$B:$B,A2,Katalog!$Q:$Q,"&lt;&gt;Ishlamaydi*")+COUNTIFS(Katalog!$C:$C,"*"&amp;A2&amp;"*",Katalog!$Q:$Q,"&lt;&gt;Ishlamaydi*")</f>
        <v>3</v>
      </c>
      <c r="F2" s="6"/>
      <c r="G2" s="6"/>
      <c r="H2" s="6" t="str">
        <f aca="false">IF(G2&lt;&gt;"","Takroriy",IF(E2=0,"Yetishmaydi",IF(F2="ha","Qisman to‘ldirilgan","Mavjud, lekin tekshirilmagan")))</f>
        <v>Mavjud, lekin tekshirilmagan</v>
      </c>
      <c r="I2" s="6"/>
    </row>
    <row r="3" customFormat="false" ht="23.85" hidden="false" customHeight="false" outlineLevel="0" collapsed="false">
      <c r="A3" s="6" t="s">
        <v>47</v>
      </c>
      <c r="B3" s="6" t="s">
        <v>44</v>
      </c>
      <c r="C3" s="6" t="s">
        <v>45</v>
      </c>
      <c r="D3" s="6" t="s">
        <v>48</v>
      </c>
      <c r="E3" s="6" t="n">
        <f aca="false">COUNTIFS(Katalog!$B:$B,A3,Katalog!$Q:$Q,"&lt;&gt;Ishlamaydi*")+COUNTIFS(Katalog!$C:$C,"*"&amp;A3&amp;"*",Katalog!$Q:$Q,"&lt;&gt;Ishlamaydi*")</f>
        <v>3</v>
      </c>
      <c r="F3" s="6"/>
      <c r="G3" s="6"/>
      <c r="H3" s="6" t="str">
        <f aca="false">IF(G3&lt;&gt;"","Takroriy",IF(E3=0,"Yetishmaydi",IF(F3="ha","Qisman to‘ldirilgan","Mavjud, lekin tekshirilmagan")))</f>
        <v>Mavjud, lekin tekshirilmagan</v>
      </c>
      <c r="I3" s="6"/>
    </row>
    <row r="4" customFormat="false" ht="23.85" hidden="false" customHeight="false" outlineLevel="0" collapsed="false">
      <c r="A4" s="6" t="s">
        <v>49</v>
      </c>
      <c r="B4" s="6" t="s">
        <v>44</v>
      </c>
      <c r="C4" s="6" t="s">
        <v>45</v>
      </c>
      <c r="D4" s="6" t="s">
        <v>50</v>
      </c>
      <c r="E4" s="6" t="n">
        <f aca="false">COUNTIFS(Katalog!$B:$B,A4,Katalog!$Q:$Q,"&lt;&gt;Ishlamaydi*")+COUNTIFS(Katalog!$C:$C,"*"&amp;A4&amp;"*",Katalog!$Q:$Q,"&lt;&gt;Ishlamaydi*")</f>
        <v>2</v>
      </c>
      <c r="F4" s="6"/>
      <c r="G4" s="6"/>
      <c r="H4" s="6" t="str">
        <f aca="false">IF(G4&lt;&gt;"","Takroriy",IF(E4=0,"Yetishmaydi",IF(F4="ha","Qisman to‘ldirilgan","Mavjud, lekin tekshirilmagan")))</f>
        <v>Mavjud, lekin tekshirilmagan</v>
      </c>
      <c r="I4" s="6"/>
    </row>
    <row r="5" customFormat="false" ht="23.85" hidden="false" customHeight="false" outlineLevel="0" collapsed="false">
      <c r="A5" s="6" t="s">
        <v>51</v>
      </c>
      <c r="B5" s="6" t="s">
        <v>44</v>
      </c>
      <c r="C5" s="6" t="s">
        <v>45</v>
      </c>
      <c r="D5" s="6" t="s">
        <v>52</v>
      </c>
      <c r="E5" s="6" t="n">
        <f aca="false">COUNTIFS(Katalog!$B:$B,A5,Katalog!$Q:$Q,"&lt;&gt;Ishlamaydi*")+COUNTIFS(Katalog!$C:$C,"*"&amp;A5&amp;"*",Katalog!$Q:$Q,"&lt;&gt;Ishlamaydi*")</f>
        <v>1</v>
      </c>
      <c r="F5" s="6"/>
      <c r="G5" s="6"/>
      <c r="H5" s="6" t="str">
        <f aca="false">IF(G5&lt;&gt;"","Takroriy",IF(E5=0,"Yetishmaydi",IF(F5="ha","Qisman to‘ldirilgan","Mavjud, lekin tekshirilmagan")))</f>
        <v>Mavjud, lekin tekshirilmagan</v>
      </c>
      <c r="I5" s="6"/>
    </row>
    <row r="6" customFormat="false" ht="23.85" hidden="false" customHeight="false" outlineLevel="0" collapsed="false">
      <c r="A6" s="6" t="s">
        <v>53</v>
      </c>
      <c r="B6" s="6" t="s">
        <v>44</v>
      </c>
      <c r="C6" s="6" t="s">
        <v>45</v>
      </c>
      <c r="D6" s="6" t="s">
        <v>54</v>
      </c>
      <c r="E6" s="6" t="n">
        <f aca="false">COUNTIFS(Katalog!$B:$B,A6,Katalog!$Q:$Q,"&lt;&gt;Ishlamaydi*")+COUNTIFS(Katalog!$C:$C,"*"&amp;A6&amp;"*",Katalog!$Q:$Q,"&lt;&gt;Ishlamaydi*")</f>
        <v>1</v>
      </c>
      <c r="F6" s="6" t="s">
        <v>55</v>
      </c>
      <c r="G6" s="6"/>
      <c r="H6" s="6" t="str">
        <f aca="false">IF(G6&lt;&gt;"","Takroriy",IF(E6=0,"Yetishmaydi",IF(F6="ha","Qisman to‘ldirilgan","Mavjud, lekin tekshirilmagan")))</f>
        <v>Qisman to‘ldirilgan</v>
      </c>
      <c r="I6" s="6"/>
    </row>
    <row r="7" customFormat="false" ht="23.85" hidden="false" customHeight="false" outlineLevel="0" collapsed="false">
      <c r="A7" s="6" t="s">
        <v>56</v>
      </c>
      <c r="B7" s="6" t="s">
        <v>44</v>
      </c>
      <c r="C7" s="6" t="s">
        <v>57</v>
      </c>
      <c r="D7" s="6" t="s">
        <v>58</v>
      </c>
      <c r="E7" s="6" t="n">
        <f aca="false">COUNTIFS(Katalog!$B:$B,A7,Katalog!$Q:$Q,"&lt;&gt;Ishlamaydi*")+COUNTIFS(Katalog!$C:$C,"*"&amp;A7&amp;"*",Katalog!$Q:$Q,"&lt;&gt;Ishlamaydi*")</f>
        <v>1</v>
      </c>
      <c r="F7" s="6"/>
      <c r="G7" s="6"/>
      <c r="H7" s="6" t="str">
        <f aca="false">IF(G7&lt;&gt;"","Takroriy",IF(E7=0,"Yetishmaydi",IF(F7="ha","Qisman to‘ldirilgan","Mavjud, lekin tekshirilmagan")))</f>
        <v>Mavjud, lekin tekshirilmagan</v>
      </c>
      <c r="I7" s="6"/>
    </row>
    <row r="8" customFormat="false" ht="23.85" hidden="false" customHeight="false" outlineLevel="0" collapsed="false">
      <c r="A8" s="6" t="s">
        <v>59</v>
      </c>
      <c r="B8" s="6" t="s">
        <v>44</v>
      </c>
      <c r="C8" s="6" t="s">
        <v>57</v>
      </c>
      <c r="D8" s="6" t="s">
        <v>60</v>
      </c>
      <c r="E8" s="6" t="n">
        <f aca="false">COUNTIFS(Katalog!$B:$B,A8,Katalog!$Q:$Q,"&lt;&gt;Ishlamaydi*")+COUNTIFS(Katalog!$C:$C,"*"&amp;A8&amp;"*",Katalog!$Q:$Q,"&lt;&gt;Ishlamaydi*")</f>
        <v>3</v>
      </c>
      <c r="F8" s="6"/>
      <c r="G8" s="6"/>
      <c r="H8" s="6" t="str">
        <f aca="false">IF(G8&lt;&gt;"","Takroriy",IF(E8=0,"Yetishmaydi",IF(F8="ha","Qisman to‘ldirilgan","Mavjud, lekin tekshirilmagan")))</f>
        <v>Mavjud, lekin tekshirilmagan</v>
      </c>
      <c r="I8" s="6"/>
    </row>
    <row r="9" customFormat="false" ht="23.85" hidden="false" customHeight="false" outlineLevel="0" collapsed="false">
      <c r="A9" s="6" t="s">
        <v>61</v>
      </c>
      <c r="B9" s="6" t="s">
        <v>44</v>
      </c>
      <c r="C9" s="6" t="s">
        <v>57</v>
      </c>
      <c r="D9" s="6" t="s">
        <v>62</v>
      </c>
      <c r="E9" s="6" t="n">
        <f aca="false">COUNTIFS(Katalog!$B:$B,A9,Katalog!$Q:$Q,"&lt;&gt;Ishlamaydi*")+COUNTIFS(Katalog!$C:$C,"*"&amp;A9&amp;"*",Katalog!$Q:$Q,"&lt;&gt;Ishlamaydi*")</f>
        <v>1</v>
      </c>
      <c r="F9" s="6" t="s">
        <v>55</v>
      </c>
      <c r="G9" s="6"/>
      <c r="H9" s="6" t="str">
        <f aca="false">IF(G9&lt;&gt;"","Takroriy",IF(E9=0,"Yetishmaydi",IF(F9="ha","Qisman to‘ldirilgan","Mavjud, lekin tekshirilmagan")))</f>
        <v>Qisman to‘ldirilgan</v>
      </c>
      <c r="I9" s="6"/>
    </row>
    <row r="10" customFormat="false" ht="23.85" hidden="false" customHeight="false" outlineLevel="0" collapsed="false">
      <c r="A10" s="6" t="s">
        <v>63</v>
      </c>
      <c r="B10" s="6" t="s">
        <v>44</v>
      </c>
      <c r="C10" s="6" t="s">
        <v>57</v>
      </c>
      <c r="D10" s="6" t="s">
        <v>64</v>
      </c>
      <c r="E10" s="6" t="n">
        <f aca="false">COUNTIFS(Katalog!$B:$B,A10,Katalog!$Q:$Q,"&lt;&gt;Ishlamaydi*")+COUNTIFS(Katalog!$C:$C,"*"&amp;A10&amp;"*",Katalog!$Q:$Q,"&lt;&gt;Ishlamaydi*")</f>
        <v>4</v>
      </c>
      <c r="F10" s="6"/>
      <c r="G10" s="6"/>
      <c r="H10" s="6" t="str">
        <f aca="false">IF(G10&lt;&gt;"","Takroriy",IF(E10=0,"Yetishmaydi",IF(F10="ha","Qisman to‘ldirilgan","Mavjud, lekin tekshirilmagan")))</f>
        <v>Mavjud, lekin tekshirilmagan</v>
      </c>
      <c r="I10" s="6" t="s">
        <v>65</v>
      </c>
    </row>
    <row r="11" customFormat="false" ht="23.85" hidden="false" customHeight="false" outlineLevel="0" collapsed="false">
      <c r="A11" s="6" t="s">
        <v>66</v>
      </c>
      <c r="B11" s="6" t="s">
        <v>44</v>
      </c>
      <c r="C11" s="6" t="s">
        <v>57</v>
      </c>
      <c r="D11" s="6" t="s">
        <v>67</v>
      </c>
      <c r="E11" s="6" t="n">
        <f aca="false">COUNTIFS(Katalog!$B:$B,A11,Katalog!$Q:$Q,"&lt;&gt;Ishlamaydi*")+COUNTIFS(Katalog!$C:$C,"*"&amp;A11&amp;"*",Katalog!$Q:$Q,"&lt;&gt;Ishlamaydi*")</f>
        <v>3</v>
      </c>
      <c r="F11" s="6"/>
      <c r="G11" s="6"/>
      <c r="H11" s="6" t="str">
        <f aca="false">IF(G11&lt;&gt;"","Takroriy",IF(E11=0,"Yetishmaydi",IF(F11="ha","Qisman to‘ldirilgan","Mavjud, lekin tekshirilmagan")))</f>
        <v>Mavjud, lekin tekshirilmagan</v>
      </c>
      <c r="I11" s="6"/>
    </row>
    <row r="12" customFormat="false" ht="23.85" hidden="false" customHeight="false" outlineLevel="0" collapsed="false">
      <c r="A12" s="6" t="s">
        <v>68</v>
      </c>
      <c r="B12" s="6" t="s">
        <v>44</v>
      </c>
      <c r="C12" s="6" t="s">
        <v>57</v>
      </c>
      <c r="D12" s="6" t="s">
        <v>69</v>
      </c>
      <c r="E12" s="6" t="n">
        <f aca="false">COUNTIFS(Katalog!$B:$B,A12,Katalog!$Q:$Q,"&lt;&gt;Ishlamaydi*")+COUNTIFS(Katalog!$C:$C,"*"&amp;A12&amp;"*",Katalog!$Q:$Q,"&lt;&gt;Ishlamaydi*")</f>
        <v>1</v>
      </c>
      <c r="F12" s="6" t="s">
        <v>55</v>
      </c>
      <c r="G12" s="6"/>
      <c r="H12" s="6" t="str">
        <f aca="false">IF(G12&lt;&gt;"","Takroriy",IF(E12=0,"Yetishmaydi",IF(F12="ha","Qisman to‘ldirilgan","Mavjud, lekin tekshirilmagan")))</f>
        <v>Qisman to‘ldirilgan</v>
      </c>
      <c r="I12" s="6" t="s">
        <v>70</v>
      </c>
    </row>
    <row r="13" customFormat="false" ht="23.85" hidden="false" customHeight="false" outlineLevel="0" collapsed="false">
      <c r="A13" s="6" t="s">
        <v>71</v>
      </c>
      <c r="B13" s="6" t="s">
        <v>44</v>
      </c>
      <c r="C13" s="6" t="s">
        <v>57</v>
      </c>
      <c r="D13" s="6" t="s">
        <v>72</v>
      </c>
      <c r="E13" s="6" t="n">
        <f aca="false">COUNTIFS(Katalog!$B:$B,A13,Katalog!$Q:$Q,"&lt;&gt;Ishlamaydi*")+COUNTIFS(Katalog!$C:$C,"*"&amp;A13&amp;"*",Katalog!$Q:$Q,"&lt;&gt;Ishlamaydi*")</f>
        <v>2</v>
      </c>
      <c r="F13" s="6" t="s">
        <v>55</v>
      </c>
      <c r="G13" s="6"/>
      <c r="H13" s="6" t="str">
        <f aca="false">IF(G13&lt;&gt;"","Takroriy",IF(E13=0,"Yetishmaydi",IF(F13="ha","Qisman to‘ldirilgan","Mavjud, lekin tekshirilmagan")))</f>
        <v>Qisman to‘ldirilgan</v>
      </c>
      <c r="I13" s="6"/>
    </row>
    <row r="14" customFormat="false" ht="23.85" hidden="false" customHeight="false" outlineLevel="0" collapsed="false">
      <c r="A14" s="6" t="s">
        <v>73</v>
      </c>
      <c r="B14" s="6" t="s">
        <v>44</v>
      </c>
      <c r="C14" s="6" t="s">
        <v>74</v>
      </c>
      <c r="D14" s="6" t="s">
        <v>75</v>
      </c>
      <c r="E14" s="6" t="n">
        <f aca="false">COUNTIFS(Katalog!$B:$B,A14,Katalog!$Q:$Q,"&lt;&gt;Ishlamaydi*")+COUNTIFS(Katalog!$C:$C,"*"&amp;A14&amp;"*",Katalog!$Q:$Q,"&lt;&gt;Ishlamaydi*")</f>
        <v>3</v>
      </c>
      <c r="F14" s="6"/>
      <c r="G14" s="6"/>
      <c r="H14" s="6" t="str">
        <f aca="false">IF(G14&lt;&gt;"","Takroriy",IF(E14=0,"Yetishmaydi",IF(F14="ha","Qisman to‘ldirilgan","Mavjud, lekin tekshirilmagan")))</f>
        <v>Mavjud, lekin tekshirilmagan</v>
      </c>
      <c r="I14" s="6"/>
    </row>
    <row r="15" customFormat="false" ht="23.85" hidden="false" customHeight="false" outlineLevel="0" collapsed="false">
      <c r="A15" s="6" t="s">
        <v>76</v>
      </c>
      <c r="B15" s="6" t="s">
        <v>44</v>
      </c>
      <c r="C15" s="6" t="s">
        <v>74</v>
      </c>
      <c r="D15" s="6" t="s">
        <v>77</v>
      </c>
      <c r="E15" s="6" t="n">
        <f aca="false">COUNTIFS(Katalog!$B:$B,A15,Katalog!$Q:$Q,"&lt;&gt;Ishlamaydi*")+COUNTIFS(Katalog!$C:$C,"*"&amp;A15&amp;"*",Katalog!$Q:$Q,"&lt;&gt;Ishlamaydi*")</f>
        <v>5</v>
      </c>
      <c r="F15" s="6"/>
      <c r="G15" s="6"/>
      <c r="H15" s="6" t="str">
        <f aca="false">IF(G15&lt;&gt;"","Takroriy",IF(E15=0,"Yetishmaydi",IF(F15="ha","Qisman to‘ldirilgan","Mavjud, lekin tekshirilmagan")))</f>
        <v>Mavjud, lekin tekshirilmagan</v>
      </c>
      <c r="I15" s="6"/>
    </row>
    <row r="16" customFormat="false" ht="23.85" hidden="false" customHeight="false" outlineLevel="0" collapsed="false">
      <c r="A16" s="6" t="s">
        <v>78</v>
      </c>
      <c r="B16" s="6" t="s">
        <v>44</v>
      </c>
      <c r="C16" s="6" t="s">
        <v>74</v>
      </c>
      <c r="D16" s="6" t="s">
        <v>79</v>
      </c>
      <c r="E16" s="6" t="n">
        <f aca="false">COUNTIFS(Katalog!$B:$B,A16,Katalog!$Q:$Q,"&lt;&gt;Ishlamaydi*")+COUNTIFS(Katalog!$C:$C,"*"&amp;A16&amp;"*",Katalog!$Q:$Q,"&lt;&gt;Ishlamaydi*")</f>
        <v>3</v>
      </c>
      <c r="F16" s="6"/>
      <c r="G16" s="6"/>
      <c r="H16" s="6" t="str">
        <f aca="false">IF(G16&lt;&gt;"","Takroriy",IF(E16=0,"Yetishmaydi",IF(F16="ha","Qisman to‘ldirilgan","Mavjud, lekin tekshirilmagan")))</f>
        <v>Mavjud, lekin tekshirilmagan</v>
      </c>
      <c r="I16" s="6"/>
    </row>
    <row r="17" customFormat="false" ht="23.85" hidden="false" customHeight="false" outlineLevel="0" collapsed="false">
      <c r="A17" s="6" t="s">
        <v>80</v>
      </c>
      <c r="B17" s="6" t="s">
        <v>44</v>
      </c>
      <c r="C17" s="6" t="s">
        <v>74</v>
      </c>
      <c r="D17" s="6" t="s">
        <v>81</v>
      </c>
      <c r="E17" s="6" t="n">
        <f aca="false">COUNTIFS(Katalog!$B:$B,A17,Katalog!$Q:$Q,"&lt;&gt;Ishlamaydi*")+COUNTIFS(Katalog!$C:$C,"*"&amp;A17&amp;"*",Katalog!$Q:$Q,"&lt;&gt;Ishlamaydi*")</f>
        <v>1</v>
      </c>
      <c r="F17" s="6" t="s">
        <v>55</v>
      </c>
      <c r="G17" s="6"/>
      <c r="H17" s="6" t="str">
        <f aca="false">IF(G17&lt;&gt;"","Takroriy",IF(E17=0,"Yetishmaydi",IF(F17="ha","Qisman to‘ldirilgan","Mavjud, lekin tekshirilmagan")))</f>
        <v>Qisman to‘ldirilgan</v>
      </c>
      <c r="I17" s="6"/>
    </row>
    <row r="18" customFormat="false" ht="23.85" hidden="false" customHeight="false" outlineLevel="0" collapsed="false">
      <c r="A18" s="6" t="s">
        <v>82</v>
      </c>
      <c r="B18" s="6" t="s">
        <v>44</v>
      </c>
      <c r="C18" s="6" t="s">
        <v>74</v>
      </c>
      <c r="D18" s="6" t="s">
        <v>83</v>
      </c>
      <c r="E18" s="6" t="n">
        <f aca="false">COUNTIFS(Katalog!$B:$B,A18,Katalog!$Q:$Q,"&lt;&gt;Ishlamaydi*")+COUNTIFS(Katalog!$C:$C,"*"&amp;A18&amp;"*",Katalog!$Q:$Q,"&lt;&gt;Ishlamaydi*")</f>
        <v>3</v>
      </c>
      <c r="F18" s="6"/>
      <c r="G18" s="6"/>
      <c r="H18" s="6" t="str">
        <f aca="false">IF(G18&lt;&gt;"","Takroriy",IF(E18=0,"Yetishmaydi",IF(F18="ha","Qisman to‘ldirilgan","Mavjud, lekin tekshirilmagan")))</f>
        <v>Mavjud, lekin tekshirilmagan</v>
      </c>
      <c r="I18" s="6"/>
    </row>
    <row r="19" customFormat="false" ht="23.85" hidden="false" customHeight="false" outlineLevel="0" collapsed="false">
      <c r="A19" s="6" t="s">
        <v>84</v>
      </c>
      <c r="B19" s="6" t="s">
        <v>44</v>
      </c>
      <c r="C19" s="6" t="s">
        <v>74</v>
      </c>
      <c r="D19" s="6" t="s">
        <v>85</v>
      </c>
      <c r="E19" s="6" t="n">
        <f aca="false">COUNTIFS(Katalog!$B:$B,A19,Katalog!$Q:$Q,"&lt;&gt;Ishlamaydi*")+COUNTIFS(Katalog!$C:$C,"*"&amp;A19&amp;"*",Katalog!$Q:$Q,"&lt;&gt;Ishlamaydi*")</f>
        <v>1</v>
      </c>
      <c r="F19" s="6"/>
      <c r="G19" s="6"/>
      <c r="H19" s="6" t="str">
        <f aca="false">IF(G19&lt;&gt;"","Takroriy",IF(E19=0,"Yetishmaydi",IF(F19="ha","Qisman to‘ldirilgan","Mavjud, lekin tekshirilmagan")))</f>
        <v>Mavjud, lekin tekshirilmagan</v>
      </c>
      <c r="I19" s="6"/>
    </row>
    <row r="20" customFormat="false" ht="23.85" hidden="false" customHeight="false" outlineLevel="0" collapsed="false">
      <c r="A20" s="6" t="s">
        <v>86</v>
      </c>
      <c r="B20" s="6" t="s">
        <v>44</v>
      </c>
      <c r="C20" s="6" t="s">
        <v>87</v>
      </c>
      <c r="D20" s="6" t="s">
        <v>88</v>
      </c>
      <c r="E20" s="6" t="n">
        <f aca="false">COUNTIFS(Katalog!$B:$B,A20,Katalog!$Q:$Q,"&lt;&gt;Ishlamaydi*")+COUNTIFS(Katalog!$C:$C,"*"&amp;A20&amp;"*",Katalog!$Q:$Q,"&lt;&gt;Ishlamaydi*")</f>
        <v>2</v>
      </c>
      <c r="F20" s="6"/>
      <c r="G20" s="6"/>
      <c r="H20" s="6" t="str">
        <f aca="false">IF(G20&lt;&gt;"","Takroriy",IF(E20=0,"Yetishmaydi",IF(F20="ha","Qisman to‘ldirilgan","Mavjud, lekin tekshirilmagan")))</f>
        <v>Mavjud, lekin tekshirilmagan</v>
      </c>
      <c r="I20" s="6"/>
    </row>
    <row r="21" customFormat="false" ht="23.85" hidden="false" customHeight="false" outlineLevel="0" collapsed="false">
      <c r="A21" s="6" t="s">
        <v>89</v>
      </c>
      <c r="B21" s="6" t="s">
        <v>44</v>
      </c>
      <c r="C21" s="6" t="s">
        <v>87</v>
      </c>
      <c r="D21" s="6" t="s">
        <v>90</v>
      </c>
      <c r="E21" s="6" t="n">
        <f aca="false">COUNTIFS(Katalog!$B:$B,A21,Katalog!$Q:$Q,"&lt;&gt;Ishlamaydi*")+COUNTIFS(Katalog!$C:$C,"*"&amp;A21&amp;"*",Katalog!$Q:$Q,"&lt;&gt;Ishlamaydi*")</f>
        <v>1</v>
      </c>
      <c r="F21" s="6"/>
      <c r="G21" s="6"/>
      <c r="H21" s="6" t="str">
        <f aca="false">IF(G21&lt;&gt;"","Takroriy",IF(E21=0,"Yetishmaydi",IF(F21="ha","Qisman to‘ldirilgan","Mavjud, lekin tekshirilmagan")))</f>
        <v>Mavjud, lekin tekshirilmagan</v>
      </c>
      <c r="I21" s="6"/>
    </row>
    <row r="22" customFormat="false" ht="23.85" hidden="false" customHeight="false" outlineLevel="0" collapsed="false">
      <c r="A22" s="6" t="s">
        <v>91</v>
      </c>
      <c r="B22" s="6" t="s">
        <v>44</v>
      </c>
      <c r="C22" s="6" t="s">
        <v>87</v>
      </c>
      <c r="D22" s="6" t="s">
        <v>92</v>
      </c>
      <c r="E22" s="6" t="n">
        <f aca="false">COUNTIFS(Katalog!$B:$B,A22,Katalog!$Q:$Q,"&lt;&gt;Ishlamaydi*")+COUNTIFS(Katalog!$C:$C,"*"&amp;A22&amp;"*",Katalog!$Q:$Q,"&lt;&gt;Ishlamaydi*")</f>
        <v>2</v>
      </c>
      <c r="F22" s="6" t="s">
        <v>55</v>
      </c>
      <c r="G22" s="6"/>
      <c r="H22" s="6" t="str">
        <f aca="false">IF(G22&lt;&gt;"","Takroriy",IF(E22=0,"Yetishmaydi",IF(F22="ha","Qisman to‘ldirilgan","Mavjud, lekin tekshirilmagan")))</f>
        <v>Qisman to‘ldirilgan</v>
      </c>
      <c r="I22" s="6"/>
    </row>
    <row r="23" customFormat="false" ht="23.85" hidden="false" customHeight="false" outlineLevel="0" collapsed="false">
      <c r="A23" s="6" t="s">
        <v>93</v>
      </c>
      <c r="B23" s="6" t="s">
        <v>44</v>
      </c>
      <c r="C23" s="6" t="s">
        <v>87</v>
      </c>
      <c r="D23" s="6" t="s">
        <v>94</v>
      </c>
      <c r="E23" s="6" t="n">
        <f aca="false">COUNTIFS(Katalog!$B:$B,A23,Katalog!$Q:$Q,"&lt;&gt;Ishlamaydi*")+COUNTIFS(Katalog!$C:$C,"*"&amp;A23&amp;"*",Katalog!$Q:$Q,"&lt;&gt;Ishlamaydi*")</f>
        <v>2</v>
      </c>
      <c r="F23" s="6" t="s">
        <v>55</v>
      </c>
      <c r="G23" s="6"/>
      <c r="H23" s="6" t="str">
        <f aca="false">IF(G23&lt;&gt;"","Takroriy",IF(E23=0,"Yetishmaydi",IF(F23="ha","Qisman to‘ldirilgan","Mavjud, lekin tekshirilmagan")))</f>
        <v>Qisman to‘ldirilgan</v>
      </c>
      <c r="I23" s="6"/>
    </row>
    <row r="24" customFormat="false" ht="23.85" hidden="false" customHeight="false" outlineLevel="0" collapsed="false">
      <c r="A24" s="6" t="s">
        <v>95</v>
      </c>
      <c r="B24" s="6" t="s">
        <v>44</v>
      </c>
      <c r="C24" s="6" t="s">
        <v>87</v>
      </c>
      <c r="D24" s="6" t="s">
        <v>96</v>
      </c>
      <c r="E24" s="6" t="n">
        <f aca="false">COUNTIFS(Katalog!$B:$B,A24,Katalog!$Q:$Q,"&lt;&gt;Ishlamaydi*")+COUNTIFS(Katalog!$C:$C,"*"&amp;A24&amp;"*",Katalog!$Q:$Q,"&lt;&gt;Ishlamaydi*")</f>
        <v>2</v>
      </c>
      <c r="F24" s="6"/>
      <c r="G24" s="6"/>
      <c r="H24" s="6" t="str">
        <f aca="false">IF(G24&lt;&gt;"","Takroriy",IF(E24=0,"Yetishmaydi",IF(F24="ha","Qisman to‘ldirilgan","Mavjud, lekin tekshirilmagan")))</f>
        <v>Mavjud, lekin tekshirilmagan</v>
      </c>
      <c r="I24" s="6" t="s">
        <v>97</v>
      </c>
    </row>
    <row r="25" customFormat="false" ht="23.85" hidden="false" customHeight="false" outlineLevel="0" collapsed="false">
      <c r="A25" s="6" t="s">
        <v>98</v>
      </c>
      <c r="B25" s="6" t="s">
        <v>44</v>
      </c>
      <c r="C25" s="6" t="s">
        <v>87</v>
      </c>
      <c r="D25" s="6" t="s">
        <v>99</v>
      </c>
      <c r="E25" s="6" t="n">
        <f aca="false">COUNTIFS(Katalog!$B:$B,A25,Katalog!$Q:$Q,"&lt;&gt;Ishlamaydi*")+COUNTIFS(Katalog!$C:$C,"*"&amp;A25&amp;"*",Katalog!$Q:$Q,"&lt;&gt;Ishlamaydi*")</f>
        <v>3</v>
      </c>
      <c r="F25" s="6"/>
      <c r="G25" s="6"/>
      <c r="H25" s="6" t="str">
        <f aca="false">IF(G25&lt;&gt;"","Takroriy",IF(E25=0,"Yetishmaydi",IF(F25="ha","Qisman to‘ldirilgan","Mavjud, lekin tekshirilmagan")))</f>
        <v>Mavjud, lekin tekshirilmagan</v>
      </c>
      <c r="I25" s="6"/>
    </row>
    <row r="26" customFormat="false" ht="23.85" hidden="false" customHeight="false" outlineLevel="0" collapsed="false">
      <c r="A26" s="6" t="s">
        <v>100</v>
      </c>
      <c r="B26" s="6" t="s">
        <v>44</v>
      </c>
      <c r="C26" s="6" t="s">
        <v>101</v>
      </c>
      <c r="D26" s="6" t="s">
        <v>102</v>
      </c>
      <c r="E26" s="6" t="n">
        <f aca="false">COUNTIFS(Katalog!$B:$B,A26,Katalog!$Q:$Q,"&lt;&gt;Ishlamaydi*")+COUNTIFS(Katalog!$C:$C,"*"&amp;A26&amp;"*",Katalog!$Q:$Q,"&lt;&gt;Ishlamaydi*")</f>
        <v>1</v>
      </c>
      <c r="F26" s="6"/>
      <c r="G26" s="6"/>
      <c r="H26" s="6" t="str">
        <f aca="false">IF(G26&lt;&gt;"","Takroriy",IF(E26=0,"Yetishmaydi",IF(F26="ha","Qisman to‘ldirilgan","Mavjud, lekin tekshirilmagan")))</f>
        <v>Mavjud, lekin tekshirilmagan</v>
      </c>
      <c r="I26" s="6"/>
    </row>
    <row r="27" customFormat="false" ht="23.85" hidden="false" customHeight="false" outlineLevel="0" collapsed="false">
      <c r="A27" s="6" t="s">
        <v>103</v>
      </c>
      <c r="B27" s="6" t="s">
        <v>44</v>
      </c>
      <c r="C27" s="6" t="s">
        <v>101</v>
      </c>
      <c r="D27" s="6" t="s">
        <v>104</v>
      </c>
      <c r="E27" s="6" t="n">
        <f aca="false">COUNTIFS(Katalog!$B:$B,A27,Katalog!$Q:$Q,"&lt;&gt;Ishlamaydi*")+COUNTIFS(Katalog!$C:$C,"*"&amp;A27&amp;"*",Katalog!$Q:$Q,"&lt;&gt;Ishlamaydi*")</f>
        <v>2</v>
      </c>
      <c r="F27" s="6"/>
      <c r="G27" s="6"/>
      <c r="H27" s="6" t="str">
        <f aca="false">IF(G27&lt;&gt;"","Takroriy",IF(E27=0,"Yetishmaydi",IF(F27="ha","Qisman to‘ldirilgan","Mavjud, lekin tekshirilmagan")))</f>
        <v>Mavjud, lekin tekshirilmagan</v>
      </c>
      <c r="I27" s="6"/>
    </row>
    <row r="28" customFormat="false" ht="23.85" hidden="false" customHeight="false" outlineLevel="0" collapsed="false">
      <c r="A28" s="6" t="s">
        <v>105</v>
      </c>
      <c r="B28" s="6" t="s">
        <v>44</v>
      </c>
      <c r="C28" s="6" t="s">
        <v>101</v>
      </c>
      <c r="D28" s="6" t="s">
        <v>106</v>
      </c>
      <c r="E28" s="6" t="n">
        <f aca="false">COUNTIFS(Katalog!$B:$B,A28,Katalog!$Q:$Q,"&lt;&gt;Ishlamaydi*")+COUNTIFS(Katalog!$C:$C,"*"&amp;A28&amp;"*",Katalog!$Q:$Q,"&lt;&gt;Ishlamaydi*")</f>
        <v>1</v>
      </c>
      <c r="F28" s="6"/>
      <c r="G28" s="6"/>
      <c r="H28" s="6" t="str">
        <f aca="false">IF(G28&lt;&gt;"","Takroriy",IF(E28=0,"Yetishmaydi",IF(F28="ha","Qisman to‘ldirilgan","Mavjud, lekin tekshirilmagan")))</f>
        <v>Mavjud, lekin tekshirilmagan</v>
      </c>
      <c r="I28" s="6"/>
    </row>
    <row r="29" customFormat="false" ht="23.85" hidden="false" customHeight="false" outlineLevel="0" collapsed="false">
      <c r="A29" s="6" t="s">
        <v>107</v>
      </c>
      <c r="B29" s="6" t="s">
        <v>44</v>
      </c>
      <c r="C29" s="6" t="s">
        <v>101</v>
      </c>
      <c r="D29" s="6" t="s">
        <v>108</v>
      </c>
      <c r="E29" s="6" t="n">
        <f aca="false">COUNTIFS(Katalog!$B:$B,A29,Katalog!$Q:$Q,"&lt;&gt;Ishlamaydi*")+COUNTIFS(Katalog!$C:$C,"*"&amp;A29&amp;"*",Katalog!$Q:$Q,"&lt;&gt;Ishlamaydi*")</f>
        <v>1</v>
      </c>
      <c r="F29" s="6"/>
      <c r="G29" s="6"/>
      <c r="H29" s="6" t="str">
        <f aca="false">IF(G29&lt;&gt;"","Takroriy",IF(E29=0,"Yetishmaydi",IF(F29="ha","Qisman to‘ldirilgan","Mavjud, lekin tekshirilmagan")))</f>
        <v>Mavjud, lekin tekshirilmagan</v>
      </c>
      <c r="I29" s="6"/>
    </row>
    <row r="30" customFormat="false" ht="23.85" hidden="false" customHeight="false" outlineLevel="0" collapsed="false">
      <c r="A30" s="6" t="s">
        <v>109</v>
      </c>
      <c r="B30" s="6" t="s">
        <v>44</v>
      </c>
      <c r="C30" s="6" t="s">
        <v>101</v>
      </c>
      <c r="D30" s="6" t="s">
        <v>110</v>
      </c>
      <c r="E30" s="6" t="n">
        <f aca="false">COUNTIFS(Katalog!$B:$B,A30,Katalog!$Q:$Q,"&lt;&gt;Ishlamaydi*")+COUNTIFS(Katalog!$C:$C,"*"&amp;A30&amp;"*",Katalog!$Q:$Q,"&lt;&gt;Ishlamaydi*")</f>
        <v>1</v>
      </c>
      <c r="F30" s="6" t="s">
        <v>55</v>
      </c>
      <c r="G30" s="6"/>
      <c r="H30" s="6" t="str">
        <f aca="false">IF(G30&lt;&gt;"","Takroriy",IF(E30=0,"Yetishmaydi",IF(F30="ha","Qisman to‘ldirilgan","Mavjud, lekin tekshirilmagan")))</f>
        <v>Qisman to‘ldirilgan</v>
      </c>
      <c r="I30" s="6"/>
    </row>
    <row r="31" customFormat="false" ht="23.85" hidden="false" customHeight="false" outlineLevel="0" collapsed="false">
      <c r="A31" s="6" t="s">
        <v>111</v>
      </c>
      <c r="B31" s="6" t="s">
        <v>44</v>
      </c>
      <c r="C31" s="6" t="s">
        <v>101</v>
      </c>
      <c r="D31" s="6" t="s">
        <v>112</v>
      </c>
      <c r="E31" s="6" t="n">
        <f aca="false">COUNTIFS(Katalog!$B:$B,A31,Katalog!$Q:$Q,"&lt;&gt;Ishlamaydi*")+COUNTIFS(Katalog!$C:$C,"*"&amp;A31&amp;"*",Katalog!$Q:$Q,"&lt;&gt;Ishlamaydi*")</f>
        <v>3</v>
      </c>
      <c r="F31" s="6"/>
      <c r="G31" s="6"/>
      <c r="H31" s="6" t="str">
        <f aca="false">IF(G31&lt;&gt;"","Takroriy",IF(E31=0,"Yetishmaydi",IF(F31="ha","Qisman to‘ldirilgan","Mavjud, lekin tekshirilmagan")))</f>
        <v>Mavjud, lekin tekshirilmagan</v>
      </c>
      <c r="I31" s="6"/>
    </row>
    <row r="32" customFormat="false" ht="23.85" hidden="false" customHeight="false" outlineLevel="0" collapsed="false">
      <c r="A32" s="6" t="s">
        <v>113</v>
      </c>
      <c r="B32" s="6" t="s">
        <v>44</v>
      </c>
      <c r="C32" s="6" t="s">
        <v>101</v>
      </c>
      <c r="D32" s="6" t="s">
        <v>114</v>
      </c>
      <c r="E32" s="6" t="n">
        <f aca="false">COUNTIFS(Katalog!$B:$B,A32,Katalog!$Q:$Q,"&lt;&gt;Ishlamaydi*")+COUNTIFS(Katalog!$C:$C,"*"&amp;A32&amp;"*",Katalog!$Q:$Q,"&lt;&gt;Ishlamaydi*")</f>
        <v>1</v>
      </c>
      <c r="F32" s="6" t="s">
        <v>55</v>
      </c>
      <c r="G32" s="6" t="s">
        <v>115</v>
      </c>
      <c r="H32" s="6" t="str">
        <f aca="false">IF(G32&lt;&gt;"","Takroriy",IF(E32=0,"Yetishmaydi",IF(F32="ha","Qisman to‘ldirilgan","Mavjud, lekin tekshirilmagan")))</f>
        <v>Takroriy</v>
      </c>
      <c r="I32" s="6"/>
    </row>
    <row r="33" customFormat="false" ht="23.85" hidden="false" customHeight="false" outlineLevel="0" collapsed="false">
      <c r="A33" s="6" t="s">
        <v>116</v>
      </c>
      <c r="B33" s="6" t="s">
        <v>44</v>
      </c>
      <c r="C33" s="6" t="s">
        <v>117</v>
      </c>
      <c r="D33" s="6" t="s">
        <v>118</v>
      </c>
      <c r="E33" s="6" t="n">
        <f aca="false">COUNTIFS(Katalog!$B:$B,A33,Katalog!$Q:$Q,"&lt;&gt;Ishlamaydi*")+COUNTIFS(Katalog!$C:$C,"*"&amp;A33&amp;"*",Katalog!$Q:$Q,"&lt;&gt;Ishlamaydi*")</f>
        <v>1</v>
      </c>
      <c r="F33" s="6"/>
      <c r="G33" s="6"/>
      <c r="H33" s="6" t="str">
        <f aca="false">IF(G33&lt;&gt;"","Takroriy",IF(E33=0,"Yetishmaydi",IF(F33="ha","Qisman to‘ldirilgan","Mavjud, lekin tekshirilmagan")))</f>
        <v>Mavjud, lekin tekshirilmagan</v>
      </c>
      <c r="I33" s="6"/>
    </row>
    <row r="34" customFormat="false" ht="23.85" hidden="false" customHeight="false" outlineLevel="0" collapsed="false">
      <c r="A34" s="6" t="s">
        <v>119</v>
      </c>
      <c r="B34" s="6" t="s">
        <v>44</v>
      </c>
      <c r="C34" s="6" t="s">
        <v>117</v>
      </c>
      <c r="D34" s="6" t="s">
        <v>120</v>
      </c>
      <c r="E34" s="6" t="n">
        <f aca="false">COUNTIFS(Katalog!$B:$B,A34,Katalog!$Q:$Q,"&lt;&gt;Ishlamaydi*")+COUNTIFS(Katalog!$C:$C,"*"&amp;A34&amp;"*",Katalog!$Q:$Q,"&lt;&gt;Ishlamaydi*")</f>
        <v>2</v>
      </c>
      <c r="F34" s="6"/>
      <c r="G34" s="6"/>
      <c r="H34" s="6" t="str">
        <f aca="false">IF(G34&lt;&gt;"","Takroriy",IF(E34=0,"Yetishmaydi",IF(F34="ha","Qisman to‘ldirilgan","Mavjud, lekin tekshirilmagan")))</f>
        <v>Mavjud, lekin tekshirilmagan</v>
      </c>
      <c r="I34" s="6"/>
    </row>
    <row r="35" customFormat="false" ht="23.85" hidden="false" customHeight="false" outlineLevel="0" collapsed="false">
      <c r="A35" s="6" t="s">
        <v>121</v>
      </c>
      <c r="B35" s="6" t="s">
        <v>44</v>
      </c>
      <c r="C35" s="6" t="s">
        <v>117</v>
      </c>
      <c r="D35" s="6" t="s">
        <v>122</v>
      </c>
      <c r="E35" s="6" t="n">
        <f aca="false">COUNTIFS(Katalog!$B:$B,A35,Katalog!$Q:$Q,"&lt;&gt;Ishlamaydi*")+COUNTIFS(Katalog!$C:$C,"*"&amp;A35&amp;"*",Katalog!$Q:$Q,"&lt;&gt;Ishlamaydi*")</f>
        <v>1</v>
      </c>
      <c r="F35" s="6"/>
      <c r="G35" s="6"/>
      <c r="H35" s="6" t="str">
        <f aca="false">IF(G35&lt;&gt;"","Takroriy",IF(E35=0,"Yetishmaydi",IF(F35="ha","Qisman to‘ldirilgan","Mavjud, lekin tekshirilmagan")))</f>
        <v>Mavjud, lekin tekshirilmagan</v>
      </c>
      <c r="I35" s="6"/>
    </row>
    <row r="36" customFormat="false" ht="23.85" hidden="false" customHeight="false" outlineLevel="0" collapsed="false">
      <c r="A36" s="6" t="s">
        <v>123</v>
      </c>
      <c r="B36" s="6" t="s">
        <v>44</v>
      </c>
      <c r="C36" s="6" t="s">
        <v>117</v>
      </c>
      <c r="D36" s="6" t="s">
        <v>124</v>
      </c>
      <c r="E36" s="6" t="n">
        <f aca="false">COUNTIFS(Katalog!$B:$B,A36,Katalog!$Q:$Q,"&lt;&gt;Ishlamaydi*")+COUNTIFS(Katalog!$C:$C,"*"&amp;A36&amp;"*",Katalog!$Q:$Q,"&lt;&gt;Ishlamaydi*")</f>
        <v>1</v>
      </c>
      <c r="F36" s="6" t="s">
        <v>55</v>
      </c>
      <c r="G36" s="6"/>
      <c r="H36" s="6" t="str">
        <f aca="false">IF(G36&lt;&gt;"","Takroriy",IF(E36=0,"Yetishmaydi",IF(F36="ha","Qisman to‘ldirilgan","Mavjud, lekin tekshirilmagan")))</f>
        <v>Qisman to‘ldirilgan</v>
      </c>
      <c r="I36" s="6"/>
    </row>
    <row r="37" customFormat="false" ht="35.05" hidden="false" customHeight="false" outlineLevel="0" collapsed="false">
      <c r="A37" s="6" t="s">
        <v>125</v>
      </c>
      <c r="B37" s="6" t="s">
        <v>44</v>
      </c>
      <c r="C37" s="6" t="s">
        <v>117</v>
      </c>
      <c r="D37" s="6" t="s">
        <v>126</v>
      </c>
      <c r="E37" s="6" t="n">
        <f aca="false">COUNTIFS(Katalog!$B:$B,A37,Katalog!$Q:$Q,"&lt;&gt;Ishlamaydi*")+COUNTIFS(Katalog!$C:$C,"*"&amp;A37&amp;"*",Katalog!$Q:$Q,"&lt;&gt;Ishlamaydi*")</f>
        <v>1</v>
      </c>
      <c r="F37" s="6" t="s">
        <v>55</v>
      </c>
      <c r="G37" s="6" t="s">
        <v>127</v>
      </c>
      <c r="H37" s="6" t="str">
        <f aca="false">IF(G37&lt;&gt;"","Takroriy",IF(E37=0,"Yetishmaydi",IF(F37="ha","Qisman to‘ldirilgan","Mavjud, lekin tekshirilmagan")))</f>
        <v>Takroriy</v>
      </c>
      <c r="I37" s="6"/>
    </row>
    <row r="38" customFormat="false" ht="23.85" hidden="false" customHeight="false" outlineLevel="0" collapsed="false">
      <c r="A38" s="6" t="s">
        <v>128</v>
      </c>
      <c r="B38" s="6" t="s">
        <v>44</v>
      </c>
      <c r="C38" s="6" t="s">
        <v>117</v>
      </c>
      <c r="D38" s="6" t="s">
        <v>129</v>
      </c>
      <c r="E38" s="6" t="n">
        <f aca="false">COUNTIFS(Katalog!$B:$B,A38,Katalog!$Q:$Q,"&lt;&gt;Ishlamaydi*")+COUNTIFS(Katalog!$C:$C,"*"&amp;A38&amp;"*",Katalog!$Q:$Q,"&lt;&gt;Ishlamaydi*")</f>
        <v>1</v>
      </c>
      <c r="F38" s="6" t="s">
        <v>55</v>
      </c>
      <c r="G38" s="6"/>
      <c r="H38" s="6" t="str">
        <f aca="false">IF(G38&lt;&gt;"","Takroriy",IF(E38=0,"Yetishmaydi",IF(F38="ha","Qisman to‘ldirilgan","Mavjud, lekin tekshirilmagan")))</f>
        <v>Qisman to‘ldirilgan</v>
      </c>
      <c r="I38" s="6" t="s">
        <v>130</v>
      </c>
    </row>
    <row r="39" customFormat="false" ht="23.85" hidden="false" customHeight="false" outlineLevel="0" collapsed="false">
      <c r="A39" s="6" t="s">
        <v>131</v>
      </c>
      <c r="B39" s="6" t="s">
        <v>132</v>
      </c>
      <c r="C39" s="6" t="s">
        <v>133</v>
      </c>
      <c r="D39" s="6" t="s">
        <v>134</v>
      </c>
      <c r="E39" s="6" t="n">
        <f aca="false">COUNTIFS(Katalog!$B:$B,A39,Katalog!$Q:$Q,"&lt;&gt;Ishlamaydi*")+COUNTIFS(Katalog!$C:$C,"*"&amp;A39&amp;"*",Katalog!$Q:$Q,"&lt;&gt;Ishlamaydi*")</f>
        <v>1</v>
      </c>
      <c r="F39" s="6"/>
      <c r="G39" s="6"/>
      <c r="H39" s="6" t="str">
        <f aca="false">IF(G39&lt;&gt;"","Takroriy",IF(E39=0,"Yetishmaydi",IF(F39="ha","Qisman to‘ldirilgan","Mavjud, lekin tekshirilmagan")))</f>
        <v>Mavjud, lekin tekshirilmagan</v>
      </c>
      <c r="I39" s="6"/>
    </row>
    <row r="40" customFormat="false" ht="23.85" hidden="false" customHeight="false" outlineLevel="0" collapsed="false">
      <c r="A40" s="6" t="s">
        <v>135</v>
      </c>
      <c r="B40" s="6" t="s">
        <v>132</v>
      </c>
      <c r="C40" s="6" t="s">
        <v>133</v>
      </c>
      <c r="D40" s="6" t="s">
        <v>136</v>
      </c>
      <c r="E40" s="6" t="n">
        <f aca="false">COUNTIFS(Katalog!$B:$B,A40,Katalog!$Q:$Q,"&lt;&gt;Ishlamaydi*")+COUNTIFS(Katalog!$C:$C,"*"&amp;A40&amp;"*",Katalog!$Q:$Q,"&lt;&gt;Ishlamaydi*")</f>
        <v>1</v>
      </c>
      <c r="F40" s="6"/>
      <c r="G40" s="6"/>
      <c r="H40" s="6" t="str">
        <f aca="false">IF(G40&lt;&gt;"","Takroriy",IF(E40=0,"Yetishmaydi",IF(F40="ha","Qisman to‘ldirilgan","Mavjud, lekin tekshirilmagan")))</f>
        <v>Mavjud, lekin tekshirilmagan</v>
      </c>
      <c r="I40" s="6"/>
    </row>
    <row r="41" customFormat="false" ht="23.85" hidden="false" customHeight="false" outlineLevel="0" collapsed="false">
      <c r="A41" s="6" t="s">
        <v>137</v>
      </c>
      <c r="B41" s="6" t="s">
        <v>132</v>
      </c>
      <c r="C41" s="6" t="s">
        <v>133</v>
      </c>
      <c r="D41" s="6" t="s">
        <v>138</v>
      </c>
      <c r="E41" s="6" t="n">
        <f aca="false">COUNTIFS(Katalog!$B:$B,A41,Katalog!$Q:$Q,"&lt;&gt;Ishlamaydi*")+COUNTIFS(Katalog!$C:$C,"*"&amp;A41&amp;"*",Katalog!$Q:$Q,"&lt;&gt;Ishlamaydi*")</f>
        <v>2</v>
      </c>
      <c r="F41" s="6"/>
      <c r="G41" s="6"/>
      <c r="H41" s="6" t="str">
        <f aca="false">IF(G41&lt;&gt;"","Takroriy",IF(E41=0,"Yetishmaydi",IF(F41="ha","Qisman to‘ldirilgan","Mavjud, lekin tekshirilmagan")))</f>
        <v>Mavjud, lekin tekshirilmagan</v>
      </c>
      <c r="I41" s="6"/>
    </row>
    <row r="42" customFormat="false" ht="23.85" hidden="false" customHeight="false" outlineLevel="0" collapsed="false">
      <c r="A42" s="6" t="s">
        <v>139</v>
      </c>
      <c r="B42" s="6" t="s">
        <v>132</v>
      </c>
      <c r="C42" s="6" t="s">
        <v>133</v>
      </c>
      <c r="D42" s="6" t="s">
        <v>140</v>
      </c>
      <c r="E42" s="6" t="n">
        <f aca="false">COUNTIFS(Katalog!$B:$B,A42,Katalog!$Q:$Q,"&lt;&gt;Ishlamaydi*")+COUNTIFS(Katalog!$C:$C,"*"&amp;A42&amp;"*",Katalog!$Q:$Q,"&lt;&gt;Ishlamaydi*")</f>
        <v>3</v>
      </c>
      <c r="F42" s="6"/>
      <c r="G42" s="6"/>
      <c r="H42" s="6" t="str">
        <f aca="false">IF(G42&lt;&gt;"","Takroriy",IF(E42=0,"Yetishmaydi",IF(F42="ha","Qisman to‘ldirilgan","Mavjud, lekin tekshirilmagan")))</f>
        <v>Mavjud, lekin tekshirilmagan</v>
      </c>
      <c r="I42" s="6"/>
    </row>
    <row r="43" customFormat="false" ht="23.85" hidden="false" customHeight="false" outlineLevel="0" collapsed="false">
      <c r="A43" s="6" t="s">
        <v>141</v>
      </c>
      <c r="B43" s="6" t="s">
        <v>132</v>
      </c>
      <c r="C43" s="6" t="s">
        <v>133</v>
      </c>
      <c r="D43" s="6" t="s">
        <v>142</v>
      </c>
      <c r="E43" s="6" t="n">
        <f aca="false">COUNTIFS(Katalog!$B:$B,A43,Katalog!$Q:$Q,"&lt;&gt;Ishlamaydi*")+COUNTIFS(Katalog!$C:$C,"*"&amp;A43&amp;"*",Katalog!$Q:$Q,"&lt;&gt;Ishlamaydi*")</f>
        <v>2</v>
      </c>
      <c r="F43" s="6"/>
      <c r="G43" s="6"/>
      <c r="H43" s="6" t="str">
        <f aca="false">IF(G43&lt;&gt;"","Takroriy",IF(E43=0,"Yetishmaydi",IF(F43="ha","Qisman to‘ldirilgan","Mavjud, lekin tekshirilmagan")))</f>
        <v>Mavjud, lekin tekshirilmagan</v>
      </c>
      <c r="I43" s="6"/>
    </row>
    <row r="44" customFormat="false" ht="23.85" hidden="false" customHeight="false" outlineLevel="0" collapsed="false">
      <c r="A44" s="6" t="s">
        <v>143</v>
      </c>
      <c r="B44" s="6" t="s">
        <v>132</v>
      </c>
      <c r="C44" s="6" t="s">
        <v>133</v>
      </c>
      <c r="D44" s="6" t="s">
        <v>144</v>
      </c>
      <c r="E44" s="6" t="n">
        <f aca="false">COUNTIFS(Katalog!$B:$B,A44,Katalog!$Q:$Q,"&lt;&gt;Ishlamaydi*")+COUNTIFS(Katalog!$C:$C,"*"&amp;A44&amp;"*",Katalog!$Q:$Q,"&lt;&gt;Ishlamaydi*")</f>
        <v>0</v>
      </c>
      <c r="F44" s="6"/>
      <c r="G44" s="6"/>
      <c r="H44" s="6" t="str">
        <f aca="false">IF(G44&lt;&gt;"","Takroriy",IF(E44=0,"Yetishmaydi",IF(F44="ha","Qisman to‘ldirilgan","Mavjud, lekin tekshirilmagan")))</f>
        <v>Yetishmaydi</v>
      </c>
      <c r="I44" s="6"/>
    </row>
    <row r="45" customFormat="false" ht="23.85" hidden="false" customHeight="false" outlineLevel="0" collapsed="false">
      <c r="A45" s="6" t="s">
        <v>145</v>
      </c>
      <c r="B45" s="6" t="s">
        <v>132</v>
      </c>
      <c r="C45" s="6" t="s">
        <v>146</v>
      </c>
      <c r="D45" s="6" t="s">
        <v>147</v>
      </c>
      <c r="E45" s="6" t="n">
        <f aca="false">COUNTIFS(Katalog!$B:$B,A45,Katalog!$Q:$Q,"&lt;&gt;Ishlamaydi*")+COUNTIFS(Katalog!$C:$C,"*"&amp;A45&amp;"*",Katalog!$Q:$Q,"&lt;&gt;Ishlamaydi*")</f>
        <v>4</v>
      </c>
      <c r="F45" s="6"/>
      <c r="G45" s="6"/>
      <c r="H45" s="6" t="str">
        <f aca="false">IF(G45&lt;&gt;"","Takroriy",IF(E45=0,"Yetishmaydi",IF(F45="ha","Qisman to‘ldirilgan","Mavjud, lekin tekshirilmagan")))</f>
        <v>Mavjud, lekin tekshirilmagan</v>
      </c>
      <c r="I45" s="6"/>
    </row>
    <row r="46" customFormat="false" ht="23.85" hidden="false" customHeight="false" outlineLevel="0" collapsed="false">
      <c r="A46" s="6" t="s">
        <v>148</v>
      </c>
      <c r="B46" s="6" t="s">
        <v>132</v>
      </c>
      <c r="C46" s="6" t="s">
        <v>146</v>
      </c>
      <c r="D46" s="6" t="s">
        <v>149</v>
      </c>
      <c r="E46" s="6" t="n">
        <f aca="false">COUNTIFS(Katalog!$B:$B,A46,Katalog!$Q:$Q,"&lt;&gt;Ishlamaydi*")+COUNTIFS(Katalog!$C:$C,"*"&amp;A46&amp;"*",Katalog!$Q:$Q,"&lt;&gt;Ishlamaydi*")</f>
        <v>3</v>
      </c>
      <c r="F46" s="6" t="s">
        <v>55</v>
      </c>
      <c r="G46" s="6"/>
      <c r="H46" s="6" t="str">
        <f aca="false">IF(G46&lt;&gt;"","Takroriy",IF(E46=0,"Yetishmaydi",IF(F46="ha","Qisman to‘ldirilgan","Mavjud, lekin tekshirilmagan")))</f>
        <v>Qisman to‘ldirilgan</v>
      </c>
      <c r="I46" s="6"/>
    </row>
    <row r="47" customFormat="false" ht="23.85" hidden="false" customHeight="false" outlineLevel="0" collapsed="false">
      <c r="A47" s="6" t="s">
        <v>150</v>
      </c>
      <c r="B47" s="6" t="s">
        <v>132</v>
      </c>
      <c r="C47" s="6" t="s">
        <v>146</v>
      </c>
      <c r="D47" s="6" t="s">
        <v>151</v>
      </c>
      <c r="E47" s="6" t="n">
        <f aca="false">COUNTIFS(Katalog!$B:$B,A47,Katalog!$Q:$Q,"&lt;&gt;Ishlamaydi*")+COUNTIFS(Katalog!$C:$C,"*"&amp;A47&amp;"*",Katalog!$Q:$Q,"&lt;&gt;Ishlamaydi*")</f>
        <v>3</v>
      </c>
      <c r="F47" s="6"/>
      <c r="G47" s="6"/>
      <c r="H47" s="6" t="str">
        <f aca="false">IF(G47&lt;&gt;"","Takroriy",IF(E47=0,"Yetishmaydi",IF(F47="ha","Qisman to‘ldirilgan","Mavjud, lekin tekshirilmagan")))</f>
        <v>Mavjud, lekin tekshirilmagan</v>
      </c>
      <c r="I47" s="6"/>
    </row>
    <row r="48" customFormat="false" ht="23.85" hidden="false" customHeight="false" outlineLevel="0" collapsed="false">
      <c r="A48" s="6" t="s">
        <v>152</v>
      </c>
      <c r="B48" s="6" t="s">
        <v>132</v>
      </c>
      <c r="C48" s="6" t="s">
        <v>146</v>
      </c>
      <c r="D48" s="6" t="s">
        <v>153</v>
      </c>
      <c r="E48" s="6" t="n">
        <f aca="false">COUNTIFS(Katalog!$B:$B,A48,Katalog!$Q:$Q,"&lt;&gt;Ishlamaydi*")+COUNTIFS(Katalog!$C:$C,"*"&amp;A48&amp;"*",Katalog!$Q:$Q,"&lt;&gt;Ishlamaydi*")</f>
        <v>2</v>
      </c>
      <c r="F48" s="6"/>
      <c r="G48" s="6"/>
      <c r="H48" s="6" t="str">
        <f aca="false">IF(G48&lt;&gt;"","Takroriy",IF(E48=0,"Yetishmaydi",IF(F48="ha","Qisman to‘ldirilgan","Mavjud, lekin tekshirilmagan")))</f>
        <v>Mavjud, lekin tekshirilmagan</v>
      </c>
      <c r="I48" s="6"/>
    </row>
    <row r="49" customFormat="false" ht="23.85" hidden="false" customHeight="false" outlineLevel="0" collapsed="false">
      <c r="A49" s="6" t="s">
        <v>154</v>
      </c>
      <c r="B49" s="6" t="s">
        <v>132</v>
      </c>
      <c r="C49" s="6" t="s">
        <v>146</v>
      </c>
      <c r="D49" s="6" t="s">
        <v>155</v>
      </c>
      <c r="E49" s="6" t="n">
        <f aca="false">COUNTIFS(Katalog!$B:$B,A49,Katalog!$Q:$Q,"&lt;&gt;Ishlamaydi*")+COUNTIFS(Katalog!$C:$C,"*"&amp;A49&amp;"*",Katalog!$Q:$Q,"&lt;&gt;Ishlamaydi*")</f>
        <v>0</v>
      </c>
      <c r="F49" s="6"/>
      <c r="G49" s="6"/>
      <c r="H49" s="6" t="str">
        <f aca="false">IF(G49&lt;&gt;"","Takroriy",IF(E49=0,"Yetishmaydi",IF(F49="ha","Qisman to‘ldirilgan","Mavjud, lekin tekshirilmagan")))</f>
        <v>Yetishmaydi</v>
      </c>
      <c r="I49" s="6"/>
    </row>
    <row r="50" customFormat="false" ht="23.85" hidden="false" customHeight="false" outlineLevel="0" collapsed="false">
      <c r="A50" s="6" t="s">
        <v>156</v>
      </c>
      <c r="B50" s="6" t="s">
        <v>132</v>
      </c>
      <c r="C50" s="6" t="s">
        <v>146</v>
      </c>
      <c r="D50" s="6" t="s">
        <v>157</v>
      </c>
      <c r="E50" s="6" t="n">
        <f aca="false">COUNTIFS(Katalog!$B:$B,A50,Katalog!$Q:$Q,"&lt;&gt;Ishlamaydi*")+COUNTIFS(Katalog!$C:$C,"*"&amp;A50&amp;"*",Katalog!$Q:$Q,"&lt;&gt;Ishlamaydi*")</f>
        <v>3</v>
      </c>
      <c r="F50" s="6"/>
      <c r="G50" s="6"/>
      <c r="H50" s="6" t="str">
        <f aca="false">IF(G50&lt;&gt;"","Takroriy",IF(E50=0,"Yetishmaydi",IF(F50="ha","Qisman to‘ldirilgan","Mavjud, lekin tekshirilmagan")))</f>
        <v>Mavjud, lekin tekshirilmagan</v>
      </c>
      <c r="I50" s="6"/>
    </row>
    <row r="51" customFormat="false" ht="23.85" hidden="false" customHeight="false" outlineLevel="0" collapsed="false">
      <c r="A51" s="6" t="s">
        <v>158</v>
      </c>
      <c r="B51" s="6" t="s">
        <v>132</v>
      </c>
      <c r="C51" s="6" t="s">
        <v>159</v>
      </c>
      <c r="D51" s="6" t="s">
        <v>160</v>
      </c>
      <c r="E51" s="6" t="n">
        <f aca="false">COUNTIFS(Katalog!$B:$B,A51,Katalog!$Q:$Q,"&lt;&gt;Ishlamaydi*")+COUNTIFS(Katalog!$C:$C,"*"&amp;A51&amp;"*",Katalog!$Q:$Q,"&lt;&gt;Ishlamaydi*")</f>
        <v>1</v>
      </c>
      <c r="F51" s="6" t="s">
        <v>55</v>
      </c>
      <c r="G51" s="6"/>
      <c r="H51" s="6" t="str">
        <f aca="false">IF(G51&lt;&gt;"","Takroriy",IF(E51=0,"Yetishmaydi",IF(F51="ha","Qisman to‘ldirilgan","Mavjud, lekin tekshirilmagan")))</f>
        <v>Qisman to‘ldirilgan</v>
      </c>
      <c r="I51" s="6"/>
    </row>
    <row r="52" customFormat="false" ht="23.85" hidden="false" customHeight="false" outlineLevel="0" collapsed="false">
      <c r="A52" s="6" t="s">
        <v>161</v>
      </c>
      <c r="B52" s="6" t="s">
        <v>132</v>
      </c>
      <c r="C52" s="6" t="s">
        <v>159</v>
      </c>
      <c r="D52" s="6" t="s">
        <v>162</v>
      </c>
      <c r="E52" s="6" t="n">
        <f aca="false">COUNTIFS(Katalog!$B:$B,A52,Katalog!$Q:$Q,"&lt;&gt;Ishlamaydi*")+COUNTIFS(Katalog!$C:$C,"*"&amp;A52&amp;"*",Katalog!$Q:$Q,"&lt;&gt;Ishlamaydi*")</f>
        <v>2</v>
      </c>
      <c r="F52" s="6"/>
      <c r="G52" s="6"/>
      <c r="H52" s="6" t="str">
        <f aca="false">IF(G52&lt;&gt;"","Takroriy",IF(E52=0,"Yetishmaydi",IF(F52="ha","Qisman to‘ldirilgan","Mavjud, lekin tekshirilmagan")))</f>
        <v>Mavjud, lekin tekshirilmagan</v>
      </c>
      <c r="I52" s="6"/>
    </row>
    <row r="53" customFormat="false" ht="23.85" hidden="false" customHeight="false" outlineLevel="0" collapsed="false">
      <c r="A53" s="6" t="s">
        <v>163</v>
      </c>
      <c r="B53" s="6" t="s">
        <v>132</v>
      </c>
      <c r="C53" s="6" t="s">
        <v>159</v>
      </c>
      <c r="D53" s="6" t="s">
        <v>164</v>
      </c>
      <c r="E53" s="6" t="n">
        <f aca="false">COUNTIFS(Katalog!$B:$B,A53,Katalog!$Q:$Q,"&lt;&gt;Ishlamaydi*")+COUNTIFS(Katalog!$C:$C,"*"&amp;A53&amp;"*",Katalog!$Q:$Q,"&lt;&gt;Ishlamaydi*")</f>
        <v>1</v>
      </c>
      <c r="F53" s="6"/>
      <c r="G53" s="6"/>
      <c r="H53" s="6" t="str">
        <f aca="false">IF(G53&lt;&gt;"","Takroriy",IF(E53=0,"Yetishmaydi",IF(F53="ha","Qisman to‘ldirilgan","Mavjud, lekin tekshirilmagan")))</f>
        <v>Mavjud, lekin tekshirilmagan</v>
      </c>
      <c r="I53" s="6"/>
    </row>
    <row r="54" customFormat="false" ht="23.85" hidden="false" customHeight="false" outlineLevel="0" collapsed="false">
      <c r="A54" s="6" t="s">
        <v>165</v>
      </c>
      <c r="B54" s="6" t="s">
        <v>132</v>
      </c>
      <c r="C54" s="6" t="s">
        <v>159</v>
      </c>
      <c r="D54" s="6" t="s">
        <v>166</v>
      </c>
      <c r="E54" s="6" t="n">
        <f aca="false">COUNTIFS(Katalog!$B:$B,A54,Katalog!$Q:$Q,"&lt;&gt;Ishlamaydi*")+COUNTIFS(Katalog!$C:$C,"*"&amp;A54&amp;"*",Katalog!$Q:$Q,"&lt;&gt;Ishlamaydi*")</f>
        <v>1</v>
      </c>
      <c r="F54" s="6"/>
      <c r="G54" s="6"/>
      <c r="H54" s="6" t="str">
        <f aca="false">IF(G54&lt;&gt;"","Takroriy",IF(E54=0,"Yetishmaydi",IF(F54="ha","Qisman to‘ldirilgan","Mavjud, lekin tekshirilmagan")))</f>
        <v>Mavjud, lekin tekshirilmagan</v>
      </c>
      <c r="I54" s="6"/>
    </row>
    <row r="55" customFormat="false" ht="23.85" hidden="false" customHeight="false" outlineLevel="0" collapsed="false">
      <c r="A55" s="6" t="s">
        <v>167</v>
      </c>
      <c r="B55" s="6" t="s">
        <v>132</v>
      </c>
      <c r="C55" s="6" t="s">
        <v>159</v>
      </c>
      <c r="D55" s="6" t="s">
        <v>168</v>
      </c>
      <c r="E55" s="6" t="n">
        <f aca="false">COUNTIFS(Katalog!$B:$B,A55,Katalog!$Q:$Q,"&lt;&gt;Ishlamaydi*")+COUNTIFS(Katalog!$C:$C,"*"&amp;A55&amp;"*",Katalog!$Q:$Q,"&lt;&gt;Ishlamaydi*")</f>
        <v>4</v>
      </c>
      <c r="F55" s="6"/>
      <c r="G55" s="6"/>
      <c r="H55" s="6" t="str">
        <f aca="false">IF(G55&lt;&gt;"","Takroriy",IF(E55=0,"Yetishmaydi",IF(F55="ha","Qisman to‘ldirilgan","Mavjud, lekin tekshirilmagan")))</f>
        <v>Mavjud, lekin tekshirilmagan</v>
      </c>
      <c r="I55" s="6"/>
    </row>
    <row r="56" customFormat="false" ht="23.85" hidden="false" customHeight="false" outlineLevel="0" collapsed="false">
      <c r="A56" s="6" t="s">
        <v>169</v>
      </c>
      <c r="B56" s="6" t="s">
        <v>132</v>
      </c>
      <c r="C56" s="6" t="s">
        <v>159</v>
      </c>
      <c r="D56" s="6" t="s">
        <v>170</v>
      </c>
      <c r="E56" s="6" t="n">
        <f aca="false">COUNTIFS(Katalog!$B:$B,A56,Katalog!$Q:$Q,"&lt;&gt;Ishlamaydi*")+COUNTIFS(Katalog!$C:$C,"*"&amp;A56&amp;"*",Katalog!$Q:$Q,"&lt;&gt;Ishlamaydi*")</f>
        <v>3</v>
      </c>
      <c r="F56" s="6"/>
      <c r="G56" s="6"/>
      <c r="H56" s="6" t="str">
        <f aca="false">IF(G56&lt;&gt;"","Takroriy",IF(E56=0,"Yetishmaydi",IF(F56="ha","Qisman to‘ldirilgan","Mavjud, lekin tekshirilmagan")))</f>
        <v>Mavjud, lekin tekshirilmagan</v>
      </c>
      <c r="I56" s="6"/>
    </row>
    <row r="57" customFormat="false" ht="23.85" hidden="false" customHeight="false" outlineLevel="0" collapsed="false">
      <c r="A57" s="6" t="s">
        <v>171</v>
      </c>
      <c r="B57" s="6" t="s">
        <v>132</v>
      </c>
      <c r="C57" s="6" t="s">
        <v>159</v>
      </c>
      <c r="D57" s="6" t="s">
        <v>172</v>
      </c>
      <c r="E57" s="6" t="n">
        <f aca="false">COUNTIFS(Katalog!$B:$B,A57,Katalog!$Q:$Q,"&lt;&gt;Ishlamaydi*")+COUNTIFS(Katalog!$C:$C,"*"&amp;A57&amp;"*",Katalog!$Q:$Q,"&lt;&gt;Ishlamaydi*")</f>
        <v>2</v>
      </c>
      <c r="F57" s="6"/>
      <c r="G57" s="6"/>
      <c r="H57" s="6" t="str">
        <f aca="false">IF(G57&lt;&gt;"","Takroriy",IF(E57=0,"Yetishmaydi",IF(F57="ha","Qisman to‘ldirilgan","Mavjud, lekin tekshirilmagan")))</f>
        <v>Mavjud, lekin tekshirilmagan</v>
      </c>
      <c r="I57" s="6"/>
    </row>
    <row r="58" customFormat="false" ht="23.85" hidden="false" customHeight="false" outlineLevel="0" collapsed="false">
      <c r="A58" s="6" t="s">
        <v>173</v>
      </c>
      <c r="B58" s="6" t="s">
        <v>174</v>
      </c>
      <c r="C58" s="6" t="s">
        <v>175</v>
      </c>
      <c r="D58" s="6" t="s">
        <v>176</v>
      </c>
      <c r="E58" s="6" t="n">
        <f aca="false">COUNTIFS(Katalog!$B:$B,A58,Katalog!$Q:$Q,"&lt;&gt;Ishlamaydi*")+COUNTIFS(Katalog!$C:$C,"*"&amp;A58&amp;"*",Katalog!$Q:$Q,"&lt;&gt;Ishlamaydi*")</f>
        <v>2</v>
      </c>
      <c r="F58" s="6"/>
      <c r="G58" s="6"/>
      <c r="H58" s="6" t="str">
        <f aca="false">IF(G58&lt;&gt;"","Takroriy",IF(E58=0,"Yetishmaydi",IF(F58="ha","Qisman to‘ldirilgan","Mavjud, lekin tekshirilmagan")))</f>
        <v>Mavjud, lekin tekshirilmagan</v>
      </c>
      <c r="I58" s="6"/>
    </row>
    <row r="59" customFormat="false" ht="23.85" hidden="false" customHeight="false" outlineLevel="0" collapsed="false">
      <c r="A59" s="6" t="s">
        <v>177</v>
      </c>
      <c r="B59" s="6" t="s">
        <v>174</v>
      </c>
      <c r="C59" s="6" t="s">
        <v>175</v>
      </c>
      <c r="D59" s="6" t="s">
        <v>178</v>
      </c>
      <c r="E59" s="6" t="n">
        <f aca="false">COUNTIFS(Katalog!$B:$B,A59,Katalog!$Q:$Q,"&lt;&gt;Ishlamaydi*")+COUNTIFS(Katalog!$C:$C,"*"&amp;A59&amp;"*",Katalog!$Q:$Q,"&lt;&gt;Ishlamaydi*")</f>
        <v>3</v>
      </c>
      <c r="F59" s="6"/>
      <c r="G59" s="6"/>
      <c r="H59" s="6" t="str">
        <f aca="false">IF(G59&lt;&gt;"","Takroriy",IF(E59=0,"Yetishmaydi",IF(F59="ha","Qisman to‘ldirilgan","Mavjud, lekin tekshirilmagan")))</f>
        <v>Mavjud, lekin tekshirilmagan</v>
      </c>
      <c r="I59" s="6"/>
    </row>
    <row r="60" customFormat="false" ht="23.85" hidden="false" customHeight="false" outlineLevel="0" collapsed="false">
      <c r="A60" s="6" t="s">
        <v>179</v>
      </c>
      <c r="B60" s="6" t="s">
        <v>174</v>
      </c>
      <c r="C60" s="6" t="s">
        <v>175</v>
      </c>
      <c r="D60" s="6" t="s">
        <v>180</v>
      </c>
      <c r="E60" s="6" t="n">
        <f aca="false">COUNTIFS(Katalog!$B:$B,A60,Katalog!$Q:$Q,"&lt;&gt;Ishlamaydi*")+COUNTIFS(Katalog!$C:$C,"*"&amp;A60&amp;"*",Katalog!$Q:$Q,"&lt;&gt;Ishlamaydi*")</f>
        <v>3</v>
      </c>
      <c r="F60" s="6"/>
      <c r="G60" s="6"/>
      <c r="H60" s="6" t="str">
        <f aca="false">IF(G60&lt;&gt;"","Takroriy",IF(E60=0,"Yetishmaydi",IF(F60="ha","Qisman to‘ldirilgan","Mavjud, lekin tekshirilmagan")))</f>
        <v>Mavjud, lekin tekshirilmagan</v>
      </c>
      <c r="I60" s="6"/>
    </row>
    <row r="61" customFormat="false" ht="23.85" hidden="false" customHeight="false" outlineLevel="0" collapsed="false">
      <c r="A61" s="6" t="s">
        <v>181</v>
      </c>
      <c r="B61" s="6" t="s">
        <v>174</v>
      </c>
      <c r="C61" s="6" t="s">
        <v>175</v>
      </c>
      <c r="D61" s="6" t="s">
        <v>182</v>
      </c>
      <c r="E61" s="6" t="n">
        <f aca="false">COUNTIFS(Katalog!$B:$B,A61,Katalog!$Q:$Q,"&lt;&gt;Ishlamaydi*")+COUNTIFS(Katalog!$C:$C,"*"&amp;A61&amp;"*",Katalog!$Q:$Q,"&lt;&gt;Ishlamaydi*")</f>
        <v>3</v>
      </c>
      <c r="F61" s="6"/>
      <c r="G61" s="6"/>
      <c r="H61" s="6" t="str">
        <f aca="false">IF(G61&lt;&gt;"","Takroriy",IF(E61=0,"Yetishmaydi",IF(F61="ha","Qisman to‘ldirilgan","Mavjud, lekin tekshirilmagan")))</f>
        <v>Mavjud, lekin tekshirilmagan</v>
      </c>
      <c r="I61" s="6"/>
    </row>
    <row r="62" customFormat="false" ht="23.85" hidden="false" customHeight="false" outlineLevel="0" collapsed="false">
      <c r="A62" s="6" t="s">
        <v>183</v>
      </c>
      <c r="B62" s="6" t="s">
        <v>174</v>
      </c>
      <c r="C62" s="6" t="s">
        <v>175</v>
      </c>
      <c r="D62" s="6" t="s">
        <v>184</v>
      </c>
      <c r="E62" s="6" t="n">
        <f aca="false">COUNTIFS(Katalog!$B:$B,A62,Katalog!$Q:$Q,"&lt;&gt;Ishlamaydi*")+COUNTIFS(Katalog!$C:$C,"*"&amp;A62&amp;"*",Katalog!$Q:$Q,"&lt;&gt;Ishlamaydi*")</f>
        <v>1</v>
      </c>
      <c r="F62" s="6"/>
      <c r="G62" s="6"/>
      <c r="H62" s="6" t="str">
        <f aca="false">IF(G62&lt;&gt;"","Takroriy",IF(E62=0,"Yetishmaydi",IF(F62="ha","Qisman to‘ldirilgan","Mavjud, lekin tekshirilmagan")))</f>
        <v>Mavjud, lekin tekshirilmagan</v>
      </c>
      <c r="I62" s="6"/>
    </row>
    <row r="63" customFormat="false" ht="23.85" hidden="false" customHeight="false" outlineLevel="0" collapsed="false">
      <c r="A63" s="6" t="s">
        <v>185</v>
      </c>
      <c r="B63" s="6" t="s">
        <v>174</v>
      </c>
      <c r="C63" s="6" t="s">
        <v>175</v>
      </c>
      <c r="D63" s="6" t="s">
        <v>186</v>
      </c>
      <c r="E63" s="6" t="n">
        <f aca="false">COUNTIFS(Katalog!$B:$B,A63,Katalog!$Q:$Q,"&lt;&gt;Ishlamaydi*")+COUNTIFS(Katalog!$C:$C,"*"&amp;A63&amp;"*",Katalog!$Q:$Q,"&lt;&gt;Ishlamaydi*")</f>
        <v>1</v>
      </c>
      <c r="F63" s="6"/>
      <c r="G63" s="6"/>
      <c r="H63" s="6" t="str">
        <f aca="false">IF(G63&lt;&gt;"","Takroriy",IF(E63=0,"Yetishmaydi",IF(F63="ha","Qisman to‘ldirilgan","Mavjud, lekin tekshirilmagan")))</f>
        <v>Mavjud, lekin tekshirilmagan</v>
      </c>
      <c r="I63" s="6" t="s">
        <v>187</v>
      </c>
    </row>
    <row r="64" customFormat="false" ht="23.85" hidden="false" customHeight="false" outlineLevel="0" collapsed="false">
      <c r="A64" s="6" t="s">
        <v>188</v>
      </c>
      <c r="B64" s="6" t="s">
        <v>174</v>
      </c>
      <c r="C64" s="6" t="s">
        <v>175</v>
      </c>
      <c r="D64" s="6" t="s">
        <v>189</v>
      </c>
      <c r="E64" s="6" t="n">
        <f aca="false">COUNTIFS(Katalog!$B:$B,A64,Katalog!$Q:$Q,"&lt;&gt;Ishlamaydi*")+COUNTIFS(Katalog!$C:$C,"*"&amp;A64&amp;"*",Katalog!$Q:$Q,"&lt;&gt;Ishlamaydi*")</f>
        <v>2</v>
      </c>
      <c r="F64" s="6"/>
      <c r="G64" s="6"/>
      <c r="H64" s="6" t="str">
        <f aca="false">IF(G64&lt;&gt;"","Takroriy",IF(E64=0,"Yetishmaydi",IF(F64="ha","Qisman to‘ldirilgan","Mavjud, lekin tekshirilmagan")))</f>
        <v>Mavjud, lekin tekshirilmagan</v>
      </c>
      <c r="I64" s="6"/>
    </row>
    <row r="65" customFormat="false" ht="23.85" hidden="false" customHeight="false" outlineLevel="0" collapsed="false">
      <c r="A65" s="6" t="s">
        <v>190</v>
      </c>
      <c r="B65" s="6" t="s">
        <v>174</v>
      </c>
      <c r="C65" s="6" t="s">
        <v>175</v>
      </c>
      <c r="D65" s="6" t="s">
        <v>191</v>
      </c>
      <c r="E65" s="6" t="n">
        <f aca="false">COUNTIFS(Katalog!$B:$B,A65,Katalog!$Q:$Q,"&lt;&gt;Ishlamaydi*")+COUNTIFS(Katalog!$C:$C,"*"&amp;A65&amp;"*",Katalog!$Q:$Q,"&lt;&gt;Ishlamaydi*")</f>
        <v>2</v>
      </c>
      <c r="F65" s="6"/>
      <c r="G65" s="6"/>
      <c r="H65" s="6" t="str">
        <f aca="false">IF(G65&lt;&gt;"","Takroriy",IF(E65=0,"Yetishmaydi",IF(F65="ha","Qisman to‘ldirilgan","Mavjud, lekin tekshirilmagan")))</f>
        <v>Mavjud, lekin tekshirilmagan</v>
      </c>
      <c r="I65" s="6"/>
    </row>
    <row r="66" customFormat="false" ht="23.85" hidden="false" customHeight="false" outlineLevel="0" collapsed="false">
      <c r="A66" s="6" t="s">
        <v>192</v>
      </c>
      <c r="B66" s="6" t="s">
        <v>174</v>
      </c>
      <c r="C66" s="6" t="s">
        <v>175</v>
      </c>
      <c r="D66" s="6" t="s">
        <v>193</v>
      </c>
      <c r="E66" s="6" t="n">
        <f aca="false">COUNTIFS(Katalog!$B:$B,A66,Katalog!$Q:$Q,"&lt;&gt;Ishlamaydi*")+COUNTIFS(Katalog!$C:$C,"*"&amp;A66&amp;"*",Katalog!$Q:$Q,"&lt;&gt;Ishlamaydi*")</f>
        <v>1</v>
      </c>
      <c r="F66" s="6"/>
      <c r="G66" s="6"/>
      <c r="H66" s="6" t="str">
        <f aca="false">IF(G66&lt;&gt;"","Takroriy",IF(E66=0,"Yetishmaydi",IF(F66="ha","Qisman to‘ldirilgan","Mavjud, lekin tekshirilmagan")))</f>
        <v>Mavjud, lekin tekshirilmagan</v>
      </c>
      <c r="I66" s="6"/>
    </row>
    <row r="67" customFormat="false" ht="23.85" hidden="false" customHeight="false" outlineLevel="0" collapsed="false">
      <c r="A67" s="6" t="s">
        <v>194</v>
      </c>
      <c r="B67" s="6" t="s">
        <v>174</v>
      </c>
      <c r="C67" s="6" t="s">
        <v>195</v>
      </c>
      <c r="D67" s="6" t="s">
        <v>196</v>
      </c>
      <c r="E67" s="6" t="n">
        <f aca="false">COUNTIFS(Katalog!$B:$B,A67,Katalog!$Q:$Q,"&lt;&gt;Ishlamaydi*")+COUNTIFS(Katalog!$C:$C,"*"&amp;A67&amp;"*",Katalog!$Q:$Q,"&lt;&gt;Ishlamaydi*")</f>
        <v>1</v>
      </c>
      <c r="F67" s="6"/>
      <c r="G67" s="6"/>
      <c r="H67" s="6" t="str">
        <f aca="false">IF(G67&lt;&gt;"","Takroriy",IF(E67=0,"Yetishmaydi",IF(F67="ha","Qisman to‘ldirilgan","Mavjud, lekin tekshirilmagan")))</f>
        <v>Mavjud, lekin tekshirilmagan</v>
      </c>
      <c r="I67" s="6"/>
    </row>
    <row r="68" customFormat="false" ht="23.85" hidden="false" customHeight="false" outlineLevel="0" collapsed="false">
      <c r="A68" s="6" t="s">
        <v>197</v>
      </c>
      <c r="B68" s="6" t="s">
        <v>174</v>
      </c>
      <c r="C68" s="6" t="s">
        <v>195</v>
      </c>
      <c r="D68" s="6" t="s">
        <v>198</v>
      </c>
      <c r="E68" s="6" t="n">
        <f aca="false">COUNTIFS(Katalog!$B:$B,A68,Katalog!$Q:$Q,"&lt;&gt;Ishlamaydi*")+COUNTIFS(Katalog!$C:$C,"*"&amp;A68&amp;"*",Katalog!$Q:$Q,"&lt;&gt;Ishlamaydi*")</f>
        <v>2</v>
      </c>
      <c r="F68" s="6"/>
      <c r="G68" s="6"/>
      <c r="H68" s="6" t="str">
        <f aca="false">IF(G68&lt;&gt;"","Takroriy",IF(E68=0,"Yetishmaydi",IF(F68="ha","Qisman to‘ldirilgan","Mavjud, lekin tekshirilmagan")))</f>
        <v>Mavjud, lekin tekshirilmagan</v>
      </c>
      <c r="I68" s="6"/>
    </row>
    <row r="69" customFormat="false" ht="23.85" hidden="false" customHeight="false" outlineLevel="0" collapsed="false">
      <c r="A69" s="6" t="s">
        <v>199</v>
      </c>
      <c r="B69" s="6" t="s">
        <v>174</v>
      </c>
      <c r="C69" s="6" t="s">
        <v>195</v>
      </c>
      <c r="D69" s="6" t="s">
        <v>200</v>
      </c>
      <c r="E69" s="6" t="n">
        <f aca="false">COUNTIFS(Katalog!$B:$B,A69,Katalog!$Q:$Q,"&lt;&gt;Ishlamaydi*")+COUNTIFS(Katalog!$C:$C,"*"&amp;A69&amp;"*",Katalog!$Q:$Q,"&lt;&gt;Ishlamaydi*")</f>
        <v>1</v>
      </c>
      <c r="F69" s="6"/>
      <c r="G69" s="6"/>
      <c r="H69" s="6" t="str">
        <f aca="false">IF(G69&lt;&gt;"","Takroriy",IF(E69=0,"Yetishmaydi",IF(F69="ha","Qisman to‘ldirilgan","Mavjud, lekin tekshirilmagan")))</f>
        <v>Mavjud, lekin tekshirilmagan</v>
      </c>
      <c r="I69" s="6"/>
    </row>
    <row r="70" customFormat="false" ht="23.85" hidden="false" customHeight="false" outlineLevel="0" collapsed="false">
      <c r="A70" s="6" t="s">
        <v>201</v>
      </c>
      <c r="B70" s="6" t="s">
        <v>174</v>
      </c>
      <c r="C70" s="6" t="s">
        <v>195</v>
      </c>
      <c r="D70" s="6" t="s">
        <v>202</v>
      </c>
      <c r="E70" s="6" t="n">
        <f aca="false">COUNTIFS(Katalog!$B:$B,A70,Katalog!$Q:$Q,"&lt;&gt;Ishlamaydi*")+COUNTIFS(Katalog!$C:$C,"*"&amp;A70&amp;"*",Katalog!$Q:$Q,"&lt;&gt;Ishlamaydi*")</f>
        <v>1</v>
      </c>
      <c r="F70" s="6"/>
      <c r="G70" s="6"/>
      <c r="H70" s="6" t="str">
        <f aca="false">IF(G70&lt;&gt;"","Takroriy",IF(E70=0,"Yetishmaydi",IF(F70="ha","Qisman to‘ldirilgan","Mavjud, lekin tekshirilmagan")))</f>
        <v>Mavjud, lekin tekshirilmagan</v>
      </c>
      <c r="I70" s="6" t="s">
        <v>203</v>
      </c>
    </row>
    <row r="71" customFormat="false" ht="23.85" hidden="false" customHeight="false" outlineLevel="0" collapsed="false">
      <c r="A71" s="6" t="s">
        <v>204</v>
      </c>
      <c r="B71" s="6" t="s">
        <v>174</v>
      </c>
      <c r="C71" s="6" t="s">
        <v>195</v>
      </c>
      <c r="D71" s="6" t="s">
        <v>205</v>
      </c>
      <c r="E71" s="6" t="n">
        <f aca="false">COUNTIFS(Katalog!$B:$B,A71,Katalog!$Q:$Q,"&lt;&gt;Ishlamaydi*")+COUNTIFS(Katalog!$C:$C,"*"&amp;A71&amp;"*",Katalog!$Q:$Q,"&lt;&gt;Ishlamaydi*")</f>
        <v>4</v>
      </c>
      <c r="F71" s="6"/>
      <c r="G71" s="6"/>
      <c r="H71" s="6" t="str">
        <f aca="false">IF(G71&lt;&gt;"","Takroriy",IF(E71=0,"Yetishmaydi",IF(F71="ha","Qisman to‘ldirilgan","Mavjud, lekin tekshirilmagan")))</f>
        <v>Mavjud, lekin tekshirilmagan</v>
      </c>
      <c r="I71" s="6"/>
    </row>
    <row r="72" customFormat="false" ht="23.85" hidden="false" customHeight="false" outlineLevel="0" collapsed="false">
      <c r="A72" s="6" t="s">
        <v>206</v>
      </c>
      <c r="B72" s="6" t="s">
        <v>174</v>
      </c>
      <c r="C72" s="6" t="s">
        <v>195</v>
      </c>
      <c r="D72" s="6" t="s">
        <v>207</v>
      </c>
      <c r="E72" s="6" t="n">
        <f aca="false">COUNTIFS(Katalog!$B:$B,A72,Katalog!$Q:$Q,"&lt;&gt;Ishlamaydi*")+COUNTIFS(Katalog!$C:$C,"*"&amp;A72&amp;"*",Katalog!$Q:$Q,"&lt;&gt;Ishlamaydi*")</f>
        <v>3</v>
      </c>
      <c r="F72" s="6"/>
      <c r="G72" s="6"/>
      <c r="H72" s="6" t="str">
        <f aca="false">IF(G72&lt;&gt;"","Takroriy",IF(E72=0,"Yetishmaydi",IF(F72="ha","Qisman to‘ldirilgan","Mavjud, lekin tekshirilmagan")))</f>
        <v>Mavjud, lekin tekshirilmagan</v>
      </c>
      <c r="I72" s="6"/>
    </row>
    <row r="73" customFormat="false" ht="23.85" hidden="false" customHeight="false" outlineLevel="0" collapsed="false">
      <c r="A73" s="6" t="s">
        <v>208</v>
      </c>
      <c r="B73" s="6" t="s">
        <v>174</v>
      </c>
      <c r="C73" s="6" t="s">
        <v>195</v>
      </c>
      <c r="D73" s="6" t="s">
        <v>209</v>
      </c>
      <c r="E73" s="6" t="n">
        <f aca="false">COUNTIFS(Katalog!$B:$B,A73,Katalog!$Q:$Q,"&lt;&gt;Ishlamaydi*")+COUNTIFS(Katalog!$C:$C,"*"&amp;A73&amp;"*",Katalog!$Q:$Q,"&lt;&gt;Ishlamaydi*")</f>
        <v>4</v>
      </c>
      <c r="F73" s="6"/>
      <c r="G73" s="6"/>
      <c r="H73" s="6" t="str">
        <f aca="false">IF(G73&lt;&gt;"","Takroriy",IF(E73=0,"Yetishmaydi",IF(F73="ha","Qisman to‘ldirilgan","Mavjud, lekin tekshirilmagan")))</f>
        <v>Mavjud, lekin tekshirilmagan</v>
      </c>
      <c r="I73" s="6"/>
    </row>
    <row r="74" customFormat="false" ht="23.85" hidden="false" customHeight="false" outlineLevel="0" collapsed="false">
      <c r="A74" s="6" t="s">
        <v>210</v>
      </c>
      <c r="B74" s="6" t="s">
        <v>174</v>
      </c>
      <c r="C74" s="6" t="s">
        <v>195</v>
      </c>
      <c r="D74" s="6" t="s">
        <v>211</v>
      </c>
      <c r="E74" s="6" t="n">
        <f aca="false">COUNTIFS(Katalog!$B:$B,A74,Katalog!$Q:$Q,"&lt;&gt;Ishlamaydi*")+COUNTIFS(Katalog!$C:$C,"*"&amp;A74&amp;"*",Katalog!$Q:$Q,"&lt;&gt;Ishlamaydi*")</f>
        <v>1</v>
      </c>
      <c r="F74" s="6"/>
      <c r="G74" s="6"/>
      <c r="H74" s="6" t="str">
        <f aca="false">IF(G74&lt;&gt;"","Takroriy",IF(E74=0,"Yetishmaydi",IF(F74="ha","Qisman to‘ldirilgan","Mavjud, lekin tekshirilmagan")))</f>
        <v>Mavjud, lekin tekshirilmagan</v>
      </c>
      <c r="I74" s="6"/>
    </row>
    <row r="75" customFormat="false" ht="23.85" hidden="false" customHeight="false" outlineLevel="0" collapsed="false">
      <c r="A75" s="6" t="s">
        <v>212</v>
      </c>
      <c r="B75" s="6" t="s">
        <v>174</v>
      </c>
      <c r="C75" s="6" t="s">
        <v>213</v>
      </c>
      <c r="D75" s="6" t="s">
        <v>214</v>
      </c>
      <c r="E75" s="6" t="n">
        <f aca="false">COUNTIFS(Katalog!$B:$B,A75,Katalog!$Q:$Q,"&lt;&gt;Ishlamaydi*")+COUNTIFS(Katalog!$C:$C,"*"&amp;A75&amp;"*",Katalog!$Q:$Q,"&lt;&gt;Ishlamaydi*")</f>
        <v>4</v>
      </c>
      <c r="F75" s="6" t="s">
        <v>55</v>
      </c>
      <c r="G75" s="6"/>
      <c r="H75" s="6" t="str">
        <f aca="false">IF(G75&lt;&gt;"","Takroriy",IF(E75=0,"Yetishmaydi",IF(F75="ha","Qisman to‘ldirilgan","Mavjud, lekin tekshirilmagan")))</f>
        <v>Qisman to‘ldirilgan</v>
      </c>
      <c r="I75" s="6"/>
    </row>
    <row r="76" customFormat="false" ht="23.85" hidden="false" customHeight="false" outlineLevel="0" collapsed="false">
      <c r="A76" s="6" t="s">
        <v>215</v>
      </c>
      <c r="B76" s="6" t="s">
        <v>174</v>
      </c>
      <c r="C76" s="6" t="s">
        <v>213</v>
      </c>
      <c r="D76" s="6" t="s">
        <v>216</v>
      </c>
      <c r="E76" s="6" t="n">
        <f aca="false">COUNTIFS(Katalog!$B:$B,A76,Katalog!$Q:$Q,"&lt;&gt;Ishlamaydi*")+COUNTIFS(Katalog!$C:$C,"*"&amp;A76&amp;"*",Katalog!$Q:$Q,"&lt;&gt;Ishlamaydi*")</f>
        <v>2</v>
      </c>
      <c r="F76" s="6"/>
      <c r="G76" s="6"/>
      <c r="H76" s="6" t="str">
        <f aca="false">IF(G76&lt;&gt;"","Takroriy",IF(E76=0,"Yetishmaydi",IF(F76="ha","Qisman to‘ldirilgan","Mavjud, lekin tekshirilmagan")))</f>
        <v>Mavjud, lekin tekshirilmagan</v>
      </c>
      <c r="I76" s="6"/>
    </row>
    <row r="77" customFormat="false" ht="23.85" hidden="false" customHeight="false" outlineLevel="0" collapsed="false">
      <c r="A77" s="6" t="s">
        <v>217</v>
      </c>
      <c r="B77" s="6" t="s">
        <v>174</v>
      </c>
      <c r="C77" s="6" t="s">
        <v>213</v>
      </c>
      <c r="D77" s="6" t="s">
        <v>218</v>
      </c>
      <c r="E77" s="6" t="n">
        <f aca="false">COUNTIFS(Katalog!$B:$B,A77,Katalog!$Q:$Q,"&lt;&gt;Ishlamaydi*")+COUNTIFS(Katalog!$C:$C,"*"&amp;A77&amp;"*",Katalog!$Q:$Q,"&lt;&gt;Ishlamaydi*")</f>
        <v>2</v>
      </c>
      <c r="F77" s="6" t="s">
        <v>55</v>
      </c>
      <c r="G77" s="6"/>
      <c r="H77" s="6" t="str">
        <f aca="false">IF(G77&lt;&gt;"","Takroriy",IF(E77=0,"Yetishmaydi",IF(F77="ha","Qisman to‘ldirilgan","Mavjud, lekin tekshirilmagan")))</f>
        <v>Qisman to‘ldirilgan</v>
      </c>
      <c r="I77" s="6"/>
    </row>
    <row r="78" customFormat="false" ht="23.85" hidden="false" customHeight="false" outlineLevel="0" collapsed="false">
      <c r="A78" s="6" t="s">
        <v>219</v>
      </c>
      <c r="B78" s="6" t="s">
        <v>174</v>
      </c>
      <c r="C78" s="6" t="s">
        <v>213</v>
      </c>
      <c r="D78" s="6" t="s">
        <v>220</v>
      </c>
      <c r="E78" s="6" t="n">
        <f aca="false">COUNTIFS(Katalog!$B:$B,A78,Katalog!$Q:$Q,"&lt;&gt;Ishlamaydi*")+COUNTIFS(Katalog!$C:$C,"*"&amp;A78&amp;"*",Katalog!$Q:$Q,"&lt;&gt;Ishlamaydi*")</f>
        <v>2</v>
      </c>
      <c r="F78" s="6"/>
      <c r="G78" s="6"/>
      <c r="H78" s="6" t="str">
        <f aca="false">IF(G78&lt;&gt;"","Takroriy",IF(E78=0,"Yetishmaydi",IF(F78="ha","Qisman to‘ldirilgan","Mavjud, lekin tekshirilmagan")))</f>
        <v>Mavjud, lekin tekshirilmagan</v>
      </c>
      <c r="I78" s="6"/>
    </row>
    <row r="79" customFormat="false" ht="23.85" hidden="false" customHeight="false" outlineLevel="0" collapsed="false">
      <c r="A79" s="6" t="s">
        <v>221</v>
      </c>
      <c r="B79" s="6" t="s">
        <v>174</v>
      </c>
      <c r="C79" s="6" t="s">
        <v>213</v>
      </c>
      <c r="D79" s="6" t="s">
        <v>222</v>
      </c>
      <c r="E79" s="6" t="n">
        <f aca="false">COUNTIFS(Katalog!$B:$B,A79,Katalog!$Q:$Q,"&lt;&gt;Ishlamaydi*")+COUNTIFS(Katalog!$C:$C,"*"&amp;A79&amp;"*",Katalog!$Q:$Q,"&lt;&gt;Ishlamaydi*")</f>
        <v>2</v>
      </c>
      <c r="F79" s="6"/>
      <c r="G79" s="6"/>
      <c r="H79" s="6" t="str">
        <f aca="false">IF(G79&lt;&gt;"","Takroriy",IF(E79=0,"Yetishmaydi",IF(F79="ha","Qisman to‘ldirilgan","Mavjud, lekin tekshirilmagan")))</f>
        <v>Mavjud, lekin tekshirilmagan</v>
      </c>
      <c r="I79" s="6"/>
    </row>
    <row r="80" customFormat="false" ht="23.85" hidden="false" customHeight="false" outlineLevel="0" collapsed="false">
      <c r="A80" s="6" t="s">
        <v>223</v>
      </c>
      <c r="B80" s="6" t="s">
        <v>174</v>
      </c>
      <c r="C80" s="6" t="s">
        <v>224</v>
      </c>
      <c r="D80" s="6" t="s">
        <v>225</v>
      </c>
      <c r="E80" s="6" t="n">
        <f aca="false">COUNTIFS(Katalog!$B:$B,A80,Katalog!$Q:$Q,"&lt;&gt;Ishlamaydi*")+COUNTIFS(Katalog!$C:$C,"*"&amp;A80&amp;"*",Katalog!$Q:$Q,"&lt;&gt;Ishlamaydi*")</f>
        <v>1</v>
      </c>
      <c r="F80" s="6"/>
      <c r="G80" s="6"/>
      <c r="H80" s="6" t="str">
        <f aca="false">IF(G80&lt;&gt;"","Takroriy",IF(E80=0,"Yetishmaydi",IF(F80="ha","Qisman to‘ldirilgan","Mavjud, lekin tekshirilmagan")))</f>
        <v>Mavjud, lekin tekshirilmagan</v>
      </c>
      <c r="I80" s="6"/>
    </row>
    <row r="81" customFormat="false" ht="23.85" hidden="false" customHeight="false" outlineLevel="0" collapsed="false">
      <c r="A81" s="6" t="s">
        <v>226</v>
      </c>
      <c r="B81" s="6" t="s">
        <v>174</v>
      </c>
      <c r="C81" s="6" t="s">
        <v>224</v>
      </c>
      <c r="D81" s="6" t="s">
        <v>227</v>
      </c>
      <c r="E81" s="6" t="n">
        <f aca="false">COUNTIFS(Katalog!$B:$B,A81,Katalog!$Q:$Q,"&lt;&gt;Ishlamaydi*")+COUNTIFS(Katalog!$C:$C,"*"&amp;A81&amp;"*",Katalog!$Q:$Q,"&lt;&gt;Ishlamaydi*")</f>
        <v>2</v>
      </c>
      <c r="F81" s="6"/>
      <c r="G81" s="6"/>
      <c r="H81" s="6" t="str">
        <f aca="false">IF(G81&lt;&gt;"","Takroriy",IF(E81=0,"Yetishmaydi",IF(F81="ha","Qisman to‘ldirilgan","Mavjud, lekin tekshirilmagan")))</f>
        <v>Mavjud, lekin tekshirilmagan</v>
      </c>
      <c r="I81" s="6"/>
    </row>
    <row r="82" customFormat="false" ht="23.85" hidden="false" customHeight="false" outlineLevel="0" collapsed="false">
      <c r="A82" s="6" t="s">
        <v>228</v>
      </c>
      <c r="B82" s="6" t="s">
        <v>174</v>
      </c>
      <c r="C82" s="6" t="s">
        <v>224</v>
      </c>
      <c r="D82" s="6" t="s">
        <v>229</v>
      </c>
      <c r="E82" s="6" t="n">
        <f aca="false">COUNTIFS(Katalog!$B:$B,A82,Katalog!$Q:$Q,"&lt;&gt;Ishlamaydi*")+COUNTIFS(Katalog!$C:$C,"*"&amp;A82&amp;"*",Katalog!$Q:$Q,"&lt;&gt;Ishlamaydi*")</f>
        <v>3</v>
      </c>
      <c r="F82" s="6"/>
      <c r="G82" s="6"/>
      <c r="H82" s="6" t="str">
        <f aca="false">IF(G82&lt;&gt;"","Takroriy",IF(E82=0,"Yetishmaydi",IF(F82="ha","Qisman to‘ldirilgan","Mavjud, lekin tekshirilmagan")))</f>
        <v>Mavjud, lekin tekshirilmagan</v>
      </c>
      <c r="I82" s="6"/>
    </row>
    <row r="83" customFormat="false" ht="23.85" hidden="false" customHeight="false" outlineLevel="0" collapsed="false">
      <c r="A83" s="6" t="s">
        <v>230</v>
      </c>
      <c r="B83" s="6" t="s">
        <v>174</v>
      </c>
      <c r="C83" s="6" t="s">
        <v>224</v>
      </c>
      <c r="D83" s="6" t="s">
        <v>231</v>
      </c>
      <c r="E83" s="6" t="n">
        <f aca="false">COUNTIFS(Katalog!$B:$B,A83,Katalog!$Q:$Q,"&lt;&gt;Ishlamaydi*")+COUNTIFS(Katalog!$C:$C,"*"&amp;A83&amp;"*",Katalog!$Q:$Q,"&lt;&gt;Ishlamaydi*")</f>
        <v>1</v>
      </c>
      <c r="F83" s="6"/>
      <c r="G83" s="6"/>
      <c r="H83" s="6" t="str">
        <f aca="false">IF(G83&lt;&gt;"","Takroriy",IF(E83=0,"Yetishmaydi",IF(F83="ha","Qisman to‘ldirilgan","Mavjud, lekin tekshirilmagan")))</f>
        <v>Mavjud, lekin tekshirilmagan</v>
      </c>
      <c r="I83" s="6"/>
    </row>
    <row r="84" customFormat="false" ht="23.85" hidden="false" customHeight="false" outlineLevel="0" collapsed="false">
      <c r="A84" s="6" t="s">
        <v>232</v>
      </c>
      <c r="B84" s="6" t="s">
        <v>174</v>
      </c>
      <c r="C84" s="6" t="s">
        <v>233</v>
      </c>
      <c r="D84" s="6" t="s">
        <v>234</v>
      </c>
      <c r="E84" s="6" t="n">
        <f aca="false">COUNTIFS(Katalog!$B:$B,A84,Katalog!$Q:$Q,"&lt;&gt;Ishlamaydi*")+COUNTIFS(Katalog!$C:$C,"*"&amp;A84&amp;"*",Katalog!$Q:$Q,"&lt;&gt;Ishlamaydi*")</f>
        <v>3</v>
      </c>
      <c r="F84" s="6"/>
      <c r="G84" s="6"/>
      <c r="H84" s="6" t="str">
        <f aca="false">IF(G84&lt;&gt;"","Takroriy",IF(E84=0,"Yetishmaydi",IF(F84="ha","Qisman to‘ldirilgan","Mavjud, lekin tekshirilmagan")))</f>
        <v>Mavjud, lekin tekshirilmagan</v>
      </c>
      <c r="I84" s="6"/>
    </row>
    <row r="85" customFormat="false" ht="23.85" hidden="false" customHeight="false" outlineLevel="0" collapsed="false">
      <c r="A85" s="6" t="s">
        <v>235</v>
      </c>
      <c r="B85" s="6" t="s">
        <v>174</v>
      </c>
      <c r="C85" s="6" t="s">
        <v>233</v>
      </c>
      <c r="D85" s="6" t="s">
        <v>236</v>
      </c>
      <c r="E85" s="6" t="n">
        <f aca="false">COUNTIFS(Katalog!$B:$B,A85,Katalog!$Q:$Q,"&lt;&gt;Ishlamaydi*")+COUNTIFS(Katalog!$C:$C,"*"&amp;A85&amp;"*",Katalog!$Q:$Q,"&lt;&gt;Ishlamaydi*")</f>
        <v>1</v>
      </c>
      <c r="F85" s="6"/>
      <c r="G85" s="6"/>
      <c r="H85" s="6" t="str">
        <f aca="false">IF(G85&lt;&gt;"","Takroriy",IF(E85=0,"Yetishmaydi",IF(F85="ha","Qisman to‘ldirilgan","Mavjud, lekin tekshirilmagan")))</f>
        <v>Mavjud, lekin tekshirilmagan</v>
      </c>
      <c r="I85" s="6"/>
    </row>
    <row r="86" customFormat="false" ht="23.85" hidden="false" customHeight="false" outlineLevel="0" collapsed="false">
      <c r="A86" s="6" t="s">
        <v>237</v>
      </c>
      <c r="B86" s="6" t="s">
        <v>174</v>
      </c>
      <c r="C86" s="6" t="s">
        <v>233</v>
      </c>
      <c r="D86" s="6" t="s">
        <v>238</v>
      </c>
      <c r="E86" s="6" t="n">
        <f aca="false">COUNTIFS(Katalog!$B:$B,A86,Katalog!$Q:$Q,"&lt;&gt;Ishlamaydi*")+COUNTIFS(Katalog!$C:$C,"*"&amp;A86&amp;"*",Katalog!$Q:$Q,"&lt;&gt;Ishlamaydi*")</f>
        <v>3</v>
      </c>
      <c r="F86" s="6" t="s">
        <v>55</v>
      </c>
      <c r="G86" s="6"/>
      <c r="H86" s="6" t="str">
        <f aca="false">IF(G86&lt;&gt;"","Takroriy",IF(E86=0,"Yetishmaydi",IF(F86="ha","Qisman to‘ldirilgan","Mavjud, lekin tekshirilmagan")))</f>
        <v>Qisman to‘ldirilgan</v>
      </c>
      <c r="I86" s="6"/>
    </row>
    <row r="87" customFormat="false" ht="23.85" hidden="false" customHeight="false" outlineLevel="0" collapsed="false">
      <c r="A87" s="6" t="s">
        <v>239</v>
      </c>
      <c r="B87" s="6" t="s">
        <v>174</v>
      </c>
      <c r="C87" s="6" t="s">
        <v>233</v>
      </c>
      <c r="D87" s="6" t="s">
        <v>240</v>
      </c>
      <c r="E87" s="6" t="n">
        <f aca="false">COUNTIFS(Katalog!$B:$B,A87,Katalog!$Q:$Q,"&lt;&gt;Ishlamaydi*")+COUNTIFS(Katalog!$C:$C,"*"&amp;A87&amp;"*",Katalog!$Q:$Q,"&lt;&gt;Ishlamaydi*")</f>
        <v>1</v>
      </c>
      <c r="F87" s="6"/>
      <c r="G87" s="6"/>
      <c r="H87" s="6" t="str">
        <f aca="false">IF(G87&lt;&gt;"","Takroriy",IF(E87=0,"Yetishmaydi",IF(F87="ha","Qisman to‘ldirilgan","Mavjud, lekin tekshirilmagan")))</f>
        <v>Mavjud, lekin tekshirilmagan</v>
      </c>
      <c r="I87" s="6"/>
    </row>
    <row r="88" customFormat="false" ht="23.85" hidden="false" customHeight="false" outlineLevel="0" collapsed="false">
      <c r="A88" s="6" t="s">
        <v>241</v>
      </c>
      <c r="B88" s="6" t="s">
        <v>174</v>
      </c>
      <c r="C88" s="6" t="s">
        <v>233</v>
      </c>
      <c r="D88" s="6" t="s">
        <v>242</v>
      </c>
      <c r="E88" s="6" t="n">
        <f aca="false">COUNTIFS(Katalog!$B:$B,A88,Katalog!$Q:$Q,"&lt;&gt;Ishlamaydi*")+COUNTIFS(Katalog!$C:$C,"*"&amp;A88&amp;"*",Katalog!$Q:$Q,"&lt;&gt;Ishlamaydi*")</f>
        <v>3</v>
      </c>
      <c r="F88" s="6"/>
      <c r="G88" s="6"/>
      <c r="H88" s="6" t="str">
        <f aca="false">IF(G88&lt;&gt;"","Takroriy",IF(E88=0,"Yetishmaydi",IF(F88="ha","Qisman to‘ldirilgan","Mavjud, lekin tekshirilmagan")))</f>
        <v>Mavjud, lekin tekshirilmagan</v>
      </c>
      <c r="I88" s="6"/>
    </row>
    <row r="89" customFormat="false" ht="23.85" hidden="false" customHeight="false" outlineLevel="0" collapsed="false">
      <c r="A89" s="6" t="s">
        <v>243</v>
      </c>
      <c r="B89" s="6" t="s">
        <v>174</v>
      </c>
      <c r="C89" s="6" t="s">
        <v>233</v>
      </c>
      <c r="D89" s="6" t="s">
        <v>244</v>
      </c>
      <c r="E89" s="6" t="n">
        <f aca="false">COUNTIFS(Katalog!$B:$B,A89,Katalog!$Q:$Q,"&lt;&gt;Ishlamaydi*")+COUNTIFS(Katalog!$C:$C,"*"&amp;A89&amp;"*",Katalog!$Q:$Q,"&lt;&gt;Ishlamaydi*")</f>
        <v>1</v>
      </c>
      <c r="F89" s="6"/>
      <c r="G89" s="6"/>
      <c r="H89" s="6" t="str">
        <f aca="false">IF(G89&lt;&gt;"","Takroriy",IF(E89=0,"Yetishmaydi",IF(F89="ha","Qisman to‘ldirilgan","Mavjud, lekin tekshirilmagan")))</f>
        <v>Mavjud, lekin tekshirilmagan</v>
      </c>
      <c r="I89" s="6"/>
    </row>
    <row r="90" customFormat="false" ht="23.85" hidden="false" customHeight="false" outlineLevel="0" collapsed="false">
      <c r="A90" s="6" t="s">
        <v>245</v>
      </c>
      <c r="B90" s="6" t="s">
        <v>174</v>
      </c>
      <c r="C90" s="6" t="s">
        <v>233</v>
      </c>
      <c r="D90" s="6" t="s">
        <v>246</v>
      </c>
      <c r="E90" s="6" t="n">
        <f aca="false">COUNTIFS(Katalog!$B:$B,A90,Katalog!$Q:$Q,"&lt;&gt;Ishlamaydi*")+COUNTIFS(Katalog!$C:$C,"*"&amp;A90&amp;"*",Katalog!$Q:$Q,"&lt;&gt;Ishlamaydi*")</f>
        <v>1</v>
      </c>
      <c r="F90" s="6"/>
      <c r="G90" s="6"/>
      <c r="H90" s="6" t="str">
        <f aca="false">IF(G90&lt;&gt;"","Takroriy",IF(E90=0,"Yetishmaydi",IF(F90="ha","Qisman to‘ldirilgan","Mavjud, lekin tekshirilmagan")))</f>
        <v>Mavjud, lekin tekshirilmagan</v>
      </c>
      <c r="I90" s="6"/>
    </row>
    <row r="91" customFormat="false" ht="23.85" hidden="false" customHeight="false" outlineLevel="0" collapsed="false">
      <c r="A91" s="6" t="s">
        <v>247</v>
      </c>
      <c r="B91" s="6" t="s">
        <v>174</v>
      </c>
      <c r="C91" s="6" t="s">
        <v>233</v>
      </c>
      <c r="D91" s="6" t="s">
        <v>248</v>
      </c>
      <c r="E91" s="6" t="n">
        <f aca="false">COUNTIFS(Katalog!$B:$B,A91,Katalog!$Q:$Q,"&lt;&gt;Ishlamaydi*")+COUNTIFS(Katalog!$C:$C,"*"&amp;A91&amp;"*",Katalog!$Q:$Q,"&lt;&gt;Ishlamaydi*")</f>
        <v>4</v>
      </c>
      <c r="F91" s="6"/>
      <c r="G91" s="6"/>
      <c r="H91" s="6" t="str">
        <f aca="false">IF(G91&lt;&gt;"","Takroriy",IF(E91=0,"Yetishmaydi",IF(F91="ha","Qisman to‘ldirilgan","Mavjud, lekin tekshirilmagan")))</f>
        <v>Mavjud, lekin tekshirilmagan</v>
      </c>
      <c r="I91" s="6"/>
    </row>
    <row r="92" customFormat="false" ht="23.85" hidden="false" customHeight="false" outlineLevel="0" collapsed="false">
      <c r="A92" s="6" t="s">
        <v>249</v>
      </c>
      <c r="B92" s="6" t="s">
        <v>174</v>
      </c>
      <c r="C92" s="6" t="s">
        <v>233</v>
      </c>
      <c r="D92" s="6" t="s">
        <v>250</v>
      </c>
      <c r="E92" s="6" t="n">
        <f aca="false">COUNTIFS(Katalog!$B:$B,A92,Katalog!$Q:$Q,"&lt;&gt;Ishlamaydi*")+COUNTIFS(Katalog!$C:$C,"*"&amp;A92&amp;"*",Katalog!$Q:$Q,"&lt;&gt;Ishlamaydi*")</f>
        <v>4</v>
      </c>
      <c r="F92" s="6"/>
      <c r="G92" s="6"/>
      <c r="H92" s="6" t="str">
        <f aca="false">IF(G92&lt;&gt;"","Takroriy",IF(E92=0,"Yetishmaydi",IF(F92="ha","Qisman to‘ldirilgan","Mavjud, lekin tekshirilmagan")))</f>
        <v>Mavjud, lekin tekshirilmagan</v>
      </c>
      <c r="I92" s="6"/>
    </row>
    <row r="93" customFormat="false" ht="23.85" hidden="false" customHeight="false" outlineLevel="0" collapsed="false">
      <c r="A93" s="6" t="s">
        <v>251</v>
      </c>
      <c r="B93" s="6" t="s">
        <v>174</v>
      </c>
      <c r="C93" s="6" t="s">
        <v>252</v>
      </c>
      <c r="D93" s="6" t="s">
        <v>253</v>
      </c>
      <c r="E93" s="6" t="n">
        <f aca="false">COUNTIFS(Katalog!$B:$B,A93,Katalog!$Q:$Q,"&lt;&gt;Ishlamaydi*")+COUNTIFS(Katalog!$C:$C,"*"&amp;A93&amp;"*",Katalog!$Q:$Q,"&lt;&gt;Ishlamaydi*")</f>
        <v>3</v>
      </c>
      <c r="F93" s="6"/>
      <c r="G93" s="6" t="s">
        <v>254</v>
      </c>
      <c r="H93" s="6" t="str">
        <f aca="false">IF(G93&lt;&gt;"","Takroriy",IF(E93=0,"Yetishmaydi",IF(F93="ha","Qisman to‘ldirilgan","Mavjud, lekin tekshirilmagan")))</f>
        <v>Takroriy</v>
      </c>
      <c r="I93" s="6"/>
    </row>
    <row r="94" customFormat="false" ht="23.85" hidden="false" customHeight="false" outlineLevel="0" collapsed="false">
      <c r="A94" s="6" t="s">
        <v>255</v>
      </c>
      <c r="B94" s="6" t="s">
        <v>174</v>
      </c>
      <c r="C94" s="6" t="s">
        <v>252</v>
      </c>
      <c r="D94" s="6" t="s">
        <v>256</v>
      </c>
      <c r="E94" s="6" t="n">
        <f aca="false">COUNTIFS(Katalog!$B:$B,A94,Katalog!$Q:$Q,"&lt;&gt;Ishlamaydi*")+COUNTIFS(Katalog!$C:$C,"*"&amp;A94&amp;"*",Katalog!$Q:$Q,"&lt;&gt;Ishlamaydi*")</f>
        <v>1</v>
      </c>
      <c r="F94" s="6"/>
      <c r="G94" s="6" t="s">
        <v>257</v>
      </c>
      <c r="H94" s="6" t="str">
        <f aca="false">IF(G94&lt;&gt;"","Takroriy",IF(E94=0,"Yetishmaydi",IF(F94="ha","Qisman to‘ldirilgan","Mavjud, lekin tekshirilmagan")))</f>
        <v>Takroriy</v>
      </c>
      <c r="I94" s="6"/>
    </row>
    <row r="95" customFormat="false" ht="23.85" hidden="false" customHeight="false" outlineLevel="0" collapsed="false">
      <c r="A95" s="6" t="s">
        <v>258</v>
      </c>
      <c r="B95" s="6" t="s">
        <v>174</v>
      </c>
      <c r="C95" s="6" t="s">
        <v>252</v>
      </c>
      <c r="D95" s="6" t="s">
        <v>259</v>
      </c>
      <c r="E95" s="6" t="n">
        <f aca="false">COUNTIFS(Katalog!$B:$B,A95,Katalog!$Q:$Q,"&lt;&gt;Ishlamaydi*")+COUNTIFS(Katalog!$C:$C,"*"&amp;A95&amp;"*",Katalog!$Q:$Q,"&lt;&gt;Ishlamaydi*")</f>
        <v>2</v>
      </c>
      <c r="F95" s="6"/>
      <c r="G95" s="6"/>
      <c r="H95" s="6" t="str">
        <f aca="false">IF(G95&lt;&gt;"","Takroriy",IF(E95=0,"Yetishmaydi",IF(F95="ha","Qisman to‘ldirilgan","Mavjud, lekin tekshirilmagan")))</f>
        <v>Mavjud, lekin tekshirilmagan</v>
      </c>
      <c r="I95" s="6"/>
    </row>
    <row r="96" customFormat="false" ht="23.85" hidden="false" customHeight="false" outlineLevel="0" collapsed="false">
      <c r="A96" s="6" t="s">
        <v>260</v>
      </c>
      <c r="B96" s="6" t="s">
        <v>174</v>
      </c>
      <c r="C96" s="6" t="s">
        <v>252</v>
      </c>
      <c r="D96" s="6" t="s">
        <v>261</v>
      </c>
      <c r="E96" s="6" t="n">
        <f aca="false">COUNTIFS(Katalog!$B:$B,A96,Katalog!$Q:$Q,"&lt;&gt;Ishlamaydi*")+COUNTIFS(Katalog!$C:$C,"*"&amp;A96&amp;"*",Katalog!$Q:$Q,"&lt;&gt;Ishlamaydi*")</f>
        <v>2</v>
      </c>
      <c r="F96" s="6"/>
      <c r="G96" s="6"/>
      <c r="H96" s="6" t="str">
        <f aca="false">IF(G96&lt;&gt;"","Takroriy",IF(E96=0,"Yetishmaydi",IF(F96="ha","Qisman to‘ldirilgan","Mavjud, lekin tekshirilmagan")))</f>
        <v>Mavjud, lekin tekshirilmagan</v>
      </c>
      <c r="I96" s="6"/>
    </row>
    <row r="97" customFormat="false" ht="23.85" hidden="false" customHeight="false" outlineLevel="0" collapsed="false">
      <c r="A97" s="6" t="s">
        <v>262</v>
      </c>
      <c r="B97" s="6" t="s">
        <v>174</v>
      </c>
      <c r="C97" s="6" t="s">
        <v>252</v>
      </c>
      <c r="D97" s="6" t="s">
        <v>263</v>
      </c>
      <c r="E97" s="6" t="n">
        <f aca="false">COUNTIFS(Katalog!$B:$B,A97,Katalog!$Q:$Q,"&lt;&gt;Ishlamaydi*")+COUNTIFS(Katalog!$C:$C,"*"&amp;A97&amp;"*",Katalog!$Q:$Q,"&lt;&gt;Ishlamaydi*")</f>
        <v>3</v>
      </c>
      <c r="F97" s="6"/>
      <c r="G97" s="6"/>
      <c r="H97" s="6" t="str">
        <f aca="false">IF(G97&lt;&gt;"","Takroriy",IF(E97=0,"Yetishmaydi",IF(F97="ha","Qisman to‘ldirilgan","Mavjud, lekin tekshirilmagan")))</f>
        <v>Mavjud, lekin tekshirilmagan</v>
      </c>
      <c r="I97" s="6"/>
    </row>
    <row r="98" customFormat="false" ht="23.85" hidden="false" customHeight="false" outlineLevel="0" collapsed="false">
      <c r="A98" s="6" t="s">
        <v>264</v>
      </c>
      <c r="B98" s="6" t="s">
        <v>174</v>
      </c>
      <c r="C98" s="6" t="s">
        <v>252</v>
      </c>
      <c r="D98" s="6" t="s">
        <v>265</v>
      </c>
      <c r="E98" s="6" t="n">
        <f aca="false">COUNTIFS(Katalog!$B:$B,A98,Katalog!$Q:$Q,"&lt;&gt;Ishlamaydi*")+COUNTIFS(Katalog!$C:$C,"*"&amp;A98&amp;"*",Katalog!$Q:$Q,"&lt;&gt;Ishlamaydi*")</f>
        <v>3</v>
      </c>
      <c r="F98" s="6"/>
      <c r="G98" s="6"/>
      <c r="H98" s="6" t="str">
        <f aca="false">IF(G98&lt;&gt;"","Takroriy",IF(E98=0,"Yetishmaydi",IF(F98="ha","Qisman to‘ldirilgan","Mavjud, lekin tekshirilmagan")))</f>
        <v>Mavjud, lekin tekshirilmagan</v>
      </c>
      <c r="I98" s="6"/>
    </row>
    <row r="99" customFormat="false" ht="23.85" hidden="false" customHeight="false" outlineLevel="0" collapsed="false">
      <c r="A99" s="6" t="s">
        <v>266</v>
      </c>
      <c r="B99" s="6" t="s">
        <v>174</v>
      </c>
      <c r="C99" s="6" t="s">
        <v>252</v>
      </c>
      <c r="D99" s="6" t="s">
        <v>267</v>
      </c>
      <c r="E99" s="6" t="n">
        <f aca="false">COUNTIFS(Katalog!$B:$B,A99,Katalog!$Q:$Q,"&lt;&gt;Ishlamaydi*")+COUNTIFS(Katalog!$C:$C,"*"&amp;A99&amp;"*",Katalog!$Q:$Q,"&lt;&gt;Ishlamaydi*")</f>
        <v>2</v>
      </c>
      <c r="F99" s="6"/>
      <c r="G99" s="6"/>
      <c r="H99" s="6" t="str">
        <f aca="false">IF(G99&lt;&gt;"","Takroriy",IF(E99=0,"Yetishmaydi",IF(F99="ha","Qisman to‘ldirilgan","Mavjud, lekin tekshirilmagan")))</f>
        <v>Mavjud, lekin tekshirilmagan</v>
      </c>
      <c r="I99" s="6"/>
    </row>
    <row r="100" customFormat="false" ht="23.85" hidden="false" customHeight="false" outlineLevel="0" collapsed="false">
      <c r="A100" s="6" t="s">
        <v>268</v>
      </c>
      <c r="B100" s="6" t="s">
        <v>174</v>
      </c>
      <c r="C100" s="6" t="s">
        <v>252</v>
      </c>
      <c r="D100" s="6" t="s">
        <v>269</v>
      </c>
      <c r="E100" s="6" t="n">
        <f aca="false">COUNTIFS(Katalog!$B:$B,A100,Katalog!$Q:$Q,"&lt;&gt;Ishlamaydi*")+COUNTIFS(Katalog!$C:$C,"*"&amp;A100&amp;"*",Katalog!$Q:$Q,"&lt;&gt;Ishlamaydi*")</f>
        <v>3</v>
      </c>
      <c r="F100" s="6" t="s">
        <v>55</v>
      </c>
      <c r="G100" s="6"/>
      <c r="H100" s="6" t="str">
        <f aca="false">IF(G100&lt;&gt;"","Takroriy",IF(E100=0,"Yetishmaydi",IF(F100="ha","Qisman to‘ldirilgan","Mavjud, lekin tekshirilmagan")))</f>
        <v>Qisman to‘ldirilgan</v>
      </c>
      <c r="I100" s="6"/>
    </row>
    <row r="101" customFormat="false" ht="23.85" hidden="false" customHeight="false" outlineLevel="0" collapsed="false">
      <c r="A101" s="6" t="s">
        <v>270</v>
      </c>
      <c r="B101" s="6" t="s">
        <v>271</v>
      </c>
      <c r="C101" s="6" t="s">
        <v>272</v>
      </c>
      <c r="D101" s="6" t="s">
        <v>273</v>
      </c>
      <c r="E101" s="6" t="n">
        <f aca="false">COUNTIFS(Katalog!$B:$B,A101,Katalog!$Q:$Q,"&lt;&gt;Ishlamaydi*")+COUNTIFS(Katalog!$C:$C,"*"&amp;A101&amp;"*",Katalog!$Q:$Q,"&lt;&gt;Ishlamaydi*")</f>
        <v>1</v>
      </c>
      <c r="F101" s="6"/>
      <c r="G101" s="6"/>
      <c r="H101" s="6" t="str">
        <f aca="false">IF(G101&lt;&gt;"","Takroriy",IF(E101=0,"Yetishmaydi",IF(F101="ha","Qisman to‘ldirilgan","Mavjud, lekin tekshirilmagan")))</f>
        <v>Mavjud, lekin tekshirilmagan</v>
      </c>
      <c r="I101" s="6"/>
    </row>
    <row r="102" customFormat="false" ht="23.85" hidden="false" customHeight="false" outlineLevel="0" collapsed="false">
      <c r="A102" s="6" t="s">
        <v>274</v>
      </c>
      <c r="B102" s="6" t="s">
        <v>271</v>
      </c>
      <c r="C102" s="6" t="s">
        <v>272</v>
      </c>
      <c r="D102" s="6" t="s">
        <v>275</v>
      </c>
      <c r="E102" s="6" t="n">
        <f aca="false">COUNTIFS(Katalog!$B:$B,A102,Katalog!$Q:$Q,"&lt;&gt;Ishlamaydi*")+COUNTIFS(Katalog!$C:$C,"*"&amp;A102&amp;"*",Katalog!$Q:$Q,"&lt;&gt;Ishlamaydi*")</f>
        <v>3</v>
      </c>
      <c r="F102" s="6"/>
      <c r="G102" s="6"/>
      <c r="H102" s="6" t="str">
        <f aca="false">IF(G102&lt;&gt;"","Takroriy",IF(E102=0,"Yetishmaydi",IF(F102="ha","Qisman to‘ldirilgan","Mavjud, lekin tekshirilmagan")))</f>
        <v>Mavjud, lekin tekshirilmagan</v>
      </c>
      <c r="I102" s="6"/>
    </row>
    <row r="103" customFormat="false" ht="23.85" hidden="false" customHeight="false" outlineLevel="0" collapsed="false">
      <c r="A103" s="6" t="s">
        <v>276</v>
      </c>
      <c r="B103" s="6" t="s">
        <v>271</v>
      </c>
      <c r="C103" s="6" t="s">
        <v>272</v>
      </c>
      <c r="D103" s="6" t="s">
        <v>277</v>
      </c>
      <c r="E103" s="6" t="n">
        <f aca="false">COUNTIFS(Katalog!$B:$B,A103,Katalog!$Q:$Q,"&lt;&gt;Ishlamaydi*")+COUNTIFS(Katalog!$C:$C,"*"&amp;A103&amp;"*",Katalog!$Q:$Q,"&lt;&gt;Ishlamaydi*")</f>
        <v>2</v>
      </c>
      <c r="F103" s="6"/>
      <c r="G103" s="6"/>
      <c r="H103" s="6" t="str">
        <f aca="false">IF(G103&lt;&gt;"","Takroriy",IF(E103=0,"Yetishmaydi",IF(F103="ha","Qisman to‘ldirilgan","Mavjud, lekin tekshirilmagan")))</f>
        <v>Mavjud, lekin tekshirilmagan</v>
      </c>
      <c r="I103" s="6"/>
    </row>
    <row r="104" customFormat="false" ht="23.85" hidden="false" customHeight="false" outlineLevel="0" collapsed="false">
      <c r="A104" s="6" t="s">
        <v>278</v>
      </c>
      <c r="B104" s="6" t="s">
        <v>271</v>
      </c>
      <c r="C104" s="6" t="s">
        <v>272</v>
      </c>
      <c r="D104" s="6" t="s">
        <v>279</v>
      </c>
      <c r="E104" s="6" t="n">
        <f aca="false">COUNTIFS(Katalog!$B:$B,A104,Katalog!$Q:$Q,"&lt;&gt;Ishlamaydi*")+COUNTIFS(Katalog!$C:$C,"*"&amp;A104&amp;"*",Katalog!$Q:$Q,"&lt;&gt;Ishlamaydi*")</f>
        <v>4</v>
      </c>
      <c r="F104" s="6"/>
      <c r="G104" s="6"/>
      <c r="H104" s="6" t="str">
        <f aca="false">IF(G104&lt;&gt;"","Takroriy",IF(E104=0,"Yetishmaydi",IF(F104="ha","Qisman to‘ldirilgan","Mavjud, lekin tekshirilmagan")))</f>
        <v>Mavjud, lekin tekshirilmagan</v>
      </c>
      <c r="I104" s="6"/>
    </row>
    <row r="105" customFormat="false" ht="23.85" hidden="false" customHeight="false" outlineLevel="0" collapsed="false">
      <c r="A105" s="6" t="s">
        <v>280</v>
      </c>
      <c r="B105" s="6" t="s">
        <v>271</v>
      </c>
      <c r="C105" s="6" t="s">
        <v>272</v>
      </c>
      <c r="D105" s="6" t="s">
        <v>281</v>
      </c>
      <c r="E105" s="6" t="n">
        <f aca="false">COUNTIFS(Katalog!$B:$B,A105,Katalog!$Q:$Q,"&lt;&gt;Ishlamaydi*")+COUNTIFS(Katalog!$C:$C,"*"&amp;A105&amp;"*",Katalog!$Q:$Q,"&lt;&gt;Ishlamaydi*")</f>
        <v>4</v>
      </c>
      <c r="F105" s="6"/>
      <c r="G105" s="6"/>
      <c r="H105" s="6" t="str">
        <f aca="false">IF(G105&lt;&gt;"","Takroriy",IF(E105=0,"Yetishmaydi",IF(F105="ha","Qisman to‘ldirilgan","Mavjud, lekin tekshirilmagan")))</f>
        <v>Mavjud, lekin tekshirilmagan</v>
      </c>
      <c r="I105" s="6"/>
    </row>
    <row r="106" customFormat="false" ht="23.85" hidden="false" customHeight="false" outlineLevel="0" collapsed="false">
      <c r="A106" s="6" t="s">
        <v>282</v>
      </c>
      <c r="B106" s="6" t="s">
        <v>271</v>
      </c>
      <c r="C106" s="6" t="s">
        <v>272</v>
      </c>
      <c r="D106" s="6" t="s">
        <v>283</v>
      </c>
      <c r="E106" s="6" t="n">
        <f aca="false">COUNTIFS(Katalog!$B:$B,A106,Katalog!$Q:$Q,"&lt;&gt;Ishlamaydi*")+COUNTIFS(Katalog!$C:$C,"*"&amp;A106&amp;"*",Katalog!$Q:$Q,"&lt;&gt;Ishlamaydi*")</f>
        <v>1</v>
      </c>
      <c r="F106" s="6"/>
      <c r="G106" s="6"/>
      <c r="H106" s="6" t="str">
        <f aca="false">IF(G106&lt;&gt;"","Takroriy",IF(E106=0,"Yetishmaydi",IF(F106="ha","Qisman to‘ldirilgan","Mavjud, lekin tekshirilmagan")))</f>
        <v>Mavjud, lekin tekshirilmagan</v>
      </c>
      <c r="I106" s="6"/>
    </row>
    <row r="107" customFormat="false" ht="23.85" hidden="false" customHeight="false" outlineLevel="0" collapsed="false">
      <c r="A107" s="6" t="s">
        <v>284</v>
      </c>
      <c r="B107" s="6" t="s">
        <v>271</v>
      </c>
      <c r="C107" s="6" t="s">
        <v>272</v>
      </c>
      <c r="D107" s="6" t="s">
        <v>285</v>
      </c>
      <c r="E107" s="6" t="n">
        <f aca="false">COUNTIFS(Katalog!$B:$B,A107,Katalog!$Q:$Q,"&lt;&gt;Ishlamaydi*")+COUNTIFS(Katalog!$C:$C,"*"&amp;A107&amp;"*",Katalog!$Q:$Q,"&lt;&gt;Ishlamaydi*")</f>
        <v>4</v>
      </c>
      <c r="F107" s="6"/>
      <c r="G107" s="6"/>
      <c r="H107" s="6" t="str">
        <f aca="false">IF(G107&lt;&gt;"","Takroriy",IF(E107=0,"Yetishmaydi",IF(F107="ha","Qisman to‘ldirilgan","Mavjud, lekin tekshirilmagan")))</f>
        <v>Mavjud, lekin tekshirilmagan</v>
      </c>
      <c r="I107" s="6"/>
    </row>
    <row r="108" customFormat="false" ht="23.85" hidden="false" customHeight="false" outlineLevel="0" collapsed="false">
      <c r="A108" s="6" t="s">
        <v>286</v>
      </c>
      <c r="B108" s="6" t="s">
        <v>271</v>
      </c>
      <c r="C108" s="6" t="s">
        <v>272</v>
      </c>
      <c r="D108" s="6" t="s">
        <v>287</v>
      </c>
      <c r="E108" s="6" t="n">
        <f aca="false">COUNTIFS(Katalog!$B:$B,A108,Katalog!$Q:$Q,"&lt;&gt;Ishlamaydi*")+COUNTIFS(Katalog!$C:$C,"*"&amp;A108&amp;"*",Katalog!$Q:$Q,"&lt;&gt;Ishlamaydi*")</f>
        <v>1</v>
      </c>
      <c r="F108" s="6"/>
      <c r="G108" s="6"/>
      <c r="H108" s="6" t="str">
        <f aca="false">IF(G108&lt;&gt;"","Takroriy",IF(E108=0,"Yetishmaydi",IF(F108="ha","Qisman to‘ldirilgan","Mavjud, lekin tekshirilmagan")))</f>
        <v>Mavjud, lekin tekshirilmagan</v>
      </c>
      <c r="I108" s="6"/>
    </row>
    <row r="109" customFormat="false" ht="23.85" hidden="false" customHeight="false" outlineLevel="0" collapsed="false">
      <c r="A109" s="6" t="s">
        <v>288</v>
      </c>
      <c r="B109" s="6" t="s">
        <v>271</v>
      </c>
      <c r="C109" s="6" t="s">
        <v>272</v>
      </c>
      <c r="D109" s="6" t="s">
        <v>289</v>
      </c>
      <c r="E109" s="6" t="n">
        <f aca="false">COUNTIFS(Katalog!$B:$B,A109,Katalog!$Q:$Q,"&lt;&gt;Ishlamaydi*")+COUNTIFS(Katalog!$C:$C,"*"&amp;A109&amp;"*",Katalog!$Q:$Q,"&lt;&gt;Ishlamaydi*")</f>
        <v>1</v>
      </c>
      <c r="F109" s="6"/>
      <c r="G109" s="6"/>
      <c r="H109" s="6" t="str">
        <f aca="false">IF(G109&lt;&gt;"","Takroriy",IF(E109=0,"Yetishmaydi",IF(F109="ha","Qisman to‘ldirilgan","Mavjud, lekin tekshirilmagan")))</f>
        <v>Mavjud, lekin tekshirilmagan</v>
      </c>
      <c r="I109" s="6"/>
    </row>
    <row r="110" customFormat="false" ht="23.85" hidden="false" customHeight="false" outlineLevel="0" collapsed="false">
      <c r="A110" s="6" t="s">
        <v>290</v>
      </c>
      <c r="B110" s="6" t="s">
        <v>271</v>
      </c>
      <c r="C110" s="6" t="s">
        <v>272</v>
      </c>
      <c r="D110" s="6" t="s">
        <v>291</v>
      </c>
      <c r="E110" s="6" t="n">
        <f aca="false">COUNTIFS(Katalog!$B:$B,A110,Katalog!$Q:$Q,"&lt;&gt;Ishlamaydi*")+COUNTIFS(Katalog!$C:$C,"*"&amp;A110&amp;"*",Katalog!$Q:$Q,"&lt;&gt;Ishlamaydi*")</f>
        <v>2</v>
      </c>
      <c r="F110" s="6"/>
      <c r="G110" s="6"/>
      <c r="H110" s="6" t="str">
        <f aca="false">IF(G110&lt;&gt;"","Takroriy",IF(E110=0,"Yetishmaydi",IF(F110="ha","Qisman to‘ldirilgan","Mavjud, lekin tekshirilmagan")))</f>
        <v>Mavjud, lekin tekshirilmagan</v>
      </c>
      <c r="I110" s="6"/>
    </row>
    <row r="111" customFormat="false" ht="23.85" hidden="false" customHeight="false" outlineLevel="0" collapsed="false">
      <c r="A111" s="6" t="s">
        <v>292</v>
      </c>
      <c r="B111" s="6" t="s">
        <v>271</v>
      </c>
      <c r="C111" s="6" t="s">
        <v>293</v>
      </c>
      <c r="D111" s="6" t="s">
        <v>294</v>
      </c>
      <c r="E111" s="6" t="n">
        <f aca="false">COUNTIFS(Katalog!$B:$B,A111,Katalog!$Q:$Q,"&lt;&gt;Ishlamaydi*")+COUNTIFS(Katalog!$C:$C,"*"&amp;A111&amp;"*",Katalog!$Q:$Q,"&lt;&gt;Ishlamaydi*")</f>
        <v>2</v>
      </c>
      <c r="F111" s="6"/>
      <c r="G111" s="6"/>
      <c r="H111" s="6" t="str">
        <f aca="false">IF(G111&lt;&gt;"","Takroriy",IF(E111=0,"Yetishmaydi",IF(F111="ha","Qisman to‘ldirilgan","Mavjud, lekin tekshirilmagan")))</f>
        <v>Mavjud, lekin tekshirilmagan</v>
      </c>
      <c r="I111" s="6"/>
    </row>
    <row r="112" customFormat="false" ht="23.85" hidden="false" customHeight="false" outlineLevel="0" collapsed="false">
      <c r="A112" s="6" t="s">
        <v>295</v>
      </c>
      <c r="B112" s="6" t="s">
        <v>271</v>
      </c>
      <c r="C112" s="6" t="s">
        <v>293</v>
      </c>
      <c r="D112" s="6" t="s">
        <v>296</v>
      </c>
      <c r="E112" s="6" t="n">
        <f aca="false">COUNTIFS(Katalog!$B:$B,A112,Katalog!$Q:$Q,"&lt;&gt;Ishlamaydi*")+COUNTIFS(Katalog!$C:$C,"*"&amp;A112&amp;"*",Katalog!$Q:$Q,"&lt;&gt;Ishlamaydi*")</f>
        <v>1</v>
      </c>
      <c r="F112" s="6"/>
      <c r="G112" s="6"/>
      <c r="H112" s="6" t="str">
        <f aca="false">IF(G112&lt;&gt;"","Takroriy",IF(E112=0,"Yetishmaydi",IF(F112="ha","Qisman to‘ldirilgan","Mavjud, lekin tekshirilmagan")))</f>
        <v>Mavjud, lekin tekshirilmagan</v>
      </c>
      <c r="I112" s="6"/>
    </row>
    <row r="113" customFormat="false" ht="23.85" hidden="false" customHeight="false" outlineLevel="0" collapsed="false">
      <c r="A113" s="6" t="s">
        <v>297</v>
      </c>
      <c r="B113" s="6" t="s">
        <v>271</v>
      </c>
      <c r="C113" s="6" t="s">
        <v>293</v>
      </c>
      <c r="D113" s="6" t="s">
        <v>298</v>
      </c>
      <c r="E113" s="6" t="n">
        <f aca="false">COUNTIFS(Katalog!$B:$B,A113,Katalog!$Q:$Q,"&lt;&gt;Ishlamaydi*")+COUNTIFS(Katalog!$C:$C,"*"&amp;A113&amp;"*",Katalog!$Q:$Q,"&lt;&gt;Ishlamaydi*")</f>
        <v>4</v>
      </c>
      <c r="F113" s="6"/>
      <c r="G113" s="6"/>
      <c r="H113" s="6" t="str">
        <f aca="false">IF(G113&lt;&gt;"","Takroriy",IF(E113=0,"Yetishmaydi",IF(F113="ha","Qisman to‘ldirilgan","Mavjud, lekin tekshirilmagan")))</f>
        <v>Mavjud, lekin tekshirilmagan</v>
      </c>
      <c r="I113" s="6"/>
    </row>
    <row r="114" customFormat="false" ht="23.85" hidden="false" customHeight="false" outlineLevel="0" collapsed="false">
      <c r="A114" s="6" t="s">
        <v>299</v>
      </c>
      <c r="B114" s="6" t="s">
        <v>271</v>
      </c>
      <c r="C114" s="6" t="s">
        <v>293</v>
      </c>
      <c r="D114" s="6" t="s">
        <v>300</v>
      </c>
      <c r="E114" s="6" t="n">
        <f aca="false">COUNTIFS(Katalog!$B:$B,A114,Katalog!$Q:$Q,"&lt;&gt;Ishlamaydi*")+COUNTIFS(Katalog!$C:$C,"*"&amp;A114&amp;"*",Katalog!$Q:$Q,"&lt;&gt;Ishlamaydi*")</f>
        <v>2</v>
      </c>
      <c r="F114" s="6"/>
      <c r="G114" s="6"/>
      <c r="H114" s="6" t="str">
        <f aca="false">IF(G114&lt;&gt;"","Takroriy",IF(E114=0,"Yetishmaydi",IF(F114="ha","Qisman to‘ldirilgan","Mavjud, lekin tekshirilmagan")))</f>
        <v>Mavjud, lekin tekshirilmagan</v>
      </c>
      <c r="I114" s="6"/>
    </row>
    <row r="115" customFormat="false" ht="23.85" hidden="false" customHeight="false" outlineLevel="0" collapsed="false">
      <c r="A115" s="6" t="s">
        <v>301</v>
      </c>
      <c r="B115" s="6" t="s">
        <v>271</v>
      </c>
      <c r="C115" s="6" t="s">
        <v>293</v>
      </c>
      <c r="D115" s="6" t="s">
        <v>302</v>
      </c>
      <c r="E115" s="6" t="n">
        <f aca="false">COUNTIFS(Katalog!$B:$B,A115,Katalog!$Q:$Q,"&lt;&gt;Ishlamaydi*")+COUNTIFS(Katalog!$C:$C,"*"&amp;A115&amp;"*",Katalog!$Q:$Q,"&lt;&gt;Ishlamaydi*")</f>
        <v>3</v>
      </c>
      <c r="F115" s="6"/>
      <c r="G115" s="6"/>
      <c r="H115" s="6" t="str">
        <f aca="false">IF(G115&lt;&gt;"","Takroriy",IF(E115=0,"Yetishmaydi",IF(F115="ha","Qisman to‘ldirilgan","Mavjud, lekin tekshirilmagan")))</f>
        <v>Mavjud, lekin tekshirilmagan</v>
      </c>
      <c r="I115" s="6"/>
    </row>
    <row r="116" customFormat="false" ht="23.85" hidden="false" customHeight="false" outlineLevel="0" collapsed="false">
      <c r="A116" s="6" t="s">
        <v>303</v>
      </c>
      <c r="B116" s="6" t="s">
        <v>271</v>
      </c>
      <c r="C116" s="6" t="s">
        <v>293</v>
      </c>
      <c r="D116" s="6" t="s">
        <v>304</v>
      </c>
      <c r="E116" s="6" t="n">
        <f aca="false">COUNTIFS(Katalog!$B:$B,A116,Katalog!$Q:$Q,"&lt;&gt;Ishlamaydi*")+COUNTIFS(Katalog!$C:$C,"*"&amp;A116&amp;"*",Katalog!$Q:$Q,"&lt;&gt;Ishlamaydi*")</f>
        <v>2</v>
      </c>
      <c r="F116" s="6"/>
      <c r="G116" s="6"/>
      <c r="H116" s="6" t="str">
        <f aca="false">IF(G116&lt;&gt;"","Takroriy",IF(E116=0,"Yetishmaydi",IF(F116="ha","Qisman to‘ldirilgan","Mavjud, lekin tekshirilmagan")))</f>
        <v>Mavjud, lekin tekshirilmagan</v>
      </c>
      <c r="I116" s="6"/>
    </row>
    <row r="117" customFormat="false" ht="23.85" hidden="false" customHeight="false" outlineLevel="0" collapsed="false">
      <c r="A117" s="6" t="s">
        <v>305</v>
      </c>
      <c r="B117" s="6" t="s">
        <v>271</v>
      </c>
      <c r="C117" s="6" t="s">
        <v>293</v>
      </c>
      <c r="D117" s="6" t="s">
        <v>306</v>
      </c>
      <c r="E117" s="6" t="n">
        <f aca="false">COUNTIFS(Katalog!$B:$B,A117,Katalog!$Q:$Q,"&lt;&gt;Ishlamaydi*")+COUNTIFS(Katalog!$C:$C,"*"&amp;A117&amp;"*",Katalog!$Q:$Q,"&lt;&gt;Ishlamaydi*")</f>
        <v>3</v>
      </c>
      <c r="F117" s="6"/>
      <c r="G117" s="6"/>
      <c r="H117" s="6" t="str">
        <f aca="false">IF(G117&lt;&gt;"","Takroriy",IF(E117=0,"Yetishmaydi",IF(F117="ha","Qisman to‘ldirilgan","Mavjud, lekin tekshirilmagan")))</f>
        <v>Mavjud, lekin tekshirilmagan</v>
      </c>
      <c r="I117" s="6"/>
    </row>
    <row r="118" customFormat="false" ht="23.85" hidden="false" customHeight="false" outlineLevel="0" collapsed="false">
      <c r="A118" s="6" t="s">
        <v>307</v>
      </c>
      <c r="B118" s="6" t="s">
        <v>271</v>
      </c>
      <c r="C118" s="6" t="s">
        <v>293</v>
      </c>
      <c r="D118" s="6" t="s">
        <v>308</v>
      </c>
      <c r="E118" s="6" t="n">
        <f aca="false">COUNTIFS(Katalog!$B:$B,A118,Katalog!$Q:$Q,"&lt;&gt;Ishlamaydi*")+COUNTIFS(Katalog!$C:$C,"*"&amp;A118&amp;"*",Katalog!$Q:$Q,"&lt;&gt;Ishlamaydi*")</f>
        <v>2</v>
      </c>
      <c r="F118" s="6"/>
      <c r="G118" s="6"/>
      <c r="H118" s="6" t="str">
        <f aca="false">IF(G118&lt;&gt;"","Takroriy",IF(E118=0,"Yetishmaydi",IF(F118="ha","Qisman to‘ldirilgan","Mavjud, lekin tekshirilmagan")))</f>
        <v>Mavjud, lekin tekshirilmagan</v>
      </c>
      <c r="I118" s="6"/>
    </row>
    <row r="119" customFormat="false" ht="23.85" hidden="false" customHeight="false" outlineLevel="0" collapsed="false">
      <c r="A119" s="6" t="s">
        <v>309</v>
      </c>
      <c r="B119" s="6" t="s">
        <v>271</v>
      </c>
      <c r="C119" s="6" t="s">
        <v>293</v>
      </c>
      <c r="D119" s="6" t="s">
        <v>310</v>
      </c>
      <c r="E119" s="6" t="n">
        <f aca="false">COUNTIFS(Katalog!$B:$B,A119,Katalog!$Q:$Q,"&lt;&gt;Ishlamaydi*")+COUNTIFS(Katalog!$C:$C,"*"&amp;A119&amp;"*",Katalog!$Q:$Q,"&lt;&gt;Ishlamaydi*")</f>
        <v>2</v>
      </c>
      <c r="F119" s="6"/>
      <c r="G119" s="6"/>
      <c r="H119" s="6" t="str">
        <f aca="false">IF(G119&lt;&gt;"","Takroriy",IF(E119=0,"Yetishmaydi",IF(F119="ha","Qisman to‘ldirilgan","Mavjud, lekin tekshirilmagan")))</f>
        <v>Mavjud, lekin tekshirilmagan</v>
      </c>
      <c r="I119" s="6"/>
    </row>
    <row r="120" customFormat="false" ht="23.85" hidden="false" customHeight="false" outlineLevel="0" collapsed="false">
      <c r="A120" s="6" t="s">
        <v>311</v>
      </c>
      <c r="B120" s="6" t="s">
        <v>312</v>
      </c>
      <c r="C120" s="6" t="s">
        <v>313</v>
      </c>
      <c r="D120" s="6" t="s">
        <v>314</v>
      </c>
      <c r="E120" s="6" t="n">
        <f aca="false">COUNTIFS(Katalog!$B:$B,A120,Katalog!$Q:$Q,"&lt;&gt;Ishlamaydi*")+COUNTIFS(Katalog!$C:$C,"*"&amp;A120&amp;"*",Katalog!$Q:$Q,"&lt;&gt;Ishlamaydi*")</f>
        <v>3</v>
      </c>
      <c r="F120" s="6"/>
      <c r="G120" s="6"/>
      <c r="H120" s="6" t="str">
        <f aca="false">IF(G120&lt;&gt;"","Takroriy",IF(E120=0,"Yetishmaydi",IF(F120="ha","Qisman to‘ldirilgan","Mavjud, lekin tekshirilmagan")))</f>
        <v>Mavjud, lekin tekshirilmagan</v>
      </c>
      <c r="I120" s="6"/>
    </row>
    <row r="121" customFormat="false" ht="23.85" hidden="false" customHeight="false" outlineLevel="0" collapsed="false">
      <c r="A121" s="6" t="s">
        <v>315</v>
      </c>
      <c r="B121" s="6" t="s">
        <v>312</v>
      </c>
      <c r="C121" s="6" t="s">
        <v>313</v>
      </c>
      <c r="D121" s="6" t="s">
        <v>316</v>
      </c>
      <c r="E121" s="6" t="n">
        <f aca="false">COUNTIFS(Katalog!$B:$B,A121,Katalog!$Q:$Q,"&lt;&gt;Ishlamaydi*")+COUNTIFS(Katalog!$C:$C,"*"&amp;A121&amp;"*",Katalog!$Q:$Q,"&lt;&gt;Ishlamaydi*")</f>
        <v>3</v>
      </c>
      <c r="F121" s="6"/>
      <c r="G121" s="6"/>
      <c r="H121" s="6" t="str">
        <f aca="false">IF(G121&lt;&gt;"","Takroriy",IF(E121=0,"Yetishmaydi",IF(F121="ha","Qisman to‘ldirilgan","Mavjud, lekin tekshirilmagan")))</f>
        <v>Mavjud, lekin tekshirilmagan</v>
      </c>
      <c r="I121" s="6"/>
    </row>
    <row r="122" customFormat="false" ht="23.85" hidden="false" customHeight="false" outlineLevel="0" collapsed="false">
      <c r="A122" s="6" t="s">
        <v>317</v>
      </c>
      <c r="B122" s="6" t="s">
        <v>312</v>
      </c>
      <c r="C122" s="6" t="s">
        <v>313</v>
      </c>
      <c r="D122" s="6" t="s">
        <v>318</v>
      </c>
      <c r="E122" s="6" t="n">
        <f aca="false">COUNTIFS(Katalog!$B:$B,A122,Katalog!$Q:$Q,"&lt;&gt;Ishlamaydi*")+COUNTIFS(Katalog!$C:$C,"*"&amp;A122&amp;"*",Katalog!$Q:$Q,"&lt;&gt;Ishlamaydi*")</f>
        <v>2</v>
      </c>
      <c r="F122" s="6"/>
      <c r="G122" s="6"/>
      <c r="H122" s="6" t="str">
        <f aca="false">IF(G122&lt;&gt;"","Takroriy",IF(E122=0,"Yetishmaydi",IF(F122="ha","Qisman to‘ldirilgan","Mavjud, lekin tekshirilmagan")))</f>
        <v>Mavjud, lekin tekshirilmagan</v>
      </c>
      <c r="I122" s="6"/>
    </row>
    <row r="123" customFormat="false" ht="23.85" hidden="false" customHeight="false" outlineLevel="0" collapsed="false">
      <c r="A123" s="6" t="s">
        <v>319</v>
      </c>
      <c r="B123" s="6" t="s">
        <v>312</v>
      </c>
      <c r="C123" s="6" t="s">
        <v>313</v>
      </c>
      <c r="D123" s="6" t="s">
        <v>320</v>
      </c>
      <c r="E123" s="6" t="n">
        <f aca="false">COUNTIFS(Katalog!$B:$B,A123,Katalog!$Q:$Q,"&lt;&gt;Ishlamaydi*")+COUNTIFS(Katalog!$C:$C,"*"&amp;A123&amp;"*",Katalog!$Q:$Q,"&lt;&gt;Ishlamaydi*")</f>
        <v>1</v>
      </c>
      <c r="F123" s="6"/>
      <c r="G123" s="6"/>
      <c r="H123" s="6" t="str">
        <f aca="false">IF(G123&lt;&gt;"","Takroriy",IF(E123=0,"Yetishmaydi",IF(F123="ha","Qisman to‘ldirilgan","Mavjud, lekin tekshirilmagan")))</f>
        <v>Mavjud, lekin tekshirilmagan</v>
      </c>
      <c r="I123" s="6"/>
    </row>
    <row r="124" customFormat="false" ht="23.85" hidden="false" customHeight="false" outlineLevel="0" collapsed="false">
      <c r="A124" s="6" t="s">
        <v>321</v>
      </c>
      <c r="B124" s="6" t="s">
        <v>312</v>
      </c>
      <c r="C124" s="6" t="s">
        <v>313</v>
      </c>
      <c r="D124" s="6" t="s">
        <v>322</v>
      </c>
      <c r="E124" s="6" t="n">
        <f aca="false">COUNTIFS(Katalog!$B:$B,A124,Katalog!$Q:$Q,"&lt;&gt;Ishlamaydi*")+COUNTIFS(Katalog!$C:$C,"*"&amp;A124&amp;"*",Katalog!$Q:$Q,"&lt;&gt;Ishlamaydi*")</f>
        <v>3</v>
      </c>
      <c r="F124" s="6"/>
      <c r="G124" s="6"/>
      <c r="H124" s="6" t="str">
        <f aca="false">IF(G124&lt;&gt;"","Takroriy",IF(E124=0,"Yetishmaydi",IF(F124="ha","Qisman to‘ldirilgan","Mavjud, lekin tekshirilmagan")))</f>
        <v>Mavjud, lekin tekshirilmagan</v>
      </c>
      <c r="I124" s="6"/>
    </row>
    <row r="125" customFormat="false" ht="23.85" hidden="false" customHeight="false" outlineLevel="0" collapsed="false">
      <c r="A125" s="6" t="s">
        <v>323</v>
      </c>
      <c r="B125" s="6" t="s">
        <v>312</v>
      </c>
      <c r="C125" s="6" t="s">
        <v>313</v>
      </c>
      <c r="D125" s="6" t="s">
        <v>324</v>
      </c>
      <c r="E125" s="6" t="n">
        <f aca="false">COUNTIFS(Katalog!$B:$B,A125,Katalog!$Q:$Q,"&lt;&gt;Ishlamaydi*")+COUNTIFS(Katalog!$C:$C,"*"&amp;A125&amp;"*",Katalog!$Q:$Q,"&lt;&gt;Ishlamaydi*")</f>
        <v>2</v>
      </c>
      <c r="F125" s="6"/>
      <c r="G125" s="6" t="s">
        <v>325</v>
      </c>
      <c r="H125" s="6" t="str">
        <f aca="false">IF(G125&lt;&gt;"","Takroriy",IF(E125=0,"Yetishmaydi",IF(F125="ha","Qisman to‘ldirilgan","Mavjud, lekin tekshirilmagan")))</f>
        <v>Takroriy</v>
      </c>
      <c r="I125" s="6"/>
    </row>
    <row r="126" customFormat="false" ht="23.85" hidden="false" customHeight="false" outlineLevel="0" collapsed="false">
      <c r="A126" s="6" t="s">
        <v>326</v>
      </c>
      <c r="B126" s="6" t="s">
        <v>312</v>
      </c>
      <c r="C126" s="6" t="s">
        <v>313</v>
      </c>
      <c r="D126" s="6" t="s">
        <v>327</v>
      </c>
      <c r="E126" s="6" t="n">
        <f aca="false">COUNTIFS(Katalog!$B:$B,A126,Katalog!$Q:$Q,"&lt;&gt;Ishlamaydi*")+COUNTIFS(Katalog!$C:$C,"*"&amp;A126&amp;"*",Katalog!$Q:$Q,"&lt;&gt;Ishlamaydi*")</f>
        <v>2</v>
      </c>
      <c r="F126" s="6"/>
      <c r="G126" s="6"/>
      <c r="H126" s="6" t="str">
        <f aca="false">IF(G126&lt;&gt;"","Takroriy",IF(E126=0,"Yetishmaydi",IF(F126="ha","Qisman to‘ldirilgan","Mavjud, lekin tekshirilmagan")))</f>
        <v>Mavjud, lekin tekshirilmagan</v>
      </c>
      <c r="I126" s="6"/>
    </row>
    <row r="127" customFormat="false" ht="23.85" hidden="false" customHeight="false" outlineLevel="0" collapsed="false">
      <c r="A127" s="6" t="s">
        <v>328</v>
      </c>
      <c r="B127" s="6" t="s">
        <v>312</v>
      </c>
      <c r="C127" s="6" t="s">
        <v>329</v>
      </c>
      <c r="D127" s="6" t="s">
        <v>330</v>
      </c>
      <c r="E127" s="6" t="n">
        <f aca="false">COUNTIFS(Katalog!$B:$B,A127,Katalog!$Q:$Q,"&lt;&gt;Ishlamaydi*")+COUNTIFS(Katalog!$C:$C,"*"&amp;A127&amp;"*",Katalog!$Q:$Q,"&lt;&gt;Ishlamaydi*")</f>
        <v>4</v>
      </c>
      <c r="F127" s="6"/>
      <c r="G127" s="6"/>
      <c r="H127" s="6" t="str">
        <f aca="false">IF(G127&lt;&gt;"","Takroriy",IF(E127=0,"Yetishmaydi",IF(F127="ha","Qisman to‘ldirilgan","Mavjud, lekin tekshirilmagan")))</f>
        <v>Mavjud, lekin tekshirilmagan</v>
      </c>
      <c r="I127" s="6"/>
    </row>
    <row r="128" customFormat="false" ht="23.85" hidden="false" customHeight="false" outlineLevel="0" collapsed="false">
      <c r="A128" s="6" t="s">
        <v>331</v>
      </c>
      <c r="B128" s="6" t="s">
        <v>312</v>
      </c>
      <c r="C128" s="6" t="s">
        <v>329</v>
      </c>
      <c r="D128" s="6" t="s">
        <v>332</v>
      </c>
      <c r="E128" s="6" t="n">
        <f aca="false">COUNTIFS(Katalog!$B:$B,A128,Katalog!$Q:$Q,"&lt;&gt;Ishlamaydi*")+COUNTIFS(Katalog!$C:$C,"*"&amp;A128&amp;"*",Katalog!$Q:$Q,"&lt;&gt;Ishlamaydi*")</f>
        <v>3</v>
      </c>
      <c r="F128" s="6"/>
      <c r="G128" s="6"/>
      <c r="H128" s="6" t="str">
        <f aca="false">IF(G128&lt;&gt;"","Takroriy",IF(E128=0,"Yetishmaydi",IF(F128="ha","Qisman to‘ldirilgan","Mavjud, lekin tekshirilmagan")))</f>
        <v>Mavjud, lekin tekshirilmagan</v>
      </c>
      <c r="I128" s="6"/>
    </row>
    <row r="129" customFormat="false" ht="23.85" hidden="false" customHeight="false" outlineLevel="0" collapsed="false">
      <c r="A129" s="6" t="s">
        <v>333</v>
      </c>
      <c r="B129" s="6" t="s">
        <v>312</v>
      </c>
      <c r="C129" s="6" t="s">
        <v>329</v>
      </c>
      <c r="D129" s="6" t="s">
        <v>334</v>
      </c>
      <c r="E129" s="6" t="n">
        <f aca="false">COUNTIFS(Katalog!$B:$B,A129,Katalog!$Q:$Q,"&lt;&gt;Ishlamaydi*")+COUNTIFS(Katalog!$C:$C,"*"&amp;A129&amp;"*",Katalog!$Q:$Q,"&lt;&gt;Ishlamaydi*")</f>
        <v>3</v>
      </c>
      <c r="F129" s="6"/>
      <c r="G129" s="6"/>
      <c r="H129" s="6" t="str">
        <f aca="false">IF(G129&lt;&gt;"","Takroriy",IF(E129=0,"Yetishmaydi",IF(F129="ha","Qisman to‘ldirilgan","Mavjud, lekin tekshirilmagan")))</f>
        <v>Mavjud, lekin tekshirilmagan</v>
      </c>
      <c r="I129" s="6"/>
    </row>
    <row r="130" customFormat="false" ht="23.85" hidden="false" customHeight="false" outlineLevel="0" collapsed="false">
      <c r="A130" s="6" t="s">
        <v>335</v>
      </c>
      <c r="B130" s="6" t="s">
        <v>312</v>
      </c>
      <c r="C130" s="6" t="s">
        <v>329</v>
      </c>
      <c r="D130" s="6" t="s">
        <v>336</v>
      </c>
      <c r="E130" s="6" t="n">
        <f aca="false">COUNTIFS(Katalog!$B:$B,A130,Katalog!$Q:$Q,"&lt;&gt;Ishlamaydi*")+COUNTIFS(Katalog!$C:$C,"*"&amp;A130&amp;"*",Katalog!$Q:$Q,"&lt;&gt;Ishlamaydi*")</f>
        <v>3</v>
      </c>
      <c r="F130" s="6"/>
      <c r="G130" s="6"/>
      <c r="H130" s="6" t="str">
        <f aca="false">IF(G130&lt;&gt;"","Takroriy",IF(E130=0,"Yetishmaydi",IF(F130="ha","Qisman to‘ldirilgan","Mavjud, lekin tekshirilmagan")))</f>
        <v>Mavjud, lekin tekshirilmagan</v>
      </c>
      <c r="I130" s="6"/>
    </row>
    <row r="131" customFormat="false" ht="23.85" hidden="false" customHeight="false" outlineLevel="0" collapsed="false">
      <c r="A131" s="6" t="s">
        <v>337</v>
      </c>
      <c r="B131" s="6" t="s">
        <v>312</v>
      </c>
      <c r="C131" s="6" t="s">
        <v>329</v>
      </c>
      <c r="D131" s="6" t="s">
        <v>338</v>
      </c>
      <c r="E131" s="6" t="n">
        <f aca="false">COUNTIFS(Katalog!$B:$B,A131,Katalog!$Q:$Q,"&lt;&gt;Ishlamaydi*")+COUNTIFS(Katalog!$C:$C,"*"&amp;A131&amp;"*",Katalog!$Q:$Q,"&lt;&gt;Ishlamaydi*")</f>
        <v>0</v>
      </c>
      <c r="F131" s="6"/>
      <c r="G131" s="6"/>
      <c r="H131" s="6" t="str">
        <f aca="false">IF(G131&lt;&gt;"","Takroriy",IF(E131=0,"Yetishmaydi",IF(F131="ha","Qisman to‘ldirilgan","Mavjud, lekin tekshirilmagan")))</f>
        <v>Yetishmaydi</v>
      </c>
      <c r="I131" s="6"/>
    </row>
    <row r="132" customFormat="false" ht="23.85" hidden="false" customHeight="false" outlineLevel="0" collapsed="false">
      <c r="A132" s="6" t="s">
        <v>339</v>
      </c>
      <c r="B132" s="6" t="s">
        <v>312</v>
      </c>
      <c r="C132" s="6" t="s">
        <v>340</v>
      </c>
      <c r="D132" s="6" t="s">
        <v>341</v>
      </c>
      <c r="E132" s="6" t="n">
        <f aca="false">COUNTIFS(Katalog!$B:$B,A132,Katalog!$Q:$Q,"&lt;&gt;Ishlamaydi*")+COUNTIFS(Katalog!$C:$C,"*"&amp;A132&amp;"*",Katalog!$Q:$Q,"&lt;&gt;Ishlamaydi*")</f>
        <v>2</v>
      </c>
      <c r="F132" s="6"/>
      <c r="G132" s="6"/>
      <c r="H132" s="6" t="str">
        <f aca="false">IF(G132&lt;&gt;"","Takroriy",IF(E132=0,"Yetishmaydi",IF(F132="ha","Qisman to‘ldirilgan","Mavjud, lekin tekshirilmagan")))</f>
        <v>Mavjud, lekin tekshirilmagan</v>
      </c>
      <c r="I132" s="6"/>
    </row>
    <row r="133" customFormat="false" ht="23.85" hidden="false" customHeight="false" outlineLevel="0" collapsed="false">
      <c r="A133" s="6" t="s">
        <v>342</v>
      </c>
      <c r="B133" s="6" t="s">
        <v>312</v>
      </c>
      <c r="C133" s="6" t="s">
        <v>340</v>
      </c>
      <c r="D133" s="6" t="s">
        <v>343</v>
      </c>
      <c r="E133" s="6" t="n">
        <f aca="false">COUNTIFS(Katalog!$B:$B,A133,Katalog!$Q:$Q,"&lt;&gt;Ishlamaydi*")+COUNTIFS(Katalog!$C:$C,"*"&amp;A133&amp;"*",Katalog!$Q:$Q,"&lt;&gt;Ishlamaydi*")</f>
        <v>2</v>
      </c>
      <c r="F133" s="6"/>
      <c r="G133" s="6"/>
      <c r="H133" s="6" t="str">
        <f aca="false">IF(G133&lt;&gt;"","Takroriy",IF(E133=0,"Yetishmaydi",IF(F133="ha","Qisman to‘ldirilgan","Mavjud, lekin tekshirilmagan")))</f>
        <v>Mavjud, lekin tekshirilmagan</v>
      </c>
      <c r="I133" s="6"/>
    </row>
    <row r="134" customFormat="false" ht="23.85" hidden="false" customHeight="false" outlineLevel="0" collapsed="false">
      <c r="A134" s="6" t="s">
        <v>344</v>
      </c>
      <c r="B134" s="6" t="s">
        <v>312</v>
      </c>
      <c r="C134" s="6" t="s">
        <v>340</v>
      </c>
      <c r="D134" s="6" t="s">
        <v>345</v>
      </c>
      <c r="E134" s="6" t="n">
        <f aca="false">COUNTIFS(Katalog!$B:$B,A134,Katalog!$Q:$Q,"&lt;&gt;Ishlamaydi*")+COUNTIFS(Katalog!$C:$C,"*"&amp;A134&amp;"*",Katalog!$Q:$Q,"&lt;&gt;Ishlamaydi*")</f>
        <v>2</v>
      </c>
      <c r="F134" s="6"/>
      <c r="G134" s="6"/>
      <c r="H134" s="6" t="str">
        <f aca="false">IF(G134&lt;&gt;"","Takroriy",IF(E134=0,"Yetishmaydi",IF(F134="ha","Qisman to‘ldirilgan","Mavjud, lekin tekshirilmagan")))</f>
        <v>Mavjud, lekin tekshirilmagan</v>
      </c>
      <c r="I134" s="6"/>
    </row>
    <row r="135" customFormat="false" ht="23.85" hidden="false" customHeight="false" outlineLevel="0" collapsed="false">
      <c r="A135" s="6" t="s">
        <v>346</v>
      </c>
      <c r="B135" s="6" t="s">
        <v>312</v>
      </c>
      <c r="C135" s="6" t="s">
        <v>340</v>
      </c>
      <c r="D135" s="6" t="s">
        <v>347</v>
      </c>
      <c r="E135" s="6" t="n">
        <f aca="false">COUNTIFS(Katalog!$B:$B,A135,Katalog!$Q:$Q,"&lt;&gt;Ishlamaydi*")+COUNTIFS(Katalog!$C:$C,"*"&amp;A135&amp;"*",Katalog!$Q:$Q,"&lt;&gt;Ishlamaydi*")</f>
        <v>4</v>
      </c>
      <c r="F135" s="6"/>
      <c r="G135" s="6"/>
      <c r="H135" s="6" t="str">
        <f aca="false">IF(G135&lt;&gt;"","Takroriy",IF(E135=0,"Yetishmaydi",IF(F135="ha","Qisman to‘ldirilgan","Mavjud, lekin tekshirilmagan")))</f>
        <v>Mavjud, lekin tekshirilmagan</v>
      </c>
      <c r="I135" s="6"/>
    </row>
    <row r="136" customFormat="false" ht="23.85" hidden="false" customHeight="false" outlineLevel="0" collapsed="false">
      <c r="A136" s="6" t="s">
        <v>348</v>
      </c>
      <c r="B136" s="6" t="s">
        <v>312</v>
      </c>
      <c r="C136" s="6" t="s">
        <v>340</v>
      </c>
      <c r="D136" s="6" t="s">
        <v>349</v>
      </c>
      <c r="E136" s="6" t="n">
        <f aca="false">COUNTIFS(Katalog!$B:$B,A136,Katalog!$Q:$Q,"&lt;&gt;Ishlamaydi*")+COUNTIFS(Katalog!$C:$C,"*"&amp;A136&amp;"*",Katalog!$Q:$Q,"&lt;&gt;Ishlamaydi*")</f>
        <v>2</v>
      </c>
      <c r="F136" s="6"/>
      <c r="G136" s="6"/>
      <c r="H136" s="6" t="str">
        <f aca="false">IF(G136&lt;&gt;"","Takroriy",IF(E136=0,"Yetishmaydi",IF(F136="ha","Qisman to‘ldirilgan","Mavjud, lekin tekshirilmagan")))</f>
        <v>Mavjud, lekin tekshirilmagan</v>
      </c>
      <c r="I136" s="6"/>
    </row>
    <row r="137" customFormat="false" ht="23.85" hidden="false" customHeight="false" outlineLevel="0" collapsed="false">
      <c r="A137" s="6" t="s">
        <v>350</v>
      </c>
      <c r="B137" s="6" t="s">
        <v>312</v>
      </c>
      <c r="C137" s="6" t="s">
        <v>340</v>
      </c>
      <c r="D137" s="6" t="s">
        <v>351</v>
      </c>
      <c r="E137" s="6" t="n">
        <f aca="false">COUNTIFS(Katalog!$B:$B,A137,Katalog!$Q:$Q,"&lt;&gt;Ishlamaydi*")+COUNTIFS(Katalog!$C:$C,"*"&amp;A137&amp;"*",Katalog!$Q:$Q,"&lt;&gt;Ishlamaydi*")</f>
        <v>2</v>
      </c>
      <c r="F137" s="6"/>
      <c r="G137" s="6"/>
      <c r="H137" s="6" t="str">
        <f aca="false">IF(G137&lt;&gt;"","Takroriy",IF(E137=0,"Yetishmaydi",IF(F137="ha","Qisman to‘ldirilgan","Mavjud, lekin tekshirilmagan")))</f>
        <v>Mavjud, lekin tekshirilmagan</v>
      </c>
      <c r="I137" s="6"/>
    </row>
    <row r="138" customFormat="false" ht="23.85" hidden="false" customHeight="false" outlineLevel="0" collapsed="false">
      <c r="A138" s="6" t="s">
        <v>352</v>
      </c>
      <c r="B138" s="6" t="s">
        <v>312</v>
      </c>
      <c r="C138" s="6" t="s">
        <v>340</v>
      </c>
      <c r="D138" s="6" t="s">
        <v>353</v>
      </c>
      <c r="E138" s="6" t="n">
        <f aca="false">COUNTIFS(Katalog!$B:$B,A138,Katalog!$Q:$Q,"&lt;&gt;Ishlamaydi*")+COUNTIFS(Katalog!$C:$C,"*"&amp;A138&amp;"*",Katalog!$Q:$Q,"&lt;&gt;Ishlamaydi*")</f>
        <v>4</v>
      </c>
      <c r="F138" s="6"/>
      <c r="G138" s="6"/>
      <c r="H138" s="6" t="str">
        <f aca="false">IF(G138&lt;&gt;"","Takroriy",IF(E138=0,"Yetishmaydi",IF(F138="ha","Qisman to‘ldirilgan","Mavjud, lekin tekshirilmagan")))</f>
        <v>Mavjud, lekin tekshirilmagan</v>
      </c>
      <c r="I138" s="6"/>
    </row>
    <row r="139" customFormat="false" ht="23.85" hidden="false" customHeight="false" outlineLevel="0" collapsed="false">
      <c r="A139" s="6" t="s">
        <v>354</v>
      </c>
      <c r="B139" s="6" t="s">
        <v>312</v>
      </c>
      <c r="C139" s="6" t="s">
        <v>340</v>
      </c>
      <c r="D139" s="6" t="s">
        <v>355</v>
      </c>
      <c r="E139" s="6" t="n">
        <f aca="false">COUNTIFS(Katalog!$B:$B,A139,Katalog!$Q:$Q,"&lt;&gt;Ishlamaydi*")+COUNTIFS(Katalog!$C:$C,"*"&amp;A139&amp;"*",Katalog!$Q:$Q,"&lt;&gt;Ishlamaydi*")</f>
        <v>3</v>
      </c>
      <c r="F139" s="6"/>
      <c r="G139" s="6"/>
      <c r="H139" s="6" t="str">
        <f aca="false">IF(G139&lt;&gt;"","Takroriy",IF(E139=0,"Yetishmaydi",IF(F139="ha","Qisman to‘ldirilgan","Mavjud, lekin tekshirilmagan")))</f>
        <v>Mavjud, lekin tekshirilmagan</v>
      </c>
      <c r="I139" s="6" t="s">
        <v>356</v>
      </c>
    </row>
    <row r="140" customFormat="false" ht="23.85" hidden="false" customHeight="false" outlineLevel="0" collapsed="false">
      <c r="A140" s="6" t="s">
        <v>357</v>
      </c>
      <c r="B140" s="6" t="s">
        <v>312</v>
      </c>
      <c r="C140" s="6" t="s">
        <v>340</v>
      </c>
      <c r="D140" s="6" t="s">
        <v>358</v>
      </c>
      <c r="E140" s="6" t="n">
        <f aca="false">COUNTIFS(Katalog!$B:$B,A140,Katalog!$Q:$Q,"&lt;&gt;Ishlamaydi*")+COUNTIFS(Katalog!$C:$C,"*"&amp;A140&amp;"*",Katalog!$Q:$Q,"&lt;&gt;Ishlamaydi*")</f>
        <v>2</v>
      </c>
      <c r="F140" s="6"/>
      <c r="G140" s="6"/>
      <c r="H140" s="6" t="str">
        <f aca="false">IF(G140&lt;&gt;"","Takroriy",IF(E140=0,"Yetishmaydi",IF(F140="ha","Qisman to‘ldirilgan","Mavjud, lekin tekshirilmagan")))</f>
        <v>Mavjud, lekin tekshirilmagan</v>
      </c>
      <c r="I140" s="6"/>
    </row>
    <row r="141" customFormat="false" ht="23.85" hidden="false" customHeight="false" outlineLevel="0" collapsed="false">
      <c r="A141" s="6" t="s">
        <v>359</v>
      </c>
      <c r="B141" s="6" t="s">
        <v>312</v>
      </c>
      <c r="C141" s="6" t="s">
        <v>340</v>
      </c>
      <c r="D141" s="6" t="s">
        <v>360</v>
      </c>
      <c r="E141" s="6" t="n">
        <f aca="false">COUNTIFS(Katalog!$B:$B,A141,Katalog!$Q:$Q,"&lt;&gt;Ishlamaydi*")+COUNTIFS(Katalog!$C:$C,"*"&amp;A141&amp;"*",Katalog!$Q:$Q,"&lt;&gt;Ishlamaydi*")</f>
        <v>1</v>
      </c>
      <c r="F141" s="6"/>
      <c r="G141" s="6"/>
      <c r="H141" s="6" t="str">
        <f aca="false">IF(G141&lt;&gt;"","Takroriy",IF(E141=0,"Yetishmaydi",IF(F141="ha","Qisman to‘ldirilgan","Mavjud, lekin tekshirilmagan")))</f>
        <v>Mavjud, lekin tekshirilmagan</v>
      </c>
      <c r="I141" s="6"/>
    </row>
    <row r="142" customFormat="false" ht="23.85" hidden="false" customHeight="false" outlineLevel="0" collapsed="false">
      <c r="A142" s="6" t="s">
        <v>361</v>
      </c>
      <c r="B142" s="6" t="s">
        <v>312</v>
      </c>
      <c r="C142" s="6" t="s">
        <v>340</v>
      </c>
      <c r="D142" s="6" t="s">
        <v>362</v>
      </c>
      <c r="E142" s="6" t="n">
        <f aca="false">COUNTIFS(Katalog!$B:$B,A142,Katalog!$Q:$Q,"&lt;&gt;Ishlamaydi*")+COUNTIFS(Katalog!$C:$C,"*"&amp;A142&amp;"*",Katalog!$Q:$Q,"&lt;&gt;Ishlamaydi*")</f>
        <v>3</v>
      </c>
      <c r="F142" s="6"/>
      <c r="G142" s="6"/>
      <c r="H142" s="6" t="str">
        <f aca="false">IF(G142&lt;&gt;"","Takroriy",IF(E142=0,"Yetishmaydi",IF(F142="ha","Qisman to‘ldirilgan","Mavjud, lekin tekshirilmagan")))</f>
        <v>Mavjud, lekin tekshirilmagan</v>
      </c>
      <c r="I142" s="6"/>
    </row>
    <row r="143" customFormat="false" ht="23.85" hidden="false" customHeight="false" outlineLevel="0" collapsed="false">
      <c r="A143" s="6" t="s">
        <v>363</v>
      </c>
      <c r="B143" s="6" t="s">
        <v>312</v>
      </c>
      <c r="C143" s="6" t="s">
        <v>340</v>
      </c>
      <c r="D143" s="6" t="s">
        <v>364</v>
      </c>
      <c r="E143" s="6" t="n">
        <f aca="false">COUNTIFS(Katalog!$B:$B,A143,Katalog!$Q:$Q,"&lt;&gt;Ishlamaydi*")+COUNTIFS(Katalog!$C:$C,"*"&amp;A143&amp;"*",Katalog!$Q:$Q,"&lt;&gt;Ishlamaydi*")</f>
        <v>1</v>
      </c>
      <c r="F143" s="6"/>
      <c r="G143" s="6"/>
      <c r="H143" s="6" t="str">
        <f aca="false">IF(G143&lt;&gt;"","Takroriy",IF(E143=0,"Yetishmaydi",IF(F143="ha","Qisman to‘ldirilgan","Mavjud, lekin tekshirilmagan")))</f>
        <v>Mavjud, lekin tekshirilmagan</v>
      </c>
      <c r="I143" s="6"/>
    </row>
    <row r="144" customFormat="false" ht="23.85" hidden="false" customHeight="false" outlineLevel="0" collapsed="false">
      <c r="A144" s="6" t="s">
        <v>365</v>
      </c>
      <c r="B144" s="6" t="s">
        <v>312</v>
      </c>
      <c r="C144" s="6" t="s">
        <v>366</v>
      </c>
      <c r="D144" s="6" t="s">
        <v>367</v>
      </c>
      <c r="E144" s="6" t="n">
        <f aca="false">COUNTIFS(Katalog!$B:$B,A144,Katalog!$Q:$Q,"&lt;&gt;Ishlamaydi*")+COUNTIFS(Katalog!$C:$C,"*"&amp;A144&amp;"*",Katalog!$Q:$Q,"&lt;&gt;Ishlamaydi*")</f>
        <v>3</v>
      </c>
      <c r="F144" s="6"/>
      <c r="G144" s="6"/>
      <c r="H144" s="6" t="str">
        <f aca="false">IF(G144&lt;&gt;"","Takroriy",IF(E144=0,"Yetishmaydi",IF(F144="ha","Qisman to‘ldirilgan","Mavjud, lekin tekshirilmagan")))</f>
        <v>Mavjud, lekin tekshirilmagan</v>
      </c>
      <c r="I144" s="6"/>
    </row>
    <row r="145" customFormat="false" ht="23.85" hidden="false" customHeight="false" outlineLevel="0" collapsed="false">
      <c r="A145" s="6" t="s">
        <v>368</v>
      </c>
      <c r="B145" s="6" t="s">
        <v>312</v>
      </c>
      <c r="C145" s="6" t="s">
        <v>366</v>
      </c>
      <c r="D145" s="6" t="s">
        <v>369</v>
      </c>
      <c r="E145" s="6" t="n">
        <f aca="false">COUNTIFS(Katalog!$B:$B,A145,Katalog!$Q:$Q,"&lt;&gt;Ishlamaydi*")+COUNTIFS(Katalog!$C:$C,"*"&amp;A145&amp;"*",Katalog!$Q:$Q,"&lt;&gt;Ishlamaydi*")</f>
        <v>3</v>
      </c>
      <c r="F145" s="6"/>
      <c r="G145" s="6"/>
      <c r="H145" s="6" t="str">
        <f aca="false">IF(G145&lt;&gt;"","Takroriy",IF(E145=0,"Yetishmaydi",IF(F145="ha","Qisman to‘ldirilgan","Mavjud, lekin tekshirilmagan")))</f>
        <v>Mavjud, lekin tekshirilmagan</v>
      </c>
      <c r="I145" s="6"/>
    </row>
    <row r="146" customFormat="false" ht="23.85" hidden="false" customHeight="false" outlineLevel="0" collapsed="false">
      <c r="A146" s="6" t="s">
        <v>370</v>
      </c>
      <c r="B146" s="6" t="s">
        <v>312</v>
      </c>
      <c r="C146" s="6" t="s">
        <v>366</v>
      </c>
      <c r="D146" s="6" t="s">
        <v>371</v>
      </c>
      <c r="E146" s="6" t="n">
        <f aca="false">COUNTIFS(Katalog!$B:$B,A146,Katalog!$Q:$Q,"&lt;&gt;Ishlamaydi*")+COUNTIFS(Katalog!$C:$C,"*"&amp;A146&amp;"*",Katalog!$Q:$Q,"&lt;&gt;Ishlamaydi*")</f>
        <v>3</v>
      </c>
      <c r="F146" s="6"/>
      <c r="G146" s="6"/>
      <c r="H146" s="6" t="str">
        <f aca="false">IF(G146&lt;&gt;"","Takroriy",IF(E146=0,"Yetishmaydi",IF(F146="ha","Qisman to‘ldirilgan","Mavjud, lekin tekshirilmagan")))</f>
        <v>Mavjud, lekin tekshirilmagan</v>
      </c>
      <c r="I146" s="6"/>
    </row>
    <row r="147" customFormat="false" ht="23.85" hidden="false" customHeight="false" outlineLevel="0" collapsed="false">
      <c r="A147" s="6" t="s">
        <v>372</v>
      </c>
      <c r="B147" s="6" t="s">
        <v>312</v>
      </c>
      <c r="C147" s="6" t="s">
        <v>366</v>
      </c>
      <c r="D147" s="6" t="s">
        <v>373</v>
      </c>
      <c r="E147" s="6" t="n">
        <f aca="false">COUNTIFS(Katalog!$B:$B,A147,Katalog!$Q:$Q,"&lt;&gt;Ishlamaydi*")+COUNTIFS(Katalog!$C:$C,"*"&amp;A147&amp;"*",Katalog!$Q:$Q,"&lt;&gt;Ishlamaydi*")</f>
        <v>2</v>
      </c>
      <c r="F147" s="6"/>
      <c r="G147" s="6"/>
      <c r="H147" s="6" t="str">
        <f aca="false">IF(G147&lt;&gt;"","Takroriy",IF(E147=0,"Yetishmaydi",IF(F147="ha","Qisman to‘ldirilgan","Mavjud, lekin tekshirilmagan")))</f>
        <v>Mavjud, lekin tekshirilmagan</v>
      </c>
      <c r="I147" s="6"/>
    </row>
    <row r="148" customFormat="false" ht="23.85" hidden="false" customHeight="false" outlineLevel="0" collapsed="false">
      <c r="A148" s="6" t="s">
        <v>374</v>
      </c>
      <c r="B148" s="6" t="s">
        <v>312</v>
      </c>
      <c r="C148" s="6" t="s">
        <v>366</v>
      </c>
      <c r="D148" s="6" t="s">
        <v>375</v>
      </c>
      <c r="E148" s="6" t="n">
        <f aca="false">COUNTIFS(Katalog!$B:$B,A148,Katalog!$Q:$Q,"&lt;&gt;Ishlamaydi*")+COUNTIFS(Katalog!$C:$C,"*"&amp;A148&amp;"*",Katalog!$Q:$Q,"&lt;&gt;Ishlamaydi*")</f>
        <v>4</v>
      </c>
      <c r="F148" s="6"/>
      <c r="G148" s="6"/>
      <c r="H148" s="6" t="str">
        <f aca="false">IF(G148&lt;&gt;"","Takroriy",IF(E148=0,"Yetishmaydi",IF(F148="ha","Qisman to‘ldirilgan","Mavjud, lekin tekshirilmagan")))</f>
        <v>Mavjud, lekin tekshirilmagan</v>
      </c>
      <c r="I148" s="6"/>
    </row>
    <row r="149" customFormat="false" ht="23.85" hidden="false" customHeight="false" outlineLevel="0" collapsed="false">
      <c r="A149" s="6" t="s">
        <v>376</v>
      </c>
      <c r="B149" s="6" t="s">
        <v>312</v>
      </c>
      <c r="C149" s="6" t="s">
        <v>366</v>
      </c>
      <c r="D149" s="6" t="s">
        <v>377</v>
      </c>
      <c r="E149" s="6" t="n">
        <f aca="false">COUNTIFS(Katalog!$B:$B,A149,Katalog!$Q:$Q,"&lt;&gt;Ishlamaydi*")+COUNTIFS(Katalog!$C:$C,"*"&amp;A149&amp;"*",Katalog!$Q:$Q,"&lt;&gt;Ishlamaydi*")</f>
        <v>4</v>
      </c>
      <c r="F149" s="6"/>
      <c r="G149" s="6"/>
      <c r="H149" s="6" t="str">
        <f aca="false">IF(G149&lt;&gt;"","Takroriy",IF(E149=0,"Yetishmaydi",IF(F149="ha","Qisman to‘ldirilgan","Mavjud, lekin tekshirilmagan")))</f>
        <v>Mavjud, lekin tekshirilmagan</v>
      </c>
      <c r="I149" s="6"/>
    </row>
    <row r="150" customFormat="false" ht="23.85" hidden="false" customHeight="false" outlineLevel="0" collapsed="false">
      <c r="A150" s="6" t="s">
        <v>378</v>
      </c>
      <c r="B150" s="6" t="s">
        <v>312</v>
      </c>
      <c r="C150" s="6" t="s">
        <v>366</v>
      </c>
      <c r="D150" s="6" t="s">
        <v>379</v>
      </c>
      <c r="E150" s="6" t="n">
        <f aca="false">COUNTIFS(Katalog!$B:$B,A150,Katalog!$Q:$Q,"&lt;&gt;Ishlamaydi*")+COUNTIFS(Katalog!$C:$C,"*"&amp;A150&amp;"*",Katalog!$Q:$Q,"&lt;&gt;Ishlamaydi*")</f>
        <v>3</v>
      </c>
      <c r="F150" s="6"/>
      <c r="G150" s="6"/>
      <c r="H150" s="6" t="str">
        <f aca="false">IF(G150&lt;&gt;"","Takroriy",IF(E150=0,"Yetishmaydi",IF(F150="ha","Qisman to‘ldirilgan","Mavjud, lekin tekshirilmagan")))</f>
        <v>Mavjud, lekin tekshirilmagan</v>
      </c>
      <c r="I150" s="6"/>
    </row>
    <row r="151" customFormat="false" ht="23.85" hidden="false" customHeight="false" outlineLevel="0" collapsed="false">
      <c r="A151" s="6" t="s">
        <v>380</v>
      </c>
      <c r="B151" s="6" t="s">
        <v>312</v>
      </c>
      <c r="C151" s="6" t="s">
        <v>366</v>
      </c>
      <c r="D151" s="6" t="s">
        <v>381</v>
      </c>
      <c r="E151" s="6" t="n">
        <f aca="false">COUNTIFS(Katalog!$B:$B,A151,Katalog!$Q:$Q,"&lt;&gt;Ishlamaydi*")+COUNTIFS(Katalog!$C:$C,"*"&amp;A151&amp;"*",Katalog!$Q:$Q,"&lt;&gt;Ishlamaydi*")</f>
        <v>2</v>
      </c>
      <c r="F151" s="6"/>
      <c r="G151" s="6"/>
      <c r="H151" s="6" t="str">
        <f aca="false">IF(G151&lt;&gt;"","Takroriy",IF(E151=0,"Yetishmaydi",IF(F151="ha","Qisman to‘ldirilgan","Mavjud, lekin tekshirilmagan")))</f>
        <v>Mavjud, lekin tekshirilmagan</v>
      </c>
      <c r="I151" s="6"/>
    </row>
    <row r="152" customFormat="false" ht="23.85" hidden="false" customHeight="false" outlineLevel="0" collapsed="false">
      <c r="A152" s="6" t="s">
        <v>382</v>
      </c>
      <c r="B152" s="6" t="s">
        <v>312</v>
      </c>
      <c r="C152" s="6" t="s">
        <v>366</v>
      </c>
      <c r="D152" s="6" t="s">
        <v>383</v>
      </c>
      <c r="E152" s="6" t="n">
        <f aca="false">COUNTIFS(Katalog!$B:$B,A152,Katalog!$Q:$Q,"&lt;&gt;Ishlamaydi*")+COUNTIFS(Katalog!$C:$C,"*"&amp;A152&amp;"*",Katalog!$Q:$Q,"&lt;&gt;Ishlamaydi*")</f>
        <v>1</v>
      </c>
      <c r="F152" s="6"/>
      <c r="G152" s="6"/>
      <c r="H152" s="6" t="str">
        <f aca="false">IF(G152&lt;&gt;"","Takroriy",IF(E152=0,"Yetishmaydi",IF(F152="ha","Qisman to‘ldirilgan","Mavjud, lekin tekshirilmagan")))</f>
        <v>Mavjud, lekin tekshirilmagan</v>
      </c>
      <c r="I152" s="6"/>
    </row>
    <row r="153" customFormat="false" ht="23.85" hidden="false" customHeight="false" outlineLevel="0" collapsed="false">
      <c r="A153" s="6" t="s">
        <v>384</v>
      </c>
      <c r="B153" s="6" t="s">
        <v>385</v>
      </c>
      <c r="C153" s="6" t="s">
        <v>386</v>
      </c>
      <c r="D153" s="6" t="s">
        <v>387</v>
      </c>
      <c r="E153" s="6" t="n">
        <f aca="false">COUNTIFS(Katalog!$B:$B,A153,Katalog!$Q:$Q,"&lt;&gt;Ishlamaydi*")+COUNTIFS(Katalog!$C:$C,"*"&amp;A153&amp;"*",Katalog!$Q:$Q,"&lt;&gt;Ishlamaydi*")</f>
        <v>3</v>
      </c>
      <c r="F153" s="6"/>
      <c r="G153" s="6"/>
      <c r="H153" s="6" t="str">
        <f aca="false">IF(G153&lt;&gt;"","Takroriy",IF(E153=0,"Yetishmaydi",IF(F153="ha","Qisman to‘ldirilgan","Mavjud, lekin tekshirilmagan")))</f>
        <v>Mavjud, lekin tekshirilmagan</v>
      </c>
      <c r="I153" s="6"/>
    </row>
    <row r="154" customFormat="false" ht="23.85" hidden="false" customHeight="false" outlineLevel="0" collapsed="false">
      <c r="A154" s="6" t="s">
        <v>388</v>
      </c>
      <c r="B154" s="6" t="s">
        <v>385</v>
      </c>
      <c r="C154" s="6" t="s">
        <v>386</v>
      </c>
      <c r="D154" s="6" t="s">
        <v>389</v>
      </c>
      <c r="E154" s="6" t="n">
        <f aca="false">COUNTIFS(Katalog!$B:$B,A154,Katalog!$Q:$Q,"&lt;&gt;Ishlamaydi*")+COUNTIFS(Katalog!$C:$C,"*"&amp;A154&amp;"*",Katalog!$Q:$Q,"&lt;&gt;Ishlamaydi*")</f>
        <v>4</v>
      </c>
      <c r="F154" s="6"/>
      <c r="G154" s="6"/>
      <c r="H154" s="6" t="str">
        <f aca="false">IF(G154&lt;&gt;"","Takroriy",IF(E154=0,"Yetishmaydi",IF(F154="ha","Qisman to‘ldirilgan","Mavjud, lekin tekshirilmagan")))</f>
        <v>Mavjud, lekin tekshirilmagan</v>
      </c>
      <c r="I154" s="6"/>
    </row>
    <row r="155" customFormat="false" ht="23.85" hidden="false" customHeight="false" outlineLevel="0" collapsed="false">
      <c r="A155" s="6" t="s">
        <v>390</v>
      </c>
      <c r="B155" s="6" t="s">
        <v>385</v>
      </c>
      <c r="C155" s="6" t="s">
        <v>386</v>
      </c>
      <c r="D155" s="6" t="s">
        <v>391</v>
      </c>
      <c r="E155" s="6" t="n">
        <f aca="false">COUNTIFS(Katalog!$B:$B,A155,Katalog!$Q:$Q,"&lt;&gt;Ishlamaydi*")+COUNTIFS(Katalog!$C:$C,"*"&amp;A155&amp;"*",Katalog!$Q:$Q,"&lt;&gt;Ishlamaydi*")</f>
        <v>1</v>
      </c>
      <c r="F155" s="6"/>
      <c r="G155" s="6"/>
      <c r="H155" s="6" t="str">
        <f aca="false">IF(G155&lt;&gt;"","Takroriy",IF(E155=0,"Yetishmaydi",IF(F155="ha","Qisman to‘ldirilgan","Mavjud, lekin tekshirilmagan")))</f>
        <v>Mavjud, lekin tekshirilmagan</v>
      </c>
      <c r="I155" s="6"/>
    </row>
    <row r="156" customFormat="false" ht="23.85" hidden="false" customHeight="false" outlineLevel="0" collapsed="false">
      <c r="A156" s="6" t="s">
        <v>392</v>
      </c>
      <c r="B156" s="6" t="s">
        <v>385</v>
      </c>
      <c r="C156" s="6" t="s">
        <v>386</v>
      </c>
      <c r="D156" s="6" t="s">
        <v>393</v>
      </c>
      <c r="E156" s="6" t="n">
        <f aca="false">COUNTIFS(Katalog!$B:$B,A156,Katalog!$Q:$Q,"&lt;&gt;Ishlamaydi*")+COUNTIFS(Katalog!$C:$C,"*"&amp;A156&amp;"*",Katalog!$Q:$Q,"&lt;&gt;Ishlamaydi*")</f>
        <v>1</v>
      </c>
      <c r="F156" s="6"/>
      <c r="G156" s="6"/>
      <c r="H156" s="6" t="str">
        <f aca="false">IF(G156&lt;&gt;"","Takroriy",IF(E156=0,"Yetishmaydi",IF(F156="ha","Qisman to‘ldirilgan","Mavjud, lekin tekshirilmagan")))</f>
        <v>Mavjud, lekin tekshirilmagan</v>
      </c>
      <c r="I156" s="6"/>
    </row>
    <row r="157" customFormat="false" ht="23.85" hidden="false" customHeight="false" outlineLevel="0" collapsed="false">
      <c r="A157" s="6" t="s">
        <v>394</v>
      </c>
      <c r="B157" s="6" t="s">
        <v>385</v>
      </c>
      <c r="C157" s="6" t="s">
        <v>386</v>
      </c>
      <c r="D157" s="6" t="s">
        <v>395</v>
      </c>
      <c r="E157" s="6" t="n">
        <f aca="false">COUNTIFS(Katalog!$B:$B,A157,Katalog!$Q:$Q,"&lt;&gt;Ishlamaydi*")+COUNTIFS(Katalog!$C:$C,"*"&amp;A157&amp;"*",Katalog!$Q:$Q,"&lt;&gt;Ishlamaydi*")</f>
        <v>3</v>
      </c>
      <c r="F157" s="6"/>
      <c r="G157" s="6"/>
      <c r="H157" s="6" t="str">
        <f aca="false">IF(G157&lt;&gt;"","Takroriy",IF(E157=0,"Yetishmaydi",IF(F157="ha","Qisman to‘ldirilgan","Mavjud, lekin tekshirilmagan")))</f>
        <v>Mavjud, lekin tekshirilmagan</v>
      </c>
      <c r="I157" s="6"/>
    </row>
    <row r="158" customFormat="false" ht="23.85" hidden="false" customHeight="false" outlineLevel="0" collapsed="false">
      <c r="A158" s="6" t="s">
        <v>396</v>
      </c>
      <c r="B158" s="6" t="s">
        <v>385</v>
      </c>
      <c r="C158" s="6" t="s">
        <v>386</v>
      </c>
      <c r="D158" s="6" t="s">
        <v>397</v>
      </c>
      <c r="E158" s="6" t="n">
        <f aca="false">COUNTIFS(Katalog!$B:$B,A158,Katalog!$Q:$Q,"&lt;&gt;Ishlamaydi*")+COUNTIFS(Katalog!$C:$C,"*"&amp;A158&amp;"*",Katalog!$Q:$Q,"&lt;&gt;Ishlamaydi*")</f>
        <v>1</v>
      </c>
      <c r="F158" s="6"/>
      <c r="G158" s="6"/>
      <c r="H158" s="6" t="str">
        <f aca="false">IF(G158&lt;&gt;"","Takroriy",IF(E158=0,"Yetishmaydi",IF(F158="ha","Qisman to‘ldirilgan","Mavjud, lekin tekshirilmagan")))</f>
        <v>Mavjud, lekin tekshirilmagan</v>
      </c>
      <c r="I158" s="6"/>
    </row>
    <row r="159" customFormat="false" ht="23.85" hidden="false" customHeight="false" outlineLevel="0" collapsed="false">
      <c r="A159" s="6" t="s">
        <v>398</v>
      </c>
      <c r="B159" s="6" t="s">
        <v>385</v>
      </c>
      <c r="C159" s="6" t="s">
        <v>386</v>
      </c>
      <c r="D159" s="6" t="s">
        <v>399</v>
      </c>
      <c r="E159" s="6" t="n">
        <f aca="false">COUNTIFS(Katalog!$B:$B,A159,Katalog!$Q:$Q,"&lt;&gt;Ishlamaydi*")+COUNTIFS(Katalog!$C:$C,"*"&amp;A159&amp;"*",Katalog!$Q:$Q,"&lt;&gt;Ishlamaydi*")</f>
        <v>2</v>
      </c>
      <c r="F159" s="6"/>
      <c r="G159" s="6"/>
      <c r="H159" s="6" t="str">
        <f aca="false">IF(G159&lt;&gt;"","Takroriy",IF(E159=0,"Yetishmaydi",IF(F159="ha","Qisman to‘ldirilgan","Mavjud, lekin tekshirilmagan")))</f>
        <v>Mavjud, lekin tekshirilmagan</v>
      </c>
      <c r="I159" s="6"/>
    </row>
    <row r="160" customFormat="false" ht="23.85" hidden="false" customHeight="false" outlineLevel="0" collapsed="false">
      <c r="A160" s="6" t="s">
        <v>400</v>
      </c>
      <c r="B160" s="6" t="s">
        <v>385</v>
      </c>
      <c r="C160" s="6" t="s">
        <v>401</v>
      </c>
      <c r="D160" s="6" t="s">
        <v>402</v>
      </c>
      <c r="E160" s="6" t="n">
        <f aca="false">COUNTIFS(Katalog!$B:$B,A160,Katalog!$Q:$Q,"&lt;&gt;Ishlamaydi*")+COUNTIFS(Katalog!$C:$C,"*"&amp;A160&amp;"*",Katalog!$Q:$Q,"&lt;&gt;Ishlamaydi*")</f>
        <v>2</v>
      </c>
      <c r="F160" s="6"/>
      <c r="G160" s="6"/>
      <c r="H160" s="6" t="str">
        <f aca="false">IF(G160&lt;&gt;"","Takroriy",IF(E160=0,"Yetishmaydi",IF(F160="ha","Qisman to‘ldirilgan","Mavjud, lekin tekshirilmagan")))</f>
        <v>Mavjud, lekin tekshirilmagan</v>
      </c>
      <c r="I160" s="6"/>
    </row>
    <row r="161" customFormat="false" ht="23.85" hidden="false" customHeight="false" outlineLevel="0" collapsed="false">
      <c r="A161" s="6" t="s">
        <v>403</v>
      </c>
      <c r="B161" s="6" t="s">
        <v>385</v>
      </c>
      <c r="C161" s="6" t="s">
        <v>401</v>
      </c>
      <c r="D161" s="6" t="s">
        <v>404</v>
      </c>
      <c r="E161" s="6" t="n">
        <f aca="false">COUNTIFS(Katalog!$B:$B,A161,Katalog!$Q:$Q,"&lt;&gt;Ishlamaydi*")+COUNTIFS(Katalog!$C:$C,"*"&amp;A161&amp;"*",Katalog!$Q:$Q,"&lt;&gt;Ishlamaydi*")</f>
        <v>4</v>
      </c>
      <c r="F161" s="6"/>
      <c r="G161" s="6"/>
      <c r="H161" s="6" t="str">
        <f aca="false">IF(G161&lt;&gt;"","Takroriy",IF(E161=0,"Yetishmaydi",IF(F161="ha","Qisman to‘ldirilgan","Mavjud, lekin tekshirilmagan")))</f>
        <v>Mavjud, lekin tekshirilmagan</v>
      </c>
      <c r="I161" s="6"/>
    </row>
    <row r="162" customFormat="false" ht="23.85" hidden="false" customHeight="false" outlineLevel="0" collapsed="false">
      <c r="A162" s="6" t="s">
        <v>405</v>
      </c>
      <c r="B162" s="6" t="s">
        <v>385</v>
      </c>
      <c r="C162" s="6" t="s">
        <v>401</v>
      </c>
      <c r="D162" s="6" t="s">
        <v>406</v>
      </c>
      <c r="E162" s="6" t="n">
        <f aca="false">COUNTIFS(Katalog!$B:$B,A162,Katalog!$Q:$Q,"&lt;&gt;Ishlamaydi*")+COUNTIFS(Katalog!$C:$C,"*"&amp;A162&amp;"*",Katalog!$Q:$Q,"&lt;&gt;Ishlamaydi*")</f>
        <v>2</v>
      </c>
      <c r="F162" s="6"/>
      <c r="G162" s="6"/>
      <c r="H162" s="6" t="str">
        <f aca="false">IF(G162&lt;&gt;"","Takroriy",IF(E162=0,"Yetishmaydi",IF(F162="ha","Qisman to‘ldirilgan","Mavjud, lekin tekshirilmagan")))</f>
        <v>Mavjud, lekin tekshirilmagan</v>
      </c>
      <c r="I162" s="6"/>
    </row>
    <row r="163" customFormat="false" ht="23.85" hidden="false" customHeight="false" outlineLevel="0" collapsed="false">
      <c r="A163" s="6" t="s">
        <v>407</v>
      </c>
      <c r="B163" s="6" t="s">
        <v>385</v>
      </c>
      <c r="C163" s="6" t="s">
        <v>401</v>
      </c>
      <c r="D163" s="6" t="s">
        <v>408</v>
      </c>
      <c r="E163" s="6" t="n">
        <f aca="false">COUNTIFS(Katalog!$B:$B,A163,Katalog!$Q:$Q,"&lt;&gt;Ishlamaydi*")+COUNTIFS(Katalog!$C:$C,"*"&amp;A163&amp;"*",Katalog!$Q:$Q,"&lt;&gt;Ishlamaydi*")</f>
        <v>1</v>
      </c>
      <c r="F163" s="6" t="s">
        <v>55</v>
      </c>
      <c r="G163" s="6"/>
      <c r="H163" s="6" t="str">
        <f aca="false">IF(G163&lt;&gt;"","Takroriy",IF(E163=0,"Yetishmaydi",IF(F163="ha","Qisman to‘ldirilgan","Mavjud, lekin tekshirilmagan")))</f>
        <v>Qisman to‘ldirilgan</v>
      </c>
      <c r="I163" s="6"/>
    </row>
    <row r="164" customFormat="false" ht="23.85" hidden="false" customHeight="false" outlineLevel="0" collapsed="false">
      <c r="A164" s="6" t="s">
        <v>409</v>
      </c>
      <c r="B164" s="6" t="s">
        <v>385</v>
      </c>
      <c r="C164" s="6" t="s">
        <v>401</v>
      </c>
      <c r="D164" s="6" t="s">
        <v>410</v>
      </c>
      <c r="E164" s="6" t="n">
        <f aca="false">COUNTIFS(Katalog!$B:$B,A164,Katalog!$Q:$Q,"&lt;&gt;Ishlamaydi*")+COUNTIFS(Katalog!$C:$C,"*"&amp;A164&amp;"*",Katalog!$Q:$Q,"&lt;&gt;Ishlamaydi*")</f>
        <v>2</v>
      </c>
      <c r="F164" s="6"/>
      <c r="G164" s="6"/>
      <c r="H164" s="6" t="str">
        <f aca="false">IF(G164&lt;&gt;"","Takroriy",IF(E164=0,"Yetishmaydi",IF(F164="ha","Qisman to‘ldirilgan","Mavjud, lekin tekshirilmagan")))</f>
        <v>Mavjud, lekin tekshirilmagan</v>
      </c>
      <c r="I164" s="6"/>
    </row>
    <row r="165" customFormat="false" ht="23.85" hidden="false" customHeight="false" outlineLevel="0" collapsed="false">
      <c r="A165" s="6" t="s">
        <v>411</v>
      </c>
      <c r="B165" s="6" t="s">
        <v>385</v>
      </c>
      <c r="C165" s="6" t="s">
        <v>401</v>
      </c>
      <c r="D165" s="6" t="s">
        <v>412</v>
      </c>
      <c r="E165" s="6" t="n">
        <f aca="false">COUNTIFS(Katalog!$B:$B,A165,Katalog!$Q:$Q,"&lt;&gt;Ishlamaydi*")+COUNTIFS(Katalog!$C:$C,"*"&amp;A165&amp;"*",Katalog!$Q:$Q,"&lt;&gt;Ishlamaydi*")</f>
        <v>2</v>
      </c>
      <c r="F165" s="6"/>
      <c r="G165" s="6"/>
      <c r="H165" s="6" t="str">
        <f aca="false">IF(G165&lt;&gt;"","Takroriy",IF(E165=0,"Yetishmaydi",IF(F165="ha","Qisman to‘ldirilgan","Mavjud, lekin tekshirilmagan")))</f>
        <v>Mavjud, lekin tekshirilmagan</v>
      </c>
      <c r="I165" s="6"/>
    </row>
    <row r="166" customFormat="false" ht="23.85" hidden="false" customHeight="false" outlineLevel="0" collapsed="false">
      <c r="A166" s="6" t="s">
        <v>413</v>
      </c>
      <c r="B166" s="6" t="s">
        <v>385</v>
      </c>
      <c r="C166" s="6" t="s">
        <v>401</v>
      </c>
      <c r="D166" s="6" t="s">
        <v>414</v>
      </c>
      <c r="E166" s="6" t="n">
        <f aca="false">COUNTIFS(Katalog!$B:$B,A166,Katalog!$Q:$Q,"&lt;&gt;Ishlamaydi*")+COUNTIFS(Katalog!$C:$C,"*"&amp;A166&amp;"*",Katalog!$Q:$Q,"&lt;&gt;Ishlamaydi*")</f>
        <v>1</v>
      </c>
      <c r="F166" s="6"/>
      <c r="G166" s="6"/>
      <c r="H166" s="6" t="str">
        <f aca="false">IF(G166&lt;&gt;"","Takroriy",IF(E166=0,"Yetishmaydi",IF(F166="ha","Qisman to‘ldirilgan","Mavjud, lekin tekshirilmagan")))</f>
        <v>Mavjud, lekin tekshirilmagan</v>
      </c>
      <c r="I166" s="6"/>
    </row>
    <row r="167" customFormat="false" ht="23.85" hidden="false" customHeight="false" outlineLevel="0" collapsed="false">
      <c r="A167" s="6" t="s">
        <v>415</v>
      </c>
      <c r="B167" s="6" t="s">
        <v>385</v>
      </c>
      <c r="C167" s="6" t="s">
        <v>401</v>
      </c>
      <c r="D167" s="6" t="s">
        <v>416</v>
      </c>
      <c r="E167" s="6" t="n">
        <f aca="false">COUNTIFS(Katalog!$B:$B,A167,Katalog!$Q:$Q,"&lt;&gt;Ishlamaydi*")+COUNTIFS(Katalog!$C:$C,"*"&amp;A167&amp;"*",Katalog!$Q:$Q,"&lt;&gt;Ishlamaydi*")</f>
        <v>2</v>
      </c>
      <c r="F167" s="6" t="s">
        <v>55</v>
      </c>
      <c r="G167" s="6"/>
      <c r="H167" s="6" t="str">
        <f aca="false">IF(G167&lt;&gt;"","Takroriy",IF(E167=0,"Yetishmaydi",IF(F167="ha","Qisman to‘ldirilgan","Mavjud, lekin tekshirilmagan")))</f>
        <v>Qisman to‘ldirilgan</v>
      </c>
      <c r="I167" s="6"/>
    </row>
    <row r="168" customFormat="false" ht="23.85" hidden="false" customHeight="false" outlineLevel="0" collapsed="false">
      <c r="A168" s="6" t="s">
        <v>417</v>
      </c>
      <c r="B168" s="6" t="s">
        <v>385</v>
      </c>
      <c r="C168" s="6" t="s">
        <v>418</v>
      </c>
      <c r="D168" s="6" t="s">
        <v>419</v>
      </c>
      <c r="E168" s="6" t="n">
        <f aca="false">COUNTIFS(Katalog!$B:$B,A168,Katalog!$Q:$Q,"&lt;&gt;Ishlamaydi*")+COUNTIFS(Katalog!$C:$C,"*"&amp;A168&amp;"*",Katalog!$Q:$Q,"&lt;&gt;Ishlamaydi*")</f>
        <v>3</v>
      </c>
      <c r="F168" s="6"/>
      <c r="G168" s="6"/>
      <c r="H168" s="6" t="str">
        <f aca="false">IF(G168&lt;&gt;"","Takroriy",IF(E168=0,"Yetishmaydi",IF(F168="ha","Qisman to‘ldirilgan","Mavjud, lekin tekshirilmagan")))</f>
        <v>Mavjud, lekin tekshirilmagan</v>
      </c>
      <c r="I168" s="6"/>
    </row>
    <row r="169" customFormat="false" ht="23.85" hidden="false" customHeight="false" outlineLevel="0" collapsed="false">
      <c r="A169" s="6" t="s">
        <v>420</v>
      </c>
      <c r="B169" s="6" t="s">
        <v>385</v>
      </c>
      <c r="C169" s="6" t="s">
        <v>418</v>
      </c>
      <c r="D169" s="6" t="s">
        <v>421</v>
      </c>
      <c r="E169" s="6" t="n">
        <f aca="false">COUNTIFS(Katalog!$B:$B,A169,Katalog!$Q:$Q,"&lt;&gt;Ishlamaydi*")+COUNTIFS(Katalog!$C:$C,"*"&amp;A169&amp;"*",Katalog!$Q:$Q,"&lt;&gt;Ishlamaydi*")</f>
        <v>3</v>
      </c>
      <c r="F169" s="6"/>
      <c r="G169" s="6"/>
      <c r="H169" s="6" t="str">
        <f aca="false">IF(G169&lt;&gt;"","Takroriy",IF(E169=0,"Yetishmaydi",IF(F169="ha","Qisman to‘ldirilgan","Mavjud, lekin tekshirilmagan")))</f>
        <v>Mavjud, lekin tekshirilmagan</v>
      </c>
      <c r="I169" s="6"/>
    </row>
    <row r="170" customFormat="false" ht="23.85" hidden="false" customHeight="false" outlineLevel="0" collapsed="false">
      <c r="A170" s="6" t="s">
        <v>422</v>
      </c>
      <c r="B170" s="6" t="s">
        <v>385</v>
      </c>
      <c r="C170" s="6" t="s">
        <v>418</v>
      </c>
      <c r="D170" s="6" t="s">
        <v>423</v>
      </c>
      <c r="E170" s="6" t="n">
        <f aca="false">COUNTIFS(Katalog!$B:$B,A170,Katalog!$Q:$Q,"&lt;&gt;Ishlamaydi*")+COUNTIFS(Katalog!$C:$C,"*"&amp;A170&amp;"*",Katalog!$Q:$Q,"&lt;&gt;Ishlamaydi*")</f>
        <v>3</v>
      </c>
      <c r="F170" s="6"/>
      <c r="G170" s="6"/>
      <c r="H170" s="6" t="str">
        <f aca="false">IF(G170&lt;&gt;"","Takroriy",IF(E170=0,"Yetishmaydi",IF(F170="ha","Qisman to‘ldirilgan","Mavjud, lekin tekshirilmagan")))</f>
        <v>Mavjud, lekin tekshirilmagan</v>
      </c>
      <c r="I170" s="6"/>
    </row>
    <row r="171" customFormat="false" ht="23.85" hidden="false" customHeight="false" outlineLevel="0" collapsed="false">
      <c r="A171" s="6" t="s">
        <v>424</v>
      </c>
      <c r="B171" s="6" t="s">
        <v>385</v>
      </c>
      <c r="C171" s="6" t="s">
        <v>418</v>
      </c>
      <c r="D171" s="6" t="s">
        <v>425</v>
      </c>
      <c r="E171" s="6" t="n">
        <f aca="false">COUNTIFS(Katalog!$B:$B,A171,Katalog!$Q:$Q,"&lt;&gt;Ishlamaydi*")+COUNTIFS(Katalog!$C:$C,"*"&amp;A171&amp;"*",Katalog!$Q:$Q,"&lt;&gt;Ishlamaydi*")</f>
        <v>3</v>
      </c>
      <c r="F171" s="6"/>
      <c r="G171" s="6"/>
      <c r="H171" s="6" t="str">
        <f aca="false">IF(G171&lt;&gt;"","Takroriy",IF(E171=0,"Yetishmaydi",IF(F171="ha","Qisman to‘ldirilgan","Mavjud, lekin tekshirilmagan")))</f>
        <v>Mavjud, lekin tekshirilmagan</v>
      </c>
      <c r="I171" s="6"/>
    </row>
    <row r="172" customFormat="false" ht="23.85" hidden="false" customHeight="false" outlineLevel="0" collapsed="false">
      <c r="A172" s="6" t="s">
        <v>426</v>
      </c>
      <c r="B172" s="6" t="s">
        <v>385</v>
      </c>
      <c r="C172" s="6" t="s">
        <v>418</v>
      </c>
      <c r="D172" s="6" t="s">
        <v>427</v>
      </c>
      <c r="E172" s="6" t="n">
        <f aca="false">COUNTIFS(Katalog!$B:$B,A172,Katalog!$Q:$Q,"&lt;&gt;Ishlamaydi*")+COUNTIFS(Katalog!$C:$C,"*"&amp;A172&amp;"*",Katalog!$Q:$Q,"&lt;&gt;Ishlamaydi*")</f>
        <v>3</v>
      </c>
      <c r="F172" s="6"/>
      <c r="G172" s="6"/>
      <c r="H172" s="6" t="str">
        <f aca="false">IF(G172&lt;&gt;"","Takroriy",IF(E172=0,"Yetishmaydi",IF(F172="ha","Qisman to‘ldirilgan","Mavjud, lekin tekshirilmagan")))</f>
        <v>Mavjud, lekin tekshirilmagan</v>
      </c>
      <c r="I172" s="6"/>
    </row>
    <row r="173" customFormat="false" ht="23.85" hidden="false" customHeight="false" outlineLevel="0" collapsed="false">
      <c r="A173" s="6" t="s">
        <v>428</v>
      </c>
      <c r="B173" s="6" t="s">
        <v>429</v>
      </c>
      <c r="C173" s="6" t="s">
        <v>430</v>
      </c>
      <c r="D173" s="6" t="s">
        <v>431</v>
      </c>
      <c r="E173" s="6" t="n">
        <f aca="false">COUNTIFS(Katalog!$B:$B,A173,Katalog!$Q:$Q,"&lt;&gt;Ishlamaydi*")+COUNTIFS(Katalog!$C:$C,"*"&amp;A173&amp;"*",Katalog!$Q:$Q,"&lt;&gt;Ishlamaydi*")</f>
        <v>2</v>
      </c>
      <c r="F173" s="6" t="s">
        <v>55</v>
      </c>
      <c r="G173" s="6"/>
      <c r="H173" s="6" t="str">
        <f aca="false">IF(G173&lt;&gt;"","Takroriy",IF(E173=0,"Yetishmaydi",IF(F173="ha","Qisman to‘ldirilgan","Mavjud, lekin tekshirilmagan")))</f>
        <v>Qisman to‘ldirilgan</v>
      </c>
      <c r="I173" s="6"/>
    </row>
    <row r="174" customFormat="false" ht="23.85" hidden="false" customHeight="false" outlineLevel="0" collapsed="false">
      <c r="A174" s="6" t="s">
        <v>432</v>
      </c>
      <c r="B174" s="6" t="s">
        <v>429</v>
      </c>
      <c r="C174" s="6" t="s">
        <v>430</v>
      </c>
      <c r="D174" s="6" t="s">
        <v>433</v>
      </c>
      <c r="E174" s="6" t="n">
        <f aca="false">COUNTIFS(Katalog!$B:$B,A174,Katalog!$Q:$Q,"&lt;&gt;Ishlamaydi*")+COUNTIFS(Katalog!$C:$C,"*"&amp;A174&amp;"*",Katalog!$Q:$Q,"&lt;&gt;Ishlamaydi*")</f>
        <v>3</v>
      </c>
      <c r="F174" s="6"/>
      <c r="G174" s="6"/>
      <c r="H174" s="6" t="str">
        <f aca="false">IF(G174&lt;&gt;"","Takroriy",IF(E174=0,"Yetishmaydi",IF(F174="ha","Qisman to‘ldirilgan","Mavjud, lekin tekshirilmagan")))</f>
        <v>Mavjud, lekin tekshirilmagan</v>
      </c>
      <c r="I174" s="6"/>
    </row>
    <row r="175" customFormat="false" ht="23.85" hidden="false" customHeight="false" outlineLevel="0" collapsed="false">
      <c r="A175" s="6" t="s">
        <v>434</v>
      </c>
      <c r="B175" s="6" t="s">
        <v>429</v>
      </c>
      <c r="C175" s="6" t="s">
        <v>430</v>
      </c>
      <c r="D175" s="6" t="s">
        <v>435</v>
      </c>
      <c r="E175" s="6" t="n">
        <f aca="false">COUNTIFS(Katalog!$B:$B,A175,Katalog!$Q:$Q,"&lt;&gt;Ishlamaydi*")+COUNTIFS(Katalog!$C:$C,"*"&amp;A175&amp;"*",Katalog!$Q:$Q,"&lt;&gt;Ishlamaydi*")</f>
        <v>1</v>
      </c>
      <c r="F175" s="6"/>
      <c r="G175" s="6"/>
      <c r="H175" s="6" t="str">
        <f aca="false">IF(G175&lt;&gt;"","Takroriy",IF(E175=0,"Yetishmaydi",IF(F175="ha","Qisman to‘ldirilgan","Mavjud, lekin tekshirilmagan")))</f>
        <v>Mavjud, lekin tekshirilmagan</v>
      </c>
      <c r="I175" s="6"/>
    </row>
    <row r="176" customFormat="false" ht="23.85" hidden="false" customHeight="false" outlineLevel="0" collapsed="false">
      <c r="A176" s="6" t="s">
        <v>436</v>
      </c>
      <c r="B176" s="6" t="s">
        <v>429</v>
      </c>
      <c r="C176" s="6" t="s">
        <v>430</v>
      </c>
      <c r="D176" s="6" t="s">
        <v>437</v>
      </c>
      <c r="E176" s="6" t="n">
        <f aca="false">COUNTIFS(Katalog!$B:$B,A176,Katalog!$Q:$Q,"&lt;&gt;Ishlamaydi*")+COUNTIFS(Katalog!$C:$C,"*"&amp;A176&amp;"*",Katalog!$Q:$Q,"&lt;&gt;Ishlamaydi*")</f>
        <v>1</v>
      </c>
      <c r="F176" s="6"/>
      <c r="G176" s="6"/>
      <c r="H176" s="6" t="str">
        <f aca="false">IF(G176&lt;&gt;"","Takroriy",IF(E176=0,"Yetishmaydi",IF(F176="ha","Qisman to‘ldirilgan","Mavjud, lekin tekshirilmagan")))</f>
        <v>Mavjud, lekin tekshirilmagan</v>
      </c>
      <c r="I176" s="6"/>
    </row>
    <row r="177" customFormat="false" ht="23.85" hidden="false" customHeight="false" outlineLevel="0" collapsed="false">
      <c r="A177" s="6" t="s">
        <v>438</v>
      </c>
      <c r="B177" s="6" t="s">
        <v>429</v>
      </c>
      <c r="C177" s="6" t="s">
        <v>430</v>
      </c>
      <c r="D177" s="6" t="s">
        <v>439</v>
      </c>
      <c r="E177" s="6" t="n">
        <f aca="false">COUNTIFS(Katalog!$B:$B,A177,Katalog!$Q:$Q,"&lt;&gt;Ishlamaydi*")+COUNTIFS(Katalog!$C:$C,"*"&amp;A177&amp;"*",Katalog!$Q:$Q,"&lt;&gt;Ishlamaydi*")</f>
        <v>2</v>
      </c>
      <c r="F177" s="6"/>
      <c r="G177" s="6"/>
      <c r="H177" s="6" t="str">
        <f aca="false">IF(G177&lt;&gt;"","Takroriy",IF(E177=0,"Yetishmaydi",IF(F177="ha","Qisman to‘ldirilgan","Mavjud, lekin tekshirilmagan")))</f>
        <v>Mavjud, lekin tekshirilmagan</v>
      </c>
      <c r="I177" s="6"/>
    </row>
    <row r="178" customFormat="false" ht="23.85" hidden="false" customHeight="false" outlineLevel="0" collapsed="false">
      <c r="A178" s="6" t="s">
        <v>440</v>
      </c>
      <c r="B178" s="6" t="s">
        <v>429</v>
      </c>
      <c r="C178" s="6" t="s">
        <v>430</v>
      </c>
      <c r="D178" s="6" t="s">
        <v>441</v>
      </c>
      <c r="E178" s="6" t="n">
        <f aca="false">COUNTIFS(Katalog!$B:$B,A178,Katalog!$Q:$Q,"&lt;&gt;Ishlamaydi*")+COUNTIFS(Katalog!$C:$C,"*"&amp;A178&amp;"*",Katalog!$Q:$Q,"&lt;&gt;Ishlamaydi*")</f>
        <v>4</v>
      </c>
      <c r="F178" s="6"/>
      <c r="G178" s="6"/>
      <c r="H178" s="6" t="str">
        <f aca="false">IF(G178&lt;&gt;"","Takroriy",IF(E178=0,"Yetishmaydi",IF(F178="ha","Qisman to‘ldirilgan","Mavjud, lekin tekshirilmagan")))</f>
        <v>Mavjud, lekin tekshirilmagan</v>
      </c>
      <c r="I178" s="6"/>
    </row>
    <row r="179" customFormat="false" ht="23.85" hidden="false" customHeight="false" outlineLevel="0" collapsed="false">
      <c r="A179" s="6" t="s">
        <v>442</v>
      </c>
      <c r="B179" s="6" t="s">
        <v>429</v>
      </c>
      <c r="C179" s="6" t="s">
        <v>430</v>
      </c>
      <c r="D179" s="6" t="s">
        <v>443</v>
      </c>
      <c r="E179" s="6" t="n">
        <f aca="false">COUNTIFS(Katalog!$B:$B,A179,Katalog!$Q:$Q,"&lt;&gt;Ishlamaydi*")+COUNTIFS(Katalog!$C:$C,"*"&amp;A179&amp;"*",Katalog!$Q:$Q,"&lt;&gt;Ishlamaydi*")</f>
        <v>3</v>
      </c>
      <c r="F179" s="6"/>
      <c r="G179" s="6"/>
      <c r="H179" s="6" t="str">
        <f aca="false">IF(G179&lt;&gt;"","Takroriy",IF(E179=0,"Yetishmaydi",IF(F179="ha","Qisman to‘ldirilgan","Mavjud, lekin tekshirilmagan")))</f>
        <v>Mavjud, lekin tekshirilmagan</v>
      </c>
      <c r="I179" s="6"/>
    </row>
    <row r="180" customFormat="false" ht="23.85" hidden="false" customHeight="false" outlineLevel="0" collapsed="false">
      <c r="A180" s="6" t="s">
        <v>444</v>
      </c>
      <c r="B180" s="6" t="s">
        <v>429</v>
      </c>
      <c r="C180" s="6" t="s">
        <v>430</v>
      </c>
      <c r="D180" s="6" t="s">
        <v>445</v>
      </c>
      <c r="E180" s="6" t="n">
        <f aca="false">COUNTIFS(Katalog!$B:$B,A180,Katalog!$Q:$Q,"&lt;&gt;Ishlamaydi*")+COUNTIFS(Katalog!$C:$C,"*"&amp;A180&amp;"*",Katalog!$Q:$Q,"&lt;&gt;Ishlamaydi*")</f>
        <v>4</v>
      </c>
      <c r="F180" s="6"/>
      <c r="G180" s="6"/>
      <c r="H180" s="6" t="str">
        <f aca="false">IF(G180&lt;&gt;"","Takroriy",IF(E180=0,"Yetishmaydi",IF(F180="ha","Qisman to‘ldirilgan","Mavjud, lekin tekshirilmagan")))</f>
        <v>Mavjud, lekin tekshirilmagan</v>
      </c>
      <c r="I180" s="6"/>
    </row>
    <row r="181" customFormat="false" ht="23.85" hidden="false" customHeight="false" outlineLevel="0" collapsed="false">
      <c r="A181" s="6" t="s">
        <v>446</v>
      </c>
      <c r="B181" s="6" t="s">
        <v>429</v>
      </c>
      <c r="C181" s="6" t="s">
        <v>430</v>
      </c>
      <c r="D181" s="6" t="s">
        <v>447</v>
      </c>
      <c r="E181" s="6" t="n">
        <f aca="false">COUNTIFS(Katalog!$B:$B,A181,Katalog!$Q:$Q,"&lt;&gt;Ishlamaydi*")+COUNTIFS(Katalog!$C:$C,"*"&amp;A181&amp;"*",Katalog!$Q:$Q,"&lt;&gt;Ishlamaydi*")</f>
        <v>2</v>
      </c>
      <c r="F181" s="6"/>
      <c r="G181" s="6"/>
      <c r="H181" s="6" t="str">
        <f aca="false">IF(G181&lt;&gt;"","Takroriy",IF(E181=0,"Yetishmaydi",IF(F181="ha","Qisman to‘ldirilgan","Mavjud, lekin tekshirilmagan")))</f>
        <v>Mavjud, lekin tekshirilmagan</v>
      </c>
      <c r="I181" s="6"/>
    </row>
    <row r="182" customFormat="false" ht="23.85" hidden="false" customHeight="false" outlineLevel="0" collapsed="false">
      <c r="A182" s="6" t="s">
        <v>448</v>
      </c>
      <c r="B182" s="6" t="s">
        <v>429</v>
      </c>
      <c r="C182" s="6" t="s">
        <v>430</v>
      </c>
      <c r="D182" s="6" t="s">
        <v>449</v>
      </c>
      <c r="E182" s="6" t="n">
        <f aca="false">COUNTIFS(Katalog!$B:$B,A182,Katalog!$Q:$Q,"&lt;&gt;Ishlamaydi*")+COUNTIFS(Katalog!$C:$C,"*"&amp;A182&amp;"*",Katalog!$Q:$Q,"&lt;&gt;Ishlamaydi*")</f>
        <v>6</v>
      </c>
      <c r="F182" s="6"/>
      <c r="G182" s="6"/>
      <c r="H182" s="6" t="str">
        <f aca="false">IF(G182&lt;&gt;"","Takroriy",IF(E182=0,"Yetishmaydi",IF(F182="ha","Qisman to‘ldirilgan","Mavjud, lekin tekshirilmagan")))</f>
        <v>Mavjud, lekin tekshirilmagan</v>
      </c>
      <c r="I182" s="6"/>
    </row>
    <row r="183" customFormat="false" ht="15" hidden="false" customHeight="false" outlineLevel="0" collapsed="false">
      <c r="A183" s="6" t="s">
        <v>450</v>
      </c>
      <c r="B183" s="6" t="s">
        <v>451</v>
      </c>
      <c r="C183" s="6" t="s">
        <v>452</v>
      </c>
      <c r="D183" s="6" t="s">
        <v>453</v>
      </c>
      <c r="E183" s="6" t="n">
        <f aca="false">COUNTIFS(Katalog!$B:$B,A183,Katalog!$Q:$Q,"&lt;&gt;Ishlamaydi*")+COUNTIFS(Katalog!$C:$C,"*"&amp;A183&amp;"*",Katalog!$Q:$Q,"&lt;&gt;Ishlamaydi*")</f>
        <v>2</v>
      </c>
      <c r="F183" s="6"/>
      <c r="G183" s="6"/>
      <c r="H183" s="6" t="str">
        <f aca="false">IF(G183&lt;&gt;"","Takroriy",IF(E183=0,"Yetishmaydi",IF(F183="ha","Qisman to‘ldirilgan","Mavjud, lekin tekshirilmagan")))</f>
        <v>Mavjud, lekin tekshirilmagan</v>
      </c>
      <c r="I183" s="6"/>
    </row>
    <row r="184" customFormat="false" ht="15" hidden="false" customHeight="false" outlineLevel="0" collapsed="false">
      <c r="A184" s="6" t="s">
        <v>454</v>
      </c>
      <c r="B184" s="6" t="s">
        <v>451</v>
      </c>
      <c r="C184" s="6" t="s">
        <v>452</v>
      </c>
      <c r="D184" s="6" t="s">
        <v>455</v>
      </c>
      <c r="E184" s="6" t="n">
        <f aca="false">COUNTIFS(Katalog!$B:$B,A184,Katalog!$Q:$Q,"&lt;&gt;Ishlamaydi*")+COUNTIFS(Katalog!$C:$C,"*"&amp;A184&amp;"*",Katalog!$Q:$Q,"&lt;&gt;Ishlamaydi*")</f>
        <v>3</v>
      </c>
      <c r="F184" s="6"/>
      <c r="G184" s="6"/>
      <c r="H184" s="6" t="str">
        <f aca="false">IF(G184&lt;&gt;"","Takroriy",IF(E184=0,"Yetishmaydi",IF(F184="ha","Qisman to‘ldirilgan","Mavjud, lekin tekshirilmagan")))</f>
        <v>Mavjud, lekin tekshirilmagan</v>
      </c>
      <c r="I184" s="6"/>
    </row>
    <row r="185" customFormat="false" ht="15" hidden="false" customHeight="false" outlineLevel="0" collapsed="false">
      <c r="A185" s="6" t="s">
        <v>456</v>
      </c>
      <c r="B185" s="6" t="s">
        <v>451</v>
      </c>
      <c r="C185" s="6" t="s">
        <v>452</v>
      </c>
      <c r="D185" s="6" t="s">
        <v>457</v>
      </c>
      <c r="E185" s="6" t="n">
        <f aca="false">COUNTIFS(Katalog!$B:$B,A185,Katalog!$Q:$Q,"&lt;&gt;Ishlamaydi*")+COUNTIFS(Katalog!$C:$C,"*"&amp;A185&amp;"*",Katalog!$Q:$Q,"&lt;&gt;Ishlamaydi*")</f>
        <v>3</v>
      </c>
      <c r="F185" s="6"/>
      <c r="G185" s="6"/>
      <c r="H185" s="6" t="str">
        <f aca="false">IF(G185&lt;&gt;"","Takroriy",IF(E185=0,"Yetishmaydi",IF(F185="ha","Qisman to‘ldirilgan","Mavjud, lekin tekshirilmagan")))</f>
        <v>Mavjud, lekin tekshirilmagan</v>
      </c>
      <c r="I185" s="6"/>
    </row>
    <row r="186" customFormat="false" ht="15" hidden="false" customHeight="false" outlineLevel="0" collapsed="false">
      <c r="A186" s="6" t="s">
        <v>458</v>
      </c>
      <c r="B186" s="6" t="s">
        <v>451</v>
      </c>
      <c r="C186" s="6" t="s">
        <v>452</v>
      </c>
      <c r="D186" s="6" t="s">
        <v>459</v>
      </c>
      <c r="E186" s="6" t="n">
        <f aca="false">COUNTIFS(Katalog!$B:$B,A186,Katalog!$Q:$Q,"&lt;&gt;Ishlamaydi*")+COUNTIFS(Katalog!$C:$C,"*"&amp;A186&amp;"*",Katalog!$Q:$Q,"&lt;&gt;Ishlamaydi*")</f>
        <v>3</v>
      </c>
      <c r="F186" s="6"/>
      <c r="G186" s="6"/>
      <c r="H186" s="6" t="str">
        <f aca="false">IF(G186&lt;&gt;"","Takroriy",IF(E186=0,"Yetishmaydi",IF(F186="ha","Qisman to‘ldirilgan","Mavjud, lekin tekshirilmagan")))</f>
        <v>Mavjud, lekin tekshirilmagan</v>
      </c>
      <c r="I186" s="6"/>
    </row>
    <row r="187" customFormat="false" ht="15" hidden="false" customHeight="false" outlineLevel="0" collapsed="false">
      <c r="A187" s="6" t="s">
        <v>460</v>
      </c>
      <c r="B187" s="6" t="s">
        <v>451</v>
      </c>
      <c r="C187" s="6" t="s">
        <v>452</v>
      </c>
      <c r="D187" s="6" t="s">
        <v>461</v>
      </c>
      <c r="E187" s="6" t="n">
        <f aca="false">COUNTIFS(Katalog!$B:$B,A187,Katalog!$Q:$Q,"&lt;&gt;Ishlamaydi*")+COUNTIFS(Katalog!$C:$C,"*"&amp;A187&amp;"*",Katalog!$Q:$Q,"&lt;&gt;Ishlamaydi*")</f>
        <v>4</v>
      </c>
      <c r="F187" s="6"/>
      <c r="G187" s="6"/>
      <c r="H187" s="6" t="str">
        <f aca="false">IF(G187&lt;&gt;"","Takroriy",IF(E187=0,"Yetishmaydi",IF(F187="ha","Qisman to‘ldirilgan","Mavjud, lekin tekshirilmagan")))</f>
        <v>Mavjud, lekin tekshirilmagan</v>
      </c>
      <c r="I187" s="6"/>
    </row>
    <row r="188" customFormat="false" ht="15" hidden="false" customHeight="false" outlineLevel="0" collapsed="false">
      <c r="A188" s="6" t="s">
        <v>462</v>
      </c>
      <c r="B188" s="6" t="s">
        <v>451</v>
      </c>
      <c r="C188" s="6" t="s">
        <v>452</v>
      </c>
      <c r="D188" s="6" t="s">
        <v>463</v>
      </c>
      <c r="E188" s="6" t="n">
        <f aca="false">COUNTIFS(Katalog!$B:$B,A188,Katalog!$Q:$Q,"&lt;&gt;Ishlamaydi*")+COUNTIFS(Katalog!$C:$C,"*"&amp;A188&amp;"*",Katalog!$Q:$Q,"&lt;&gt;Ishlamaydi*")</f>
        <v>1</v>
      </c>
      <c r="F188" s="6"/>
      <c r="G188" s="6"/>
      <c r="H188" s="6" t="str">
        <f aca="false">IF(G188&lt;&gt;"","Takroriy",IF(E188=0,"Yetishmaydi",IF(F188="ha","Qisman to‘ldirilgan","Mavjud, lekin tekshirilmagan")))</f>
        <v>Mavjud, lekin tekshirilmagan</v>
      </c>
      <c r="I188" s="6"/>
    </row>
    <row r="189" customFormat="false" ht="15" hidden="false" customHeight="false" outlineLevel="0" collapsed="false">
      <c r="A189" s="6" t="s">
        <v>464</v>
      </c>
      <c r="B189" s="6" t="s">
        <v>451</v>
      </c>
      <c r="C189" s="6" t="s">
        <v>452</v>
      </c>
      <c r="D189" s="6" t="s">
        <v>465</v>
      </c>
      <c r="E189" s="6" t="n">
        <f aca="false">COUNTIFS(Katalog!$B:$B,A189,Katalog!$Q:$Q,"&lt;&gt;Ishlamaydi*")+COUNTIFS(Katalog!$C:$C,"*"&amp;A189&amp;"*",Katalog!$Q:$Q,"&lt;&gt;Ishlamaydi*")</f>
        <v>4</v>
      </c>
      <c r="F189" s="6"/>
      <c r="G189" s="6"/>
      <c r="H189" s="6" t="str">
        <f aca="false">IF(G189&lt;&gt;"","Takroriy",IF(E189=0,"Yetishmaydi",IF(F189="ha","Qisman to‘ldirilgan","Mavjud, lekin tekshirilmagan")))</f>
        <v>Mavjud, lekin tekshirilmagan</v>
      </c>
      <c r="I189" s="6"/>
    </row>
    <row r="190" customFormat="false" ht="15" hidden="false" customHeight="false" outlineLevel="0" collapsed="false">
      <c r="A190" s="6" t="s">
        <v>466</v>
      </c>
      <c r="B190" s="6" t="s">
        <v>451</v>
      </c>
      <c r="C190" s="6" t="s">
        <v>452</v>
      </c>
      <c r="D190" s="6" t="s">
        <v>467</v>
      </c>
      <c r="E190" s="6" t="n">
        <f aca="false">COUNTIFS(Katalog!$B:$B,A190,Katalog!$Q:$Q,"&lt;&gt;Ishlamaydi*")+COUNTIFS(Katalog!$C:$C,"*"&amp;A190&amp;"*",Katalog!$Q:$Q,"&lt;&gt;Ishlamaydi*")</f>
        <v>3</v>
      </c>
      <c r="F190" s="6"/>
      <c r="G190" s="6"/>
      <c r="H190" s="6" t="str">
        <f aca="false">IF(G190&lt;&gt;"","Takroriy",IF(E190=0,"Yetishmaydi",IF(F190="ha","Qisman to‘ldirilgan","Mavjud, lekin tekshirilmagan")))</f>
        <v>Mavjud, lekin tekshirilmagan</v>
      </c>
      <c r="I190" s="6"/>
    </row>
    <row r="191" customFormat="false" ht="15" hidden="false" customHeight="false" outlineLevel="0" collapsed="false">
      <c r="A191" s="6" t="s">
        <v>468</v>
      </c>
      <c r="B191" s="6" t="s">
        <v>451</v>
      </c>
      <c r="C191" s="6" t="s">
        <v>452</v>
      </c>
      <c r="D191" s="6" t="s">
        <v>469</v>
      </c>
      <c r="E191" s="6" t="n">
        <f aca="false">COUNTIFS(Katalog!$B:$B,A191,Katalog!$Q:$Q,"&lt;&gt;Ishlamaydi*")+COUNTIFS(Katalog!$C:$C,"*"&amp;A191&amp;"*",Katalog!$Q:$Q,"&lt;&gt;Ishlamaydi*")</f>
        <v>3</v>
      </c>
      <c r="F191" s="6"/>
      <c r="G191" s="6"/>
      <c r="H191" s="6" t="str">
        <f aca="false">IF(G191&lt;&gt;"","Takroriy",IF(E191=0,"Yetishmaydi",IF(F191="ha","Qisman to‘ldirilgan","Mavjud, lekin tekshirilmagan")))</f>
        <v>Mavjud, lekin tekshirilmagan</v>
      </c>
      <c r="I191" s="6"/>
    </row>
    <row r="192" customFormat="false" ht="15" hidden="false" customHeight="false" outlineLevel="0" collapsed="false">
      <c r="A192" s="6" t="s">
        <v>470</v>
      </c>
      <c r="B192" s="6" t="s">
        <v>451</v>
      </c>
      <c r="C192" s="6" t="s">
        <v>452</v>
      </c>
      <c r="D192" s="6" t="s">
        <v>471</v>
      </c>
      <c r="E192" s="6" t="n">
        <f aca="false">COUNTIFS(Katalog!$B:$B,A192,Katalog!$Q:$Q,"&lt;&gt;Ishlamaydi*")+COUNTIFS(Katalog!$C:$C,"*"&amp;A192&amp;"*",Katalog!$Q:$Q,"&lt;&gt;Ishlamaydi*")</f>
        <v>1</v>
      </c>
      <c r="F192" s="6"/>
      <c r="G192" s="6"/>
      <c r="H192" s="6" t="str">
        <f aca="false">IF(G192&lt;&gt;"","Takroriy",IF(E192=0,"Yetishmaydi",IF(F192="ha","Qisman to‘ldirilgan","Mavjud, lekin tekshirilmagan")))</f>
        <v>Mavjud, lekin tekshirilmagan</v>
      </c>
      <c r="I192" s="6"/>
    </row>
    <row r="193" customFormat="false" ht="15" hidden="false" customHeight="false" outlineLevel="0" collapsed="false">
      <c r="A193" s="6" t="s">
        <v>472</v>
      </c>
      <c r="B193" s="6" t="s">
        <v>451</v>
      </c>
      <c r="C193" s="6" t="s">
        <v>452</v>
      </c>
      <c r="D193" s="6" t="s">
        <v>473</v>
      </c>
      <c r="E193" s="6" t="n">
        <f aca="false">COUNTIFS(Katalog!$B:$B,A193,Katalog!$Q:$Q,"&lt;&gt;Ishlamaydi*")+COUNTIFS(Katalog!$C:$C,"*"&amp;A193&amp;"*",Katalog!$Q:$Q,"&lt;&gt;Ishlamaydi*")</f>
        <v>3</v>
      </c>
      <c r="F193" s="6"/>
      <c r="G193" s="6"/>
      <c r="H193" s="6" t="str">
        <f aca="false">IF(G193&lt;&gt;"","Takroriy",IF(E193=0,"Yetishmaydi",IF(F193="ha","Qisman to‘ldirilgan","Mavjud, lekin tekshirilmagan")))</f>
        <v>Mavjud, lekin tekshirilmagan</v>
      </c>
      <c r="I193" s="6"/>
    </row>
    <row r="194" customFormat="false" ht="15" hidden="false" customHeight="false" outlineLevel="0" collapsed="false">
      <c r="A194" s="6" t="s">
        <v>474</v>
      </c>
      <c r="B194" s="6" t="s">
        <v>451</v>
      </c>
      <c r="C194" s="6" t="s">
        <v>452</v>
      </c>
      <c r="D194" s="6" t="s">
        <v>475</v>
      </c>
      <c r="E194" s="6" t="n">
        <f aca="false">COUNTIFS(Katalog!$B:$B,A194,Katalog!$Q:$Q,"&lt;&gt;Ishlamaydi*")+COUNTIFS(Katalog!$C:$C,"*"&amp;A194&amp;"*",Katalog!$Q:$Q,"&lt;&gt;Ishlamaydi*")</f>
        <v>3</v>
      </c>
      <c r="F194" s="6"/>
      <c r="G194" s="6"/>
      <c r="H194" s="6" t="str">
        <f aca="false">IF(G194&lt;&gt;"","Takroriy",IF(E194=0,"Yetishmaydi",IF(F194="ha","Qisman to‘ldirilgan","Mavjud, lekin tekshirilmagan")))</f>
        <v>Mavjud, lekin tekshirilmagan</v>
      </c>
      <c r="I194" s="6"/>
    </row>
    <row r="195" customFormat="false" ht="15" hidden="false" customHeight="false" outlineLevel="0" collapsed="false">
      <c r="A195" s="6" t="s">
        <v>476</v>
      </c>
      <c r="B195" s="6" t="s">
        <v>451</v>
      </c>
      <c r="C195" s="6" t="s">
        <v>452</v>
      </c>
      <c r="D195" s="6" t="s">
        <v>477</v>
      </c>
      <c r="E195" s="6" t="n">
        <f aca="false">COUNTIFS(Katalog!$B:$B,A195,Katalog!$Q:$Q,"&lt;&gt;Ishlamaydi*")+COUNTIFS(Katalog!$C:$C,"*"&amp;A195&amp;"*",Katalog!$Q:$Q,"&lt;&gt;Ishlamaydi*")</f>
        <v>2</v>
      </c>
      <c r="F195" s="6"/>
      <c r="G195" s="6"/>
      <c r="H195" s="6" t="str">
        <f aca="false">IF(G195&lt;&gt;"","Takroriy",IF(E195=0,"Yetishmaydi",IF(F195="ha","Qisman to‘ldirilgan","Mavjud, lekin tekshirilmagan")))</f>
        <v>Mavjud, lekin tekshirilmagan</v>
      </c>
      <c r="I195" s="6"/>
    </row>
    <row r="196" customFormat="false" ht="23.85" hidden="false" customHeight="false" outlineLevel="0" collapsed="false">
      <c r="A196" s="6" t="s">
        <v>478</v>
      </c>
      <c r="B196" s="6" t="s">
        <v>479</v>
      </c>
      <c r="C196" s="6" t="s">
        <v>480</v>
      </c>
      <c r="D196" s="6" t="s">
        <v>481</v>
      </c>
      <c r="E196" s="6" t="n">
        <f aca="false">COUNTIFS(Katalog!$B:$B,A196,Katalog!$Q:$Q,"&lt;&gt;Ishlamaydi*")+COUNTIFS(Katalog!$C:$C,"*"&amp;A196&amp;"*",Katalog!$Q:$Q,"&lt;&gt;Ishlamaydi*")</f>
        <v>1</v>
      </c>
      <c r="F196" s="6"/>
      <c r="G196" s="6"/>
      <c r="H196" s="6" t="str">
        <f aca="false">IF(G196&lt;&gt;"","Takroriy",IF(E196=0,"Yetishmaydi",IF(F196="ha","Qisman to‘ldirilgan","Mavjud, lekin tekshirilmagan")))</f>
        <v>Mavjud, lekin tekshirilmagan</v>
      </c>
      <c r="I196" s="6"/>
    </row>
    <row r="197" customFormat="false" ht="23.85" hidden="false" customHeight="false" outlineLevel="0" collapsed="false">
      <c r="A197" s="6" t="s">
        <v>482</v>
      </c>
      <c r="B197" s="6" t="s">
        <v>479</v>
      </c>
      <c r="C197" s="6" t="s">
        <v>480</v>
      </c>
      <c r="D197" s="6" t="s">
        <v>483</v>
      </c>
      <c r="E197" s="6" t="n">
        <f aca="false">COUNTIFS(Katalog!$B:$B,A197,Katalog!$Q:$Q,"&lt;&gt;Ishlamaydi*")+COUNTIFS(Katalog!$C:$C,"*"&amp;A197&amp;"*",Katalog!$Q:$Q,"&lt;&gt;Ishlamaydi*")</f>
        <v>8</v>
      </c>
      <c r="F197" s="6"/>
      <c r="G197" s="6"/>
      <c r="H197" s="6" t="str">
        <f aca="false">IF(G197&lt;&gt;"","Takroriy",IF(E197=0,"Yetishmaydi",IF(F197="ha","Qisman to‘ldirilgan","Mavjud, lekin tekshirilmagan")))</f>
        <v>Mavjud, lekin tekshirilmagan</v>
      </c>
      <c r="I197" s="6" t="s">
        <v>484</v>
      </c>
    </row>
    <row r="198" customFormat="false" ht="23.85" hidden="false" customHeight="false" outlineLevel="0" collapsed="false">
      <c r="A198" s="6" t="s">
        <v>485</v>
      </c>
      <c r="B198" s="6" t="s">
        <v>479</v>
      </c>
      <c r="C198" s="6" t="s">
        <v>480</v>
      </c>
      <c r="D198" s="6" t="s">
        <v>486</v>
      </c>
      <c r="E198" s="6" t="n">
        <f aca="false">COUNTIFS(Katalog!$B:$B,A198,Katalog!$Q:$Q,"&lt;&gt;Ishlamaydi*")+COUNTIFS(Katalog!$C:$C,"*"&amp;A198&amp;"*",Katalog!$Q:$Q,"&lt;&gt;Ishlamaydi*")</f>
        <v>2</v>
      </c>
      <c r="F198" s="6"/>
      <c r="G198" s="6"/>
      <c r="H198" s="6" t="str">
        <f aca="false">IF(G198&lt;&gt;"","Takroriy",IF(E198=0,"Yetishmaydi",IF(F198="ha","Qisman to‘ldirilgan","Mavjud, lekin tekshirilmagan")))</f>
        <v>Mavjud, lekin tekshirilmagan</v>
      </c>
      <c r="I198" s="6"/>
    </row>
    <row r="199" customFormat="false" ht="23.85" hidden="false" customHeight="false" outlineLevel="0" collapsed="false">
      <c r="A199" s="6" t="s">
        <v>487</v>
      </c>
      <c r="B199" s="6" t="s">
        <v>479</v>
      </c>
      <c r="C199" s="6" t="s">
        <v>480</v>
      </c>
      <c r="D199" s="6" t="s">
        <v>488</v>
      </c>
      <c r="E199" s="6" t="n">
        <f aca="false">COUNTIFS(Katalog!$B:$B,A199,Katalog!$Q:$Q,"&lt;&gt;Ishlamaydi*")+COUNTIFS(Katalog!$C:$C,"*"&amp;A199&amp;"*",Katalog!$Q:$Q,"&lt;&gt;Ishlamaydi*")</f>
        <v>2</v>
      </c>
      <c r="F199" s="6"/>
      <c r="G199" s="6"/>
      <c r="H199" s="6" t="str">
        <f aca="false">IF(G199&lt;&gt;"","Takroriy",IF(E199=0,"Yetishmaydi",IF(F199="ha","Qisman to‘ldirilgan","Mavjud, lekin tekshirilmagan")))</f>
        <v>Mavjud, lekin tekshirilmagan</v>
      </c>
      <c r="I199" s="6"/>
    </row>
    <row r="200" customFormat="false" ht="23.85" hidden="false" customHeight="false" outlineLevel="0" collapsed="false">
      <c r="A200" s="6" t="s">
        <v>489</v>
      </c>
      <c r="B200" s="6" t="s">
        <v>479</v>
      </c>
      <c r="C200" s="6" t="s">
        <v>480</v>
      </c>
      <c r="D200" s="6" t="s">
        <v>490</v>
      </c>
      <c r="E200" s="6" t="n">
        <f aca="false">COUNTIFS(Katalog!$B:$B,A200,Katalog!$Q:$Q,"&lt;&gt;Ishlamaydi*")+COUNTIFS(Katalog!$C:$C,"*"&amp;A200&amp;"*",Katalog!$Q:$Q,"&lt;&gt;Ishlamaydi*")</f>
        <v>4</v>
      </c>
      <c r="F200" s="6"/>
      <c r="G200" s="6"/>
      <c r="H200" s="6" t="str">
        <f aca="false">IF(G200&lt;&gt;"","Takroriy",IF(E200=0,"Yetishmaydi",IF(F200="ha","Qisman to‘ldirilgan","Mavjud, lekin tekshirilmagan")))</f>
        <v>Mavjud, lekin tekshirilmagan</v>
      </c>
      <c r="I200" s="6"/>
    </row>
    <row r="201" customFormat="false" ht="23.85" hidden="false" customHeight="false" outlineLevel="0" collapsed="false">
      <c r="A201" s="6" t="s">
        <v>491</v>
      </c>
      <c r="B201" s="6" t="s">
        <v>479</v>
      </c>
      <c r="C201" s="6" t="s">
        <v>480</v>
      </c>
      <c r="D201" s="6" t="s">
        <v>492</v>
      </c>
      <c r="E201" s="6" t="n">
        <f aca="false">COUNTIFS(Katalog!$B:$B,A201,Katalog!$Q:$Q,"&lt;&gt;Ishlamaydi*")+COUNTIFS(Katalog!$C:$C,"*"&amp;A201&amp;"*",Katalog!$Q:$Q,"&lt;&gt;Ishlamaydi*")</f>
        <v>3</v>
      </c>
      <c r="F201" s="6"/>
      <c r="G201" s="6"/>
      <c r="H201" s="6" t="str">
        <f aca="false">IF(G201&lt;&gt;"","Takroriy",IF(E201=0,"Yetishmaydi",IF(F201="ha","Qisman to‘ldirilgan","Mavjud, lekin tekshirilmagan")))</f>
        <v>Mavjud, lekin tekshirilmagan</v>
      </c>
      <c r="I201" s="6"/>
    </row>
    <row r="202" customFormat="false" ht="23.85" hidden="false" customHeight="false" outlineLevel="0" collapsed="false">
      <c r="A202" s="6" t="s">
        <v>493</v>
      </c>
      <c r="B202" s="6" t="s">
        <v>479</v>
      </c>
      <c r="C202" s="6" t="s">
        <v>480</v>
      </c>
      <c r="D202" s="6" t="s">
        <v>494</v>
      </c>
      <c r="E202" s="6" t="n">
        <f aca="false">COUNTIFS(Katalog!$B:$B,A202,Katalog!$Q:$Q,"&lt;&gt;Ishlamaydi*")+COUNTIFS(Katalog!$C:$C,"*"&amp;A202&amp;"*",Katalog!$Q:$Q,"&lt;&gt;Ishlamaydi*")</f>
        <v>1</v>
      </c>
      <c r="F202" s="6"/>
      <c r="G202" s="6"/>
      <c r="H202" s="6" t="str">
        <f aca="false">IF(G202&lt;&gt;"","Takroriy",IF(E202=0,"Yetishmaydi",IF(F202="ha","Qisman to‘ldirilgan","Mavjud, lekin tekshirilmagan")))</f>
        <v>Mavjud, lekin tekshirilmagan</v>
      </c>
      <c r="I202" s="6"/>
    </row>
    <row r="203" customFormat="false" ht="23.85" hidden="false" customHeight="false" outlineLevel="0" collapsed="false">
      <c r="A203" s="6" t="s">
        <v>495</v>
      </c>
      <c r="B203" s="6" t="s">
        <v>479</v>
      </c>
      <c r="C203" s="6" t="s">
        <v>480</v>
      </c>
      <c r="D203" s="6" t="s">
        <v>496</v>
      </c>
      <c r="E203" s="6" t="n">
        <f aca="false">COUNTIFS(Katalog!$B:$B,A203,Katalog!$Q:$Q,"&lt;&gt;Ishlamaydi*")+COUNTIFS(Katalog!$C:$C,"*"&amp;A203&amp;"*",Katalog!$Q:$Q,"&lt;&gt;Ishlamaydi*")</f>
        <v>1</v>
      </c>
      <c r="F203" s="6"/>
      <c r="G203" s="6"/>
      <c r="H203" s="6" t="str">
        <f aca="false">IF(G203&lt;&gt;"","Takroriy",IF(E203=0,"Yetishmaydi",IF(F203="ha","Qisman to‘ldirilgan","Mavjud, lekin tekshirilmagan")))</f>
        <v>Mavjud, lekin tekshirilmagan</v>
      </c>
      <c r="I203" s="6"/>
    </row>
    <row r="204" customFormat="false" ht="23.85" hidden="false" customHeight="false" outlineLevel="0" collapsed="false">
      <c r="A204" s="6" t="s">
        <v>497</v>
      </c>
      <c r="B204" s="6" t="s">
        <v>479</v>
      </c>
      <c r="C204" s="6" t="s">
        <v>480</v>
      </c>
      <c r="D204" s="6" t="s">
        <v>498</v>
      </c>
      <c r="E204" s="6" t="n">
        <f aca="false">COUNTIFS(Katalog!$B:$B,A204,Katalog!$Q:$Q,"&lt;&gt;Ishlamaydi*")+COUNTIFS(Katalog!$C:$C,"*"&amp;A204&amp;"*",Katalog!$Q:$Q,"&lt;&gt;Ishlamaydi*")</f>
        <v>1</v>
      </c>
      <c r="F204" s="6"/>
      <c r="G204" s="6" t="s">
        <v>499</v>
      </c>
      <c r="H204" s="6" t="str">
        <f aca="false">IF(G204&lt;&gt;"","Takroriy",IF(E204=0,"Yetishmaydi",IF(F204="ha","Qisman to‘ldirilgan","Mavjud, lekin tekshirilmagan")))</f>
        <v>Takroriy</v>
      </c>
      <c r="I204" s="6"/>
    </row>
    <row r="205" customFormat="false" ht="23.85" hidden="false" customHeight="false" outlineLevel="0" collapsed="false">
      <c r="A205" s="6" t="s">
        <v>500</v>
      </c>
      <c r="B205" s="6" t="s">
        <v>479</v>
      </c>
      <c r="C205" s="6" t="s">
        <v>480</v>
      </c>
      <c r="D205" s="6" t="s">
        <v>501</v>
      </c>
      <c r="E205" s="6" t="n">
        <f aca="false">COUNTIFS(Katalog!$B:$B,A205,Katalog!$Q:$Q,"&lt;&gt;Ishlamaydi*")+COUNTIFS(Katalog!$C:$C,"*"&amp;A205&amp;"*",Katalog!$Q:$Q,"&lt;&gt;Ishlamaydi*")</f>
        <v>0</v>
      </c>
      <c r="F205" s="6"/>
      <c r="G205" s="6"/>
      <c r="H205" s="6" t="str">
        <f aca="false">IF(G205&lt;&gt;"","Takroriy",IF(E205=0,"Yetishmaydi",IF(F205="ha","Qisman to‘ldirilgan","Mavjud, lekin tekshirilmagan")))</f>
        <v>Yetishmaydi</v>
      </c>
      <c r="I205" s="6"/>
    </row>
    <row r="206" customFormat="false" ht="23.85" hidden="false" customHeight="false" outlineLevel="0" collapsed="false">
      <c r="A206" s="6" t="s">
        <v>502</v>
      </c>
      <c r="B206" s="6" t="s">
        <v>503</v>
      </c>
      <c r="C206" s="6" t="s">
        <v>504</v>
      </c>
      <c r="D206" s="6" t="s">
        <v>505</v>
      </c>
      <c r="E206" s="6" t="n">
        <f aca="false">COUNTIFS(Katalog!$B:$B,A206,Katalog!$Q:$Q,"&lt;&gt;Ishlamaydi*")+COUNTIFS(Katalog!$C:$C,"*"&amp;A206&amp;"*",Katalog!$Q:$Q,"&lt;&gt;Ishlamaydi*")</f>
        <v>3</v>
      </c>
      <c r="F206" s="6"/>
      <c r="G206" s="6"/>
      <c r="H206" s="6" t="str">
        <f aca="false">IF(G206&lt;&gt;"","Takroriy",IF(E206=0,"Yetishmaydi",IF(F206="ha","Qisman to‘ldirilgan","Mavjud, lekin tekshirilmagan")))</f>
        <v>Mavjud, lekin tekshirilmagan</v>
      </c>
      <c r="I206" s="6"/>
    </row>
    <row r="207" customFormat="false" ht="23.85" hidden="false" customHeight="false" outlineLevel="0" collapsed="false">
      <c r="A207" s="6" t="s">
        <v>506</v>
      </c>
      <c r="B207" s="6" t="s">
        <v>503</v>
      </c>
      <c r="C207" s="6" t="s">
        <v>504</v>
      </c>
      <c r="D207" s="6" t="s">
        <v>507</v>
      </c>
      <c r="E207" s="6" t="n">
        <f aca="false">COUNTIFS(Katalog!$B:$B,A207,Katalog!$Q:$Q,"&lt;&gt;Ishlamaydi*")+COUNTIFS(Katalog!$C:$C,"*"&amp;A207&amp;"*",Katalog!$Q:$Q,"&lt;&gt;Ishlamaydi*")</f>
        <v>2</v>
      </c>
      <c r="F207" s="6"/>
      <c r="G207" s="6"/>
      <c r="H207" s="6" t="str">
        <f aca="false">IF(G207&lt;&gt;"","Takroriy",IF(E207=0,"Yetishmaydi",IF(F207="ha","Qisman to‘ldirilgan","Mavjud, lekin tekshirilmagan")))</f>
        <v>Mavjud, lekin tekshirilmagan</v>
      </c>
      <c r="I207" s="6"/>
    </row>
    <row r="208" customFormat="false" ht="23.85" hidden="false" customHeight="false" outlineLevel="0" collapsed="false">
      <c r="A208" s="6" t="s">
        <v>508</v>
      </c>
      <c r="B208" s="6" t="s">
        <v>503</v>
      </c>
      <c r="C208" s="6" t="s">
        <v>504</v>
      </c>
      <c r="D208" s="6" t="s">
        <v>509</v>
      </c>
      <c r="E208" s="6" t="n">
        <f aca="false">COUNTIFS(Katalog!$B:$B,A208,Katalog!$Q:$Q,"&lt;&gt;Ishlamaydi*")+COUNTIFS(Katalog!$C:$C,"*"&amp;A208&amp;"*",Katalog!$Q:$Q,"&lt;&gt;Ishlamaydi*")</f>
        <v>3</v>
      </c>
      <c r="F208" s="6"/>
      <c r="G208" s="6"/>
      <c r="H208" s="6" t="str">
        <f aca="false">IF(G208&lt;&gt;"","Takroriy",IF(E208=0,"Yetishmaydi",IF(F208="ha","Qisman to‘ldirilgan","Mavjud, lekin tekshirilmagan")))</f>
        <v>Mavjud, lekin tekshirilmagan</v>
      </c>
      <c r="I208" s="6"/>
    </row>
    <row r="209" customFormat="false" ht="23.85" hidden="false" customHeight="false" outlineLevel="0" collapsed="false">
      <c r="A209" s="6" t="s">
        <v>510</v>
      </c>
      <c r="B209" s="6" t="s">
        <v>503</v>
      </c>
      <c r="C209" s="6" t="s">
        <v>504</v>
      </c>
      <c r="D209" s="6" t="s">
        <v>511</v>
      </c>
      <c r="E209" s="6" t="n">
        <f aca="false">COUNTIFS(Katalog!$B:$B,A209,Katalog!$Q:$Q,"&lt;&gt;Ishlamaydi*")+COUNTIFS(Katalog!$C:$C,"*"&amp;A209&amp;"*",Katalog!$Q:$Q,"&lt;&gt;Ishlamaydi*")</f>
        <v>2</v>
      </c>
      <c r="F209" s="6"/>
      <c r="G209" s="6"/>
      <c r="H209" s="6" t="str">
        <f aca="false">IF(G209&lt;&gt;"","Takroriy",IF(E209=0,"Yetishmaydi",IF(F209="ha","Qisman to‘ldirilgan","Mavjud, lekin tekshirilmagan")))</f>
        <v>Mavjud, lekin tekshirilmagan</v>
      </c>
      <c r="I209" s="6"/>
    </row>
    <row r="210" customFormat="false" ht="23.85" hidden="false" customHeight="false" outlineLevel="0" collapsed="false">
      <c r="A210" s="6" t="s">
        <v>512</v>
      </c>
      <c r="B210" s="6" t="s">
        <v>503</v>
      </c>
      <c r="C210" s="6" t="s">
        <v>504</v>
      </c>
      <c r="D210" s="6" t="s">
        <v>513</v>
      </c>
      <c r="E210" s="6" t="n">
        <f aca="false">COUNTIFS(Katalog!$B:$B,A210,Katalog!$Q:$Q,"&lt;&gt;Ishlamaydi*")+COUNTIFS(Katalog!$C:$C,"*"&amp;A210&amp;"*",Katalog!$Q:$Q,"&lt;&gt;Ishlamaydi*")</f>
        <v>1</v>
      </c>
      <c r="F210" s="6"/>
      <c r="G210" s="6"/>
      <c r="H210" s="6" t="str">
        <f aca="false">IF(G210&lt;&gt;"","Takroriy",IF(E210=0,"Yetishmaydi",IF(F210="ha","Qisman to‘ldirilgan","Mavjud, lekin tekshirilmagan")))</f>
        <v>Mavjud, lekin tekshirilmagan</v>
      </c>
      <c r="I210" s="6"/>
    </row>
    <row r="211" customFormat="false" ht="23.85" hidden="false" customHeight="false" outlineLevel="0" collapsed="false">
      <c r="A211" s="6" t="s">
        <v>514</v>
      </c>
      <c r="B211" s="6" t="s">
        <v>503</v>
      </c>
      <c r="C211" s="6" t="s">
        <v>504</v>
      </c>
      <c r="D211" s="6" t="s">
        <v>515</v>
      </c>
      <c r="E211" s="6" t="n">
        <f aca="false">COUNTIFS(Katalog!$B:$B,A211,Katalog!$Q:$Q,"&lt;&gt;Ishlamaydi*")+COUNTIFS(Katalog!$C:$C,"*"&amp;A211&amp;"*",Katalog!$Q:$Q,"&lt;&gt;Ishlamaydi*")</f>
        <v>3</v>
      </c>
      <c r="F211" s="6"/>
      <c r="G211" s="6"/>
      <c r="H211" s="6" t="str">
        <f aca="false">IF(G211&lt;&gt;"","Takroriy",IF(E211=0,"Yetishmaydi",IF(F211="ha","Qisman to‘ldirilgan","Mavjud, lekin tekshirilmagan")))</f>
        <v>Mavjud, lekin tekshirilmagan</v>
      </c>
      <c r="I211" s="6"/>
    </row>
    <row r="212" customFormat="false" ht="23.85" hidden="false" customHeight="false" outlineLevel="0" collapsed="false">
      <c r="A212" s="6" t="s">
        <v>516</v>
      </c>
      <c r="B212" s="6" t="s">
        <v>503</v>
      </c>
      <c r="C212" s="6" t="s">
        <v>504</v>
      </c>
      <c r="D212" s="6" t="s">
        <v>517</v>
      </c>
      <c r="E212" s="6" t="n">
        <f aca="false">COUNTIFS(Katalog!$B:$B,A212,Katalog!$Q:$Q,"&lt;&gt;Ishlamaydi*")+COUNTIFS(Katalog!$C:$C,"*"&amp;A212&amp;"*",Katalog!$Q:$Q,"&lt;&gt;Ishlamaydi*")</f>
        <v>3</v>
      </c>
      <c r="F212" s="6"/>
      <c r="G212" s="6"/>
      <c r="H212" s="6" t="str">
        <f aca="false">IF(G212&lt;&gt;"","Takroriy",IF(E212=0,"Yetishmaydi",IF(F212="ha","Qisman to‘ldirilgan","Mavjud, lekin tekshirilmagan")))</f>
        <v>Mavjud, lekin tekshirilmagan</v>
      </c>
      <c r="I212" s="6"/>
    </row>
    <row r="213" customFormat="false" ht="23.85" hidden="false" customHeight="false" outlineLevel="0" collapsed="false">
      <c r="A213" s="6" t="s">
        <v>518</v>
      </c>
      <c r="B213" s="6" t="s">
        <v>503</v>
      </c>
      <c r="C213" s="6" t="s">
        <v>504</v>
      </c>
      <c r="D213" s="6" t="s">
        <v>519</v>
      </c>
      <c r="E213" s="6" t="n">
        <f aca="false">COUNTIFS(Katalog!$B:$B,A213,Katalog!$Q:$Q,"&lt;&gt;Ishlamaydi*")+COUNTIFS(Katalog!$C:$C,"*"&amp;A213&amp;"*",Katalog!$Q:$Q,"&lt;&gt;Ishlamaydi*")</f>
        <v>2</v>
      </c>
      <c r="F213" s="6"/>
      <c r="G213" s="6"/>
      <c r="H213" s="6" t="str">
        <f aca="false">IF(G213&lt;&gt;"","Takroriy",IF(E213=0,"Yetishmaydi",IF(F213="ha","Qisman to‘ldirilgan","Mavjud, lekin tekshirilmagan")))</f>
        <v>Mavjud, lekin tekshirilmagan</v>
      </c>
      <c r="I213" s="6"/>
    </row>
    <row r="214" customFormat="false" ht="23.85" hidden="false" customHeight="false" outlineLevel="0" collapsed="false">
      <c r="A214" s="6" t="s">
        <v>520</v>
      </c>
      <c r="B214" s="6" t="s">
        <v>503</v>
      </c>
      <c r="C214" s="6" t="s">
        <v>504</v>
      </c>
      <c r="D214" s="6" t="s">
        <v>521</v>
      </c>
      <c r="E214" s="6" t="n">
        <f aca="false">COUNTIFS(Katalog!$B:$B,A214,Katalog!$Q:$Q,"&lt;&gt;Ishlamaydi*")+COUNTIFS(Katalog!$C:$C,"*"&amp;A214&amp;"*",Katalog!$Q:$Q,"&lt;&gt;Ishlamaydi*")</f>
        <v>3</v>
      </c>
      <c r="F214" s="6"/>
      <c r="G214" s="6"/>
      <c r="H214" s="6" t="str">
        <f aca="false">IF(G214&lt;&gt;"","Takroriy",IF(E214=0,"Yetishmaydi",IF(F214="ha","Qisman to‘ldirilgan","Mavjud, lekin tekshirilmagan")))</f>
        <v>Mavjud, lekin tekshirilmagan</v>
      </c>
      <c r="I214" s="6"/>
    </row>
    <row r="215" customFormat="false" ht="23.85" hidden="false" customHeight="false" outlineLevel="0" collapsed="false">
      <c r="A215" s="6" t="s">
        <v>522</v>
      </c>
      <c r="B215" s="6" t="s">
        <v>503</v>
      </c>
      <c r="C215" s="6" t="s">
        <v>504</v>
      </c>
      <c r="D215" s="6" t="s">
        <v>523</v>
      </c>
      <c r="E215" s="6" t="n">
        <f aca="false">COUNTIFS(Katalog!$B:$B,A215,Katalog!$Q:$Q,"&lt;&gt;Ishlamaydi*")+COUNTIFS(Katalog!$C:$C,"*"&amp;A215&amp;"*",Katalog!$Q:$Q,"&lt;&gt;Ishlamaydi*")</f>
        <v>1</v>
      </c>
      <c r="F215" s="6" t="s">
        <v>55</v>
      </c>
      <c r="G215" s="6"/>
      <c r="H215" s="6" t="str">
        <f aca="false">IF(G215&lt;&gt;"","Takroriy",IF(E215=0,"Yetishmaydi",IF(F215="ha","Qisman to‘ldirilgan","Mavjud, lekin tekshirilmagan")))</f>
        <v>Qisman to‘ldirilgan</v>
      </c>
      <c r="I215" s="6"/>
    </row>
    <row r="216" customFormat="false" ht="23.85" hidden="false" customHeight="false" outlineLevel="0" collapsed="false">
      <c r="A216" s="6" t="s">
        <v>524</v>
      </c>
      <c r="B216" s="6" t="s">
        <v>525</v>
      </c>
      <c r="C216" s="6" t="s">
        <v>526</v>
      </c>
      <c r="D216" s="6" t="s">
        <v>527</v>
      </c>
      <c r="E216" s="6" t="n">
        <f aca="false">COUNTIFS(Katalog!$B:$B,A216,Katalog!$Q:$Q,"&lt;&gt;Ishlamaydi*")+COUNTIFS(Katalog!$C:$C,"*"&amp;A216&amp;"*",Katalog!$Q:$Q,"&lt;&gt;Ishlamaydi*")</f>
        <v>3</v>
      </c>
      <c r="F216" s="6"/>
      <c r="G216" s="6"/>
      <c r="H216" s="6" t="str">
        <f aca="false">IF(G216&lt;&gt;"","Takroriy",IF(E216=0,"Yetishmaydi",IF(F216="ha","Qisman to‘ldirilgan","Mavjud, lekin tekshirilmagan")))</f>
        <v>Mavjud, lekin tekshirilmagan</v>
      </c>
      <c r="I216" s="6"/>
    </row>
    <row r="217" customFormat="false" ht="23.85" hidden="false" customHeight="false" outlineLevel="0" collapsed="false">
      <c r="A217" s="6" t="s">
        <v>528</v>
      </c>
      <c r="B217" s="6" t="s">
        <v>525</v>
      </c>
      <c r="C217" s="6" t="s">
        <v>526</v>
      </c>
      <c r="D217" s="6" t="s">
        <v>529</v>
      </c>
      <c r="E217" s="6" t="n">
        <f aca="false">COUNTIFS(Katalog!$B:$B,A217,Katalog!$Q:$Q,"&lt;&gt;Ishlamaydi*")+COUNTIFS(Katalog!$C:$C,"*"&amp;A217&amp;"*",Katalog!$Q:$Q,"&lt;&gt;Ishlamaydi*")</f>
        <v>4</v>
      </c>
      <c r="F217" s="6"/>
      <c r="G217" s="6"/>
      <c r="H217" s="6" t="str">
        <f aca="false">IF(G217&lt;&gt;"","Takroriy",IF(E217=0,"Yetishmaydi",IF(F217="ha","Qisman to‘ldirilgan","Mavjud, lekin tekshirilmagan")))</f>
        <v>Mavjud, lekin tekshirilmagan</v>
      </c>
      <c r="I217" s="6"/>
    </row>
    <row r="218" customFormat="false" ht="23.85" hidden="false" customHeight="false" outlineLevel="0" collapsed="false">
      <c r="A218" s="6" t="s">
        <v>530</v>
      </c>
      <c r="B218" s="6" t="s">
        <v>525</v>
      </c>
      <c r="C218" s="6" t="s">
        <v>526</v>
      </c>
      <c r="D218" s="6" t="s">
        <v>531</v>
      </c>
      <c r="E218" s="6" t="n">
        <f aca="false">COUNTIFS(Katalog!$B:$B,A218,Katalog!$Q:$Q,"&lt;&gt;Ishlamaydi*")+COUNTIFS(Katalog!$C:$C,"*"&amp;A218&amp;"*",Katalog!$Q:$Q,"&lt;&gt;Ishlamaydi*")</f>
        <v>3</v>
      </c>
      <c r="F218" s="6"/>
      <c r="G218" s="6"/>
      <c r="H218" s="6" t="str">
        <f aca="false">IF(G218&lt;&gt;"","Takroriy",IF(E218=0,"Yetishmaydi",IF(F218="ha","Qisman to‘ldirilgan","Mavjud, lekin tekshirilmagan")))</f>
        <v>Mavjud, lekin tekshirilmagan</v>
      </c>
      <c r="I218" s="6"/>
    </row>
    <row r="219" customFormat="false" ht="23.85" hidden="false" customHeight="false" outlineLevel="0" collapsed="false">
      <c r="A219" s="6" t="s">
        <v>532</v>
      </c>
      <c r="B219" s="6" t="s">
        <v>525</v>
      </c>
      <c r="C219" s="6" t="s">
        <v>526</v>
      </c>
      <c r="D219" s="6" t="s">
        <v>533</v>
      </c>
      <c r="E219" s="6" t="n">
        <f aca="false">COUNTIFS(Katalog!$B:$B,A219,Katalog!$Q:$Q,"&lt;&gt;Ishlamaydi*")+COUNTIFS(Katalog!$C:$C,"*"&amp;A219&amp;"*",Katalog!$Q:$Q,"&lt;&gt;Ishlamaydi*")</f>
        <v>3</v>
      </c>
      <c r="F219" s="6"/>
      <c r="G219" s="6"/>
      <c r="H219" s="6" t="str">
        <f aca="false">IF(G219&lt;&gt;"","Takroriy",IF(E219=0,"Yetishmaydi",IF(F219="ha","Qisman to‘ldirilgan","Mavjud, lekin tekshirilmagan")))</f>
        <v>Mavjud, lekin tekshirilmagan</v>
      </c>
      <c r="I219" s="6"/>
    </row>
    <row r="220" customFormat="false" ht="23.85" hidden="false" customHeight="false" outlineLevel="0" collapsed="false">
      <c r="A220" s="6" t="s">
        <v>534</v>
      </c>
      <c r="B220" s="6" t="s">
        <v>525</v>
      </c>
      <c r="C220" s="6" t="s">
        <v>526</v>
      </c>
      <c r="D220" s="6" t="s">
        <v>535</v>
      </c>
      <c r="E220" s="6" t="n">
        <f aca="false">COUNTIFS(Katalog!$B:$B,A220,Katalog!$Q:$Q,"&lt;&gt;Ishlamaydi*")+COUNTIFS(Katalog!$C:$C,"*"&amp;A220&amp;"*",Katalog!$Q:$Q,"&lt;&gt;Ishlamaydi*")</f>
        <v>3</v>
      </c>
      <c r="F220" s="6"/>
      <c r="G220" s="6"/>
      <c r="H220" s="6" t="str">
        <f aca="false">IF(G220&lt;&gt;"","Takroriy",IF(E220=0,"Yetishmaydi",IF(F220="ha","Qisman to‘ldirilgan","Mavjud, lekin tekshirilmagan")))</f>
        <v>Mavjud, lekin tekshirilmagan</v>
      </c>
      <c r="I220" s="6"/>
    </row>
    <row r="221" customFormat="false" ht="23.85" hidden="false" customHeight="false" outlineLevel="0" collapsed="false">
      <c r="A221" s="6" t="s">
        <v>536</v>
      </c>
      <c r="B221" s="6" t="s">
        <v>525</v>
      </c>
      <c r="C221" s="6" t="s">
        <v>526</v>
      </c>
      <c r="D221" s="6" t="s">
        <v>537</v>
      </c>
      <c r="E221" s="6" t="n">
        <f aca="false">COUNTIFS(Katalog!$B:$B,A221,Katalog!$Q:$Q,"&lt;&gt;Ishlamaydi*")+COUNTIFS(Katalog!$C:$C,"*"&amp;A221&amp;"*",Katalog!$Q:$Q,"&lt;&gt;Ishlamaydi*")</f>
        <v>3</v>
      </c>
      <c r="F221" s="6"/>
      <c r="G221" s="6"/>
      <c r="H221" s="6" t="str">
        <f aca="false">IF(G221&lt;&gt;"","Takroriy",IF(E221=0,"Yetishmaydi",IF(F221="ha","Qisman to‘ldirilgan","Mavjud, lekin tekshirilmagan")))</f>
        <v>Mavjud, lekin tekshirilmagan</v>
      </c>
      <c r="I221" s="6"/>
    </row>
    <row r="222" customFormat="false" ht="23.85" hidden="false" customHeight="false" outlineLevel="0" collapsed="false">
      <c r="A222" s="6" t="s">
        <v>538</v>
      </c>
      <c r="B222" s="6" t="s">
        <v>525</v>
      </c>
      <c r="C222" s="6" t="s">
        <v>526</v>
      </c>
      <c r="D222" s="6" t="s">
        <v>539</v>
      </c>
      <c r="E222" s="6" t="n">
        <f aca="false">COUNTIFS(Katalog!$B:$B,A222,Katalog!$Q:$Q,"&lt;&gt;Ishlamaydi*")+COUNTIFS(Katalog!$C:$C,"*"&amp;A222&amp;"*",Katalog!$Q:$Q,"&lt;&gt;Ishlamaydi*")</f>
        <v>2</v>
      </c>
      <c r="F222" s="6"/>
      <c r="G222" s="6"/>
      <c r="H222" s="6" t="str">
        <f aca="false">IF(G222&lt;&gt;"","Takroriy",IF(E222=0,"Yetishmaydi",IF(F222="ha","Qisman to‘ldirilgan","Mavjud, lekin tekshirilmagan")))</f>
        <v>Mavjud, lekin tekshirilmagan</v>
      </c>
      <c r="I222" s="6"/>
    </row>
    <row r="223" customFormat="false" ht="23.85" hidden="false" customHeight="false" outlineLevel="0" collapsed="false">
      <c r="A223" s="6" t="s">
        <v>540</v>
      </c>
      <c r="B223" s="6" t="s">
        <v>525</v>
      </c>
      <c r="C223" s="6" t="s">
        <v>526</v>
      </c>
      <c r="D223" s="6" t="s">
        <v>541</v>
      </c>
      <c r="E223" s="6" t="n">
        <f aca="false">COUNTIFS(Katalog!$B:$B,A223,Katalog!$Q:$Q,"&lt;&gt;Ishlamaydi*")+COUNTIFS(Katalog!$C:$C,"*"&amp;A223&amp;"*",Katalog!$Q:$Q,"&lt;&gt;Ishlamaydi*")</f>
        <v>4</v>
      </c>
      <c r="F223" s="6"/>
      <c r="G223" s="6"/>
      <c r="H223" s="6" t="str">
        <f aca="false">IF(G223&lt;&gt;"","Takroriy",IF(E223=0,"Yetishmaydi",IF(F223="ha","Qisman to‘ldirilgan","Mavjud, lekin tekshirilmagan")))</f>
        <v>Mavjud, lekin tekshirilmagan</v>
      </c>
      <c r="I223" s="6"/>
    </row>
    <row r="224" customFormat="false" ht="23.85" hidden="false" customHeight="false" outlineLevel="0" collapsed="false">
      <c r="A224" s="6" t="s">
        <v>542</v>
      </c>
      <c r="B224" s="6" t="s">
        <v>525</v>
      </c>
      <c r="C224" s="6" t="s">
        <v>526</v>
      </c>
      <c r="D224" s="6" t="s">
        <v>543</v>
      </c>
      <c r="E224" s="6" t="n">
        <f aca="false">COUNTIFS(Katalog!$B:$B,A224,Katalog!$Q:$Q,"&lt;&gt;Ishlamaydi*")+COUNTIFS(Katalog!$C:$C,"*"&amp;A224&amp;"*",Katalog!$Q:$Q,"&lt;&gt;Ishlamaydi*")</f>
        <v>2</v>
      </c>
      <c r="F224" s="6"/>
      <c r="G224" s="6"/>
      <c r="H224" s="6" t="str">
        <f aca="false">IF(G224&lt;&gt;"","Takroriy",IF(E224=0,"Yetishmaydi",IF(F224="ha","Qisman to‘ldirilgan","Mavjud, lekin tekshirilmagan")))</f>
        <v>Mavjud, lekin tekshirilmagan</v>
      </c>
      <c r="I224" s="6"/>
    </row>
    <row r="225" customFormat="false" ht="35.05" hidden="false" customHeight="false" outlineLevel="0" collapsed="false">
      <c r="A225" s="6" t="s">
        <v>544</v>
      </c>
      <c r="B225" s="6" t="s">
        <v>545</v>
      </c>
      <c r="C225" s="6" t="s">
        <v>546</v>
      </c>
      <c r="D225" s="6" t="s">
        <v>547</v>
      </c>
      <c r="E225" s="6" t="n">
        <f aca="false">COUNTIFS(Katalog!$B:$B,A225,Katalog!$Q:$Q,"&lt;&gt;Ishlamaydi*")+COUNTIFS(Katalog!$C:$C,"*"&amp;A225&amp;"*",Katalog!$Q:$Q,"&lt;&gt;Ishlamaydi*")</f>
        <v>2</v>
      </c>
      <c r="F225" s="6"/>
      <c r="G225" s="6"/>
      <c r="H225" s="6" t="str">
        <f aca="false">IF(G225&lt;&gt;"","Takroriy",IF(E225=0,"Yetishmaydi",IF(F225="ha","Qisman to‘ldirilgan","Mavjud, lekin tekshirilmagan")))</f>
        <v>Mavjud, lekin tekshirilmagan</v>
      </c>
      <c r="I225" s="6"/>
    </row>
    <row r="226" customFormat="false" ht="35.05" hidden="false" customHeight="false" outlineLevel="0" collapsed="false">
      <c r="A226" s="6" t="s">
        <v>548</v>
      </c>
      <c r="B226" s="6" t="s">
        <v>545</v>
      </c>
      <c r="C226" s="6" t="s">
        <v>546</v>
      </c>
      <c r="D226" s="6" t="s">
        <v>549</v>
      </c>
      <c r="E226" s="6" t="n">
        <f aca="false">COUNTIFS(Katalog!$B:$B,A226,Katalog!$Q:$Q,"&lt;&gt;Ishlamaydi*")+COUNTIFS(Katalog!$C:$C,"*"&amp;A226&amp;"*",Katalog!$Q:$Q,"&lt;&gt;Ishlamaydi*")</f>
        <v>4</v>
      </c>
      <c r="F226" s="6"/>
      <c r="G226" s="6"/>
      <c r="H226" s="6" t="str">
        <f aca="false">IF(G226&lt;&gt;"","Takroriy",IF(E226=0,"Yetishmaydi",IF(F226="ha","Qisman to‘ldirilgan","Mavjud, lekin tekshirilmagan")))</f>
        <v>Mavjud, lekin tekshirilmagan</v>
      </c>
      <c r="I226" s="6"/>
    </row>
    <row r="227" customFormat="false" ht="35.05" hidden="false" customHeight="false" outlineLevel="0" collapsed="false">
      <c r="A227" s="6" t="s">
        <v>550</v>
      </c>
      <c r="B227" s="6" t="s">
        <v>545</v>
      </c>
      <c r="C227" s="6" t="s">
        <v>546</v>
      </c>
      <c r="D227" s="6" t="s">
        <v>551</v>
      </c>
      <c r="E227" s="6" t="n">
        <f aca="false">COUNTIFS(Katalog!$B:$B,A227,Katalog!$Q:$Q,"&lt;&gt;Ishlamaydi*")+COUNTIFS(Katalog!$C:$C,"*"&amp;A227&amp;"*",Katalog!$Q:$Q,"&lt;&gt;Ishlamaydi*")</f>
        <v>3</v>
      </c>
      <c r="F227" s="6"/>
      <c r="G227" s="6"/>
      <c r="H227" s="6" t="str">
        <f aca="false">IF(G227&lt;&gt;"","Takroriy",IF(E227=0,"Yetishmaydi",IF(F227="ha","Qisman to‘ldirilgan","Mavjud, lekin tekshirilmagan")))</f>
        <v>Mavjud, lekin tekshirilmagan</v>
      </c>
      <c r="I227" s="6"/>
    </row>
    <row r="228" customFormat="false" ht="35.05" hidden="false" customHeight="false" outlineLevel="0" collapsed="false">
      <c r="A228" s="6" t="s">
        <v>552</v>
      </c>
      <c r="B228" s="6" t="s">
        <v>545</v>
      </c>
      <c r="C228" s="6" t="s">
        <v>546</v>
      </c>
      <c r="D228" s="6" t="s">
        <v>553</v>
      </c>
      <c r="E228" s="6" t="n">
        <f aca="false">COUNTIFS(Katalog!$B:$B,A228,Katalog!$Q:$Q,"&lt;&gt;Ishlamaydi*")+COUNTIFS(Katalog!$C:$C,"*"&amp;A228&amp;"*",Katalog!$Q:$Q,"&lt;&gt;Ishlamaydi*")</f>
        <v>2</v>
      </c>
      <c r="F228" s="6"/>
      <c r="G228" s="6" t="s">
        <v>554</v>
      </c>
      <c r="H228" s="6" t="str">
        <f aca="false">IF(G228&lt;&gt;"","Takroriy",IF(E228=0,"Yetishmaydi",IF(F228="ha","Qisman to‘ldirilgan","Mavjud, lekin tekshirilmagan")))</f>
        <v>Takroriy</v>
      </c>
      <c r="I228" s="6"/>
    </row>
    <row r="229" customFormat="false" ht="35.05" hidden="false" customHeight="false" outlineLevel="0" collapsed="false">
      <c r="A229" s="6" t="s">
        <v>555</v>
      </c>
      <c r="B229" s="6" t="s">
        <v>545</v>
      </c>
      <c r="C229" s="6" t="s">
        <v>546</v>
      </c>
      <c r="D229" s="6" t="s">
        <v>556</v>
      </c>
      <c r="E229" s="6" t="n">
        <f aca="false">COUNTIFS(Katalog!$B:$B,A229,Katalog!$Q:$Q,"&lt;&gt;Ishlamaydi*")+COUNTIFS(Katalog!$C:$C,"*"&amp;A229&amp;"*",Katalog!$Q:$Q,"&lt;&gt;Ishlamaydi*")</f>
        <v>2</v>
      </c>
      <c r="F229" s="6"/>
      <c r="G229" s="6"/>
      <c r="H229" s="6" t="str">
        <f aca="false">IF(G229&lt;&gt;"","Takroriy",IF(E229=0,"Yetishmaydi",IF(F229="ha","Qisman to‘ldirilgan","Mavjud, lekin tekshirilmagan")))</f>
        <v>Mavjud, lekin tekshirilmagan</v>
      </c>
      <c r="I229" s="6"/>
    </row>
    <row r="230" customFormat="false" ht="35.05" hidden="false" customHeight="false" outlineLevel="0" collapsed="false">
      <c r="A230" s="6" t="s">
        <v>557</v>
      </c>
      <c r="B230" s="6" t="s">
        <v>545</v>
      </c>
      <c r="C230" s="6" t="s">
        <v>546</v>
      </c>
      <c r="D230" s="6" t="s">
        <v>558</v>
      </c>
      <c r="E230" s="6" t="n">
        <f aca="false">COUNTIFS(Katalog!$B:$B,A230,Katalog!$Q:$Q,"&lt;&gt;Ishlamaydi*")+COUNTIFS(Katalog!$C:$C,"*"&amp;A230&amp;"*",Katalog!$Q:$Q,"&lt;&gt;Ishlamaydi*")</f>
        <v>1</v>
      </c>
      <c r="F230" s="6"/>
      <c r="G230" s="6" t="s">
        <v>559</v>
      </c>
      <c r="H230" s="6" t="str">
        <f aca="false">IF(G230&lt;&gt;"","Takroriy",IF(E230=0,"Yetishmaydi",IF(F230="ha","Qisman to‘ldirilgan","Mavjud, lekin tekshirilmagan")))</f>
        <v>Takroriy</v>
      </c>
      <c r="I230" s="6"/>
    </row>
    <row r="231" customFormat="false" ht="35.05" hidden="false" customHeight="false" outlineLevel="0" collapsed="false">
      <c r="A231" s="6" t="s">
        <v>560</v>
      </c>
      <c r="B231" s="6" t="s">
        <v>545</v>
      </c>
      <c r="C231" s="6" t="s">
        <v>546</v>
      </c>
      <c r="D231" s="6" t="s">
        <v>561</v>
      </c>
      <c r="E231" s="6" t="n">
        <f aca="false">COUNTIFS(Katalog!$B:$B,A231,Katalog!$Q:$Q,"&lt;&gt;Ishlamaydi*")+COUNTIFS(Katalog!$C:$C,"*"&amp;A231&amp;"*",Katalog!$Q:$Q,"&lt;&gt;Ishlamaydi*")</f>
        <v>1</v>
      </c>
      <c r="F231" s="6" t="s">
        <v>55</v>
      </c>
      <c r="G231" s="6"/>
      <c r="H231" s="6" t="str">
        <f aca="false">IF(G231&lt;&gt;"","Takroriy",IF(E231=0,"Yetishmaydi",IF(F231="ha","Qisman to‘ldirilgan","Mavjud, lekin tekshirilmagan")))</f>
        <v>Qisman to‘ldirilgan</v>
      </c>
      <c r="I231" s="6"/>
    </row>
    <row r="232" customFormat="false" ht="35.05" hidden="false" customHeight="false" outlineLevel="0" collapsed="false">
      <c r="A232" s="6" t="s">
        <v>562</v>
      </c>
      <c r="B232" s="6" t="s">
        <v>545</v>
      </c>
      <c r="C232" s="6" t="s">
        <v>546</v>
      </c>
      <c r="D232" s="6" t="s">
        <v>563</v>
      </c>
      <c r="E232" s="6" t="n">
        <f aca="false">COUNTIFS(Katalog!$B:$B,A232,Katalog!$Q:$Q,"&lt;&gt;Ishlamaydi*")+COUNTIFS(Katalog!$C:$C,"*"&amp;A232&amp;"*",Katalog!$Q:$Q,"&lt;&gt;Ishlamaydi*")</f>
        <v>4</v>
      </c>
      <c r="F232" s="6"/>
      <c r="G232" s="6"/>
      <c r="H232" s="6" t="str">
        <f aca="false">IF(G232&lt;&gt;"","Takroriy",IF(E232=0,"Yetishmaydi",IF(F232="ha","Qisman to‘ldirilgan","Mavjud, lekin tekshirilmagan")))</f>
        <v>Mavjud, lekin tekshirilmagan</v>
      </c>
      <c r="I232" s="6"/>
    </row>
    <row r="233" customFormat="false" ht="35.05" hidden="false" customHeight="false" outlineLevel="0" collapsed="false">
      <c r="A233" s="6" t="s">
        <v>564</v>
      </c>
      <c r="B233" s="6" t="s">
        <v>545</v>
      </c>
      <c r="C233" s="6" t="s">
        <v>565</v>
      </c>
      <c r="D233" s="6" t="s">
        <v>566</v>
      </c>
      <c r="E233" s="6" t="n">
        <f aca="false">COUNTIFS(Katalog!$B:$B,A233,Katalog!$Q:$Q,"&lt;&gt;Ishlamaydi*")+COUNTIFS(Katalog!$C:$C,"*"&amp;A233&amp;"*",Katalog!$Q:$Q,"&lt;&gt;Ishlamaydi*")</f>
        <v>3</v>
      </c>
      <c r="F233" s="6"/>
      <c r="G233" s="6"/>
      <c r="H233" s="6" t="str">
        <f aca="false">IF(G233&lt;&gt;"","Takroriy",IF(E233=0,"Yetishmaydi",IF(F233="ha","Qisman to‘ldirilgan","Mavjud, lekin tekshirilmagan")))</f>
        <v>Mavjud, lekin tekshirilmagan</v>
      </c>
      <c r="I233" s="6"/>
    </row>
    <row r="234" customFormat="false" ht="35.05" hidden="false" customHeight="false" outlineLevel="0" collapsed="false">
      <c r="A234" s="6" t="s">
        <v>567</v>
      </c>
      <c r="B234" s="6" t="s">
        <v>545</v>
      </c>
      <c r="C234" s="6" t="s">
        <v>565</v>
      </c>
      <c r="D234" s="6" t="s">
        <v>568</v>
      </c>
      <c r="E234" s="6" t="n">
        <f aca="false">COUNTIFS(Katalog!$B:$B,A234,Katalog!$Q:$Q,"&lt;&gt;Ishlamaydi*")+COUNTIFS(Katalog!$C:$C,"*"&amp;A234&amp;"*",Katalog!$Q:$Q,"&lt;&gt;Ishlamaydi*")</f>
        <v>3</v>
      </c>
      <c r="F234" s="6"/>
      <c r="G234" s="6"/>
      <c r="H234" s="6" t="str">
        <f aca="false">IF(G234&lt;&gt;"","Takroriy",IF(E234=0,"Yetishmaydi",IF(F234="ha","Qisman to‘ldirilgan","Mavjud, lekin tekshirilmagan")))</f>
        <v>Mavjud, lekin tekshirilmagan</v>
      </c>
      <c r="I234" s="6"/>
    </row>
    <row r="235" customFormat="false" ht="35.05" hidden="false" customHeight="false" outlineLevel="0" collapsed="false">
      <c r="A235" s="6" t="s">
        <v>569</v>
      </c>
      <c r="B235" s="6" t="s">
        <v>545</v>
      </c>
      <c r="C235" s="6" t="s">
        <v>565</v>
      </c>
      <c r="D235" s="6" t="s">
        <v>570</v>
      </c>
      <c r="E235" s="6" t="n">
        <f aca="false">COUNTIFS(Katalog!$B:$B,A235,Katalog!$Q:$Q,"&lt;&gt;Ishlamaydi*")+COUNTIFS(Katalog!$C:$C,"*"&amp;A235&amp;"*",Katalog!$Q:$Q,"&lt;&gt;Ishlamaydi*")</f>
        <v>2</v>
      </c>
      <c r="F235" s="6"/>
      <c r="G235" s="6"/>
      <c r="H235" s="6" t="str">
        <f aca="false">IF(G235&lt;&gt;"","Takroriy",IF(E235=0,"Yetishmaydi",IF(F235="ha","Qisman to‘ldirilgan","Mavjud, lekin tekshirilmagan")))</f>
        <v>Mavjud, lekin tekshirilmagan</v>
      </c>
      <c r="I235" s="6"/>
    </row>
    <row r="236" customFormat="false" ht="35.05" hidden="false" customHeight="false" outlineLevel="0" collapsed="false">
      <c r="A236" s="6" t="s">
        <v>571</v>
      </c>
      <c r="B236" s="6" t="s">
        <v>545</v>
      </c>
      <c r="C236" s="6" t="s">
        <v>565</v>
      </c>
      <c r="D236" s="6" t="s">
        <v>572</v>
      </c>
      <c r="E236" s="6" t="n">
        <f aca="false">COUNTIFS(Katalog!$B:$B,A236,Katalog!$Q:$Q,"&lt;&gt;Ishlamaydi*")+COUNTIFS(Katalog!$C:$C,"*"&amp;A236&amp;"*",Katalog!$Q:$Q,"&lt;&gt;Ishlamaydi*")</f>
        <v>2</v>
      </c>
      <c r="F236" s="6" t="s">
        <v>55</v>
      </c>
      <c r="G236" s="6"/>
      <c r="H236" s="6" t="str">
        <f aca="false">IF(G236&lt;&gt;"","Takroriy",IF(E236=0,"Yetishmaydi",IF(F236="ha","Qisman to‘ldirilgan","Mavjud, lekin tekshirilmagan")))</f>
        <v>Qisman to‘ldirilgan</v>
      </c>
      <c r="I236" s="6"/>
    </row>
    <row r="237" customFormat="false" ht="35.05" hidden="false" customHeight="false" outlineLevel="0" collapsed="false">
      <c r="A237" s="6" t="s">
        <v>573</v>
      </c>
      <c r="B237" s="6" t="s">
        <v>545</v>
      </c>
      <c r="C237" s="6" t="s">
        <v>565</v>
      </c>
      <c r="D237" s="6" t="s">
        <v>574</v>
      </c>
      <c r="E237" s="6" t="n">
        <f aca="false">COUNTIFS(Katalog!$B:$B,A237,Katalog!$Q:$Q,"&lt;&gt;Ishlamaydi*")+COUNTIFS(Katalog!$C:$C,"*"&amp;A237&amp;"*",Katalog!$Q:$Q,"&lt;&gt;Ishlamaydi*")</f>
        <v>3</v>
      </c>
      <c r="F237" s="6"/>
      <c r="G237" s="6"/>
      <c r="H237" s="6" t="str">
        <f aca="false">IF(G237&lt;&gt;"","Takroriy",IF(E237=0,"Yetishmaydi",IF(F237="ha","Qisman to‘ldirilgan","Mavjud, lekin tekshirilmagan")))</f>
        <v>Mavjud, lekin tekshirilmagan</v>
      </c>
      <c r="I237" s="6"/>
    </row>
    <row r="238" customFormat="false" ht="35.05" hidden="false" customHeight="false" outlineLevel="0" collapsed="false">
      <c r="A238" s="6" t="s">
        <v>575</v>
      </c>
      <c r="B238" s="6" t="s">
        <v>545</v>
      </c>
      <c r="C238" s="6" t="s">
        <v>565</v>
      </c>
      <c r="D238" s="6" t="s">
        <v>576</v>
      </c>
      <c r="E238" s="6" t="n">
        <f aca="false">COUNTIFS(Katalog!$B:$B,A238,Katalog!$Q:$Q,"&lt;&gt;Ishlamaydi*")+COUNTIFS(Katalog!$C:$C,"*"&amp;A238&amp;"*",Katalog!$Q:$Q,"&lt;&gt;Ishlamaydi*")</f>
        <v>1</v>
      </c>
      <c r="F238" s="6"/>
      <c r="G238" s="6"/>
      <c r="H238" s="6" t="str">
        <f aca="false">IF(G238&lt;&gt;"","Takroriy",IF(E238=0,"Yetishmaydi",IF(F238="ha","Qisman to‘ldirilgan","Mavjud, lekin tekshirilmagan")))</f>
        <v>Mavjud, lekin tekshirilmagan</v>
      </c>
      <c r="I238" s="6"/>
    </row>
    <row r="239" customFormat="false" ht="35.05" hidden="false" customHeight="false" outlineLevel="0" collapsed="false">
      <c r="A239" s="6" t="s">
        <v>577</v>
      </c>
      <c r="B239" s="6" t="s">
        <v>545</v>
      </c>
      <c r="C239" s="6" t="s">
        <v>565</v>
      </c>
      <c r="D239" s="6" t="s">
        <v>578</v>
      </c>
      <c r="E239" s="6" t="n">
        <f aca="false">COUNTIFS(Katalog!$B:$B,A239,Katalog!$Q:$Q,"&lt;&gt;Ishlamaydi*")+COUNTIFS(Katalog!$C:$C,"*"&amp;A239&amp;"*",Katalog!$Q:$Q,"&lt;&gt;Ishlamaydi*")</f>
        <v>4</v>
      </c>
      <c r="F239" s="6"/>
      <c r="G239" s="6"/>
      <c r="H239" s="6" t="str">
        <f aca="false">IF(G239&lt;&gt;"","Takroriy",IF(E239=0,"Yetishmaydi",IF(F239="ha","Qisman to‘ldirilgan","Mavjud, lekin tekshirilmagan")))</f>
        <v>Mavjud, lekin tekshirilmagan</v>
      </c>
      <c r="I239" s="6"/>
    </row>
    <row r="240" customFormat="false" ht="35.05" hidden="false" customHeight="false" outlineLevel="0" collapsed="false">
      <c r="A240" s="6" t="s">
        <v>579</v>
      </c>
      <c r="B240" s="6" t="s">
        <v>545</v>
      </c>
      <c r="C240" s="6" t="s">
        <v>580</v>
      </c>
      <c r="D240" s="6" t="s">
        <v>581</v>
      </c>
      <c r="E240" s="6" t="n">
        <f aca="false">COUNTIFS(Katalog!$B:$B,A240,Katalog!$Q:$Q,"&lt;&gt;Ishlamaydi*")+COUNTIFS(Katalog!$C:$C,"*"&amp;A240&amp;"*",Katalog!$Q:$Q,"&lt;&gt;Ishlamaydi*")</f>
        <v>1</v>
      </c>
      <c r="F240" s="6" t="s">
        <v>55</v>
      </c>
      <c r="G240" s="6"/>
      <c r="H240" s="6" t="str">
        <f aca="false">IF(G240&lt;&gt;"","Takroriy",IF(E240=0,"Yetishmaydi",IF(F240="ha","Qisman to‘ldirilgan","Mavjud, lekin tekshirilmagan")))</f>
        <v>Qisman to‘ldirilgan</v>
      </c>
      <c r="I240" s="6"/>
    </row>
    <row r="241" customFormat="false" ht="35.05" hidden="false" customHeight="false" outlineLevel="0" collapsed="false">
      <c r="A241" s="6" t="s">
        <v>582</v>
      </c>
      <c r="B241" s="6" t="s">
        <v>545</v>
      </c>
      <c r="C241" s="6" t="s">
        <v>580</v>
      </c>
      <c r="D241" s="6" t="s">
        <v>583</v>
      </c>
      <c r="E241" s="6" t="n">
        <f aca="false">COUNTIFS(Katalog!$B:$B,A241,Katalog!$Q:$Q,"&lt;&gt;Ishlamaydi*")+COUNTIFS(Katalog!$C:$C,"*"&amp;A241&amp;"*",Katalog!$Q:$Q,"&lt;&gt;Ishlamaydi*")</f>
        <v>4</v>
      </c>
      <c r="F241" s="6"/>
      <c r="G241" s="6"/>
      <c r="H241" s="6" t="str">
        <f aca="false">IF(G241&lt;&gt;"","Takroriy",IF(E241=0,"Yetishmaydi",IF(F241="ha","Qisman to‘ldirilgan","Mavjud, lekin tekshirilmagan")))</f>
        <v>Mavjud, lekin tekshirilmagan</v>
      </c>
      <c r="I241" s="6"/>
    </row>
    <row r="242" customFormat="false" ht="35.05" hidden="false" customHeight="false" outlineLevel="0" collapsed="false">
      <c r="A242" s="6" t="s">
        <v>584</v>
      </c>
      <c r="B242" s="6" t="s">
        <v>545</v>
      </c>
      <c r="C242" s="6" t="s">
        <v>580</v>
      </c>
      <c r="D242" s="6" t="s">
        <v>585</v>
      </c>
      <c r="E242" s="6" t="n">
        <f aca="false">COUNTIFS(Katalog!$B:$B,A242,Katalog!$Q:$Q,"&lt;&gt;Ishlamaydi*")+COUNTIFS(Katalog!$C:$C,"*"&amp;A242&amp;"*",Katalog!$Q:$Q,"&lt;&gt;Ishlamaydi*")</f>
        <v>2</v>
      </c>
      <c r="F242" s="6"/>
      <c r="G242" s="6" t="s">
        <v>586</v>
      </c>
      <c r="H242" s="6" t="str">
        <f aca="false">IF(G242&lt;&gt;"","Takroriy",IF(E242=0,"Yetishmaydi",IF(F242="ha","Qisman to‘ldirilgan","Mavjud, lekin tekshirilmagan")))</f>
        <v>Takroriy</v>
      </c>
      <c r="I242" s="6"/>
    </row>
    <row r="243" customFormat="false" ht="35.05" hidden="false" customHeight="false" outlineLevel="0" collapsed="false">
      <c r="A243" s="6" t="s">
        <v>587</v>
      </c>
      <c r="B243" s="6" t="s">
        <v>545</v>
      </c>
      <c r="C243" s="6" t="s">
        <v>580</v>
      </c>
      <c r="D243" s="6" t="s">
        <v>588</v>
      </c>
      <c r="E243" s="6" t="n">
        <f aca="false">COUNTIFS(Katalog!$B:$B,A243,Katalog!$Q:$Q,"&lt;&gt;Ishlamaydi*")+COUNTIFS(Katalog!$C:$C,"*"&amp;A243&amp;"*",Katalog!$Q:$Q,"&lt;&gt;Ishlamaydi*")</f>
        <v>5</v>
      </c>
      <c r="F243" s="6"/>
      <c r="G243" s="6"/>
      <c r="H243" s="6" t="str">
        <f aca="false">IF(G243&lt;&gt;"","Takroriy",IF(E243=0,"Yetishmaydi",IF(F243="ha","Qisman to‘ldirilgan","Mavjud, lekin tekshirilmagan")))</f>
        <v>Mavjud, lekin tekshirilmagan</v>
      </c>
      <c r="I243" s="6"/>
    </row>
    <row r="244" customFormat="false" ht="35.05" hidden="false" customHeight="false" outlineLevel="0" collapsed="false">
      <c r="A244" s="6" t="s">
        <v>589</v>
      </c>
      <c r="B244" s="6" t="s">
        <v>545</v>
      </c>
      <c r="C244" s="6" t="s">
        <v>580</v>
      </c>
      <c r="D244" s="6" t="s">
        <v>590</v>
      </c>
      <c r="E244" s="6" t="n">
        <f aca="false">COUNTIFS(Katalog!$B:$B,A244,Katalog!$Q:$Q,"&lt;&gt;Ishlamaydi*")+COUNTIFS(Katalog!$C:$C,"*"&amp;A244&amp;"*",Katalog!$Q:$Q,"&lt;&gt;Ishlamaydi*")</f>
        <v>2</v>
      </c>
      <c r="F244" s="6" t="s">
        <v>55</v>
      </c>
      <c r="G244" s="6"/>
      <c r="H244" s="6" t="str">
        <f aca="false">IF(G244&lt;&gt;"","Takroriy",IF(E244=0,"Yetishmaydi",IF(F244="ha","Qisman to‘ldirilgan","Mavjud, lekin tekshirilmagan")))</f>
        <v>Qisman to‘ldirilgan</v>
      </c>
      <c r="I244" s="6"/>
    </row>
    <row r="245" customFormat="false" ht="35.05" hidden="false" customHeight="false" outlineLevel="0" collapsed="false">
      <c r="A245" s="6" t="s">
        <v>591</v>
      </c>
      <c r="B245" s="6" t="s">
        <v>545</v>
      </c>
      <c r="C245" s="6" t="s">
        <v>580</v>
      </c>
      <c r="D245" s="6" t="s">
        <v>592</v>
      </c>
      <c r="E245" s="6" t="n">
        <f aca="false">COUNTIFS(Katalog!$B:$B,A245,Katalog!$Q:$Q,"&lt;&gt;Ishlamaydi*")+COUNTIFS(Katalog!$C:$C,"*"&amp;A245&amp;"*",Katalog!$Q:$Q,"&lt;&gt;Ishlamaydi*")</f>
        <v>4</v>
      </c>
      <c r="F245" s="6"/>
      <c r="G245" s="6"/>
      <c r="H245" s="6" t="str">
        <f aca="false">IF(G245&lt;&gt;"","Takroriy",IF(E245=0,"Yetishmaydi",IF(F245="ha","Qisman to‘ldirilgan","Mavjud, lekin tekshirilmagan")))</f>
        <v>Mavjud, lekin tekshirilmagan</v>
      </c>
      <c r="I245" s="6"/>
    </row>
    <row r="246" customFormat="false" ht="35.05" hidden="false" customHeight="false" outlineLevel="0" collapsed="false">
      <c r="A246" s="6" t="s">
        <v>593</v>
      </c>
      <c r="B246" s="6" t="s">
        <v>545</v>
      </c>
      <c r="C246" s="6" t="s">
        <v>580</v>
      </c>
      <c r="D246" s="6" t="s">
        <v>594</v>
      </c>
      <c r="E246" s="6" t="n">
        <f aca="false">COUNTIFS(Katalog!$B:$B,A246,Katalog!$Q:$Q,"&lt;&gt;Ishlamaydi*")+COUNTIFS(Katalog!$C:$C,"*"&amp;A246&amp;"*",Katalog!$Q:$Q,"&lt;&gt;Ishlamaydi*")</f>
        <v>0</v>
      </c>
      <c r="F246" s="6"/>
      <c r="G246" s="6"/>
      <c r="H246" s="6" t="str">
        <f aca="false">IF(G246&lt;&gt;"","Takroriy",IF(E246=0,"Yetishmaydi",IF(F246="ha","Qisman to‘ldirilgan","Mavjud, lekin tekshirilmagan")))</f>
        <v>Yetishmaydi</v>
      </c>
      <c r="I246" s="6"/>
    </row>
    <row r="247" customFormat="false" ht="35.05" hidden="false" customHeight="false" outlineLevel="0" collapsed="false">
      <c r="A247" s="6" t="s">
        <v>595</v>
      </c>
      <c r="B247" s="6" t="s">
        <v>596</v>
      </c>
      <c r="C247" s="6" t="s">
        <v>597</v>
      </c>
      <c r="D247" s="6" t="s">
        <v>598</v>
      </c>
      <c r="E247" s="6" t="n">
        <f aca="false">COUNTIFS(Katalog!$B:$B,A247,Katalog!$Q:$Q,"&lt;&gt;Ishlamaydi*")+COUNTIFS(Katalog!$C:$C,"*"&amp;A247&amp;"*",Katalog!$Q:$Q,"&lt;&gt;Ishlamaydi*")</f>
        <v>2</v>
      </c>
      <c r="F247" s="6"/>
      <c r="G247" s="6" t="s">
        <v>599</v>
      </c>
      <c r="H247" s="6" t="str">
        <f aca="false">IF(G247&lt;&gt;"","Takroriy",IF(E247=0,"Yetishmaydi",IF(F247="ha","Qisman to‘ldirilgan","Mavjud, lekin tekshirilmagan")))</f>
        <v>Takroriy</v>
      </c>
      <c r="I247" s="6"/>
    </row>
    <row r="248" customFormat="false" ht="35.05" hidden="false" customHeight="false" outlineLevel="0" collapsed="false">
      <c r="A248" s="6" t="s">
        <v>600</v>
      </c>
      <c r="B248" s="6" t="s">
        <v>596</v>
      </c>
      <c r="C248" s="6" t="s">
        <v>597</v>
      </c>
      <c r="D248" s="6" t="s">
        <v>601</v>
      </c>
      <c r="E248" s="6" t="n">
        <f aca="false">COUNTIFS(Katalog!$B:$B,A248,Katalog!$Q:$Q,"&lt;&gt;Ishlamaydi*")+COUNTIFS(Katalog!$C:$C,"*"&amp;A248&amp;"*",Katalog!$Q:$Q,"&lt;&gt;Ishlamaydi*")</f>
        <v>2</v>
      </c>
      <c r="F248" s="6"/>
      <c r="G248" s="6"/>
      <c r="H248" s="6" t="str">
        <f aca="false">IF(G248&lt;&gt;"","Takroriy",IF(E248=0,"Yetishmaydi",IF(F248="ha","Qisman to‘ldirilgan","Mavjud, lekin tekshirilmagan")))</f>
        <v>Mavjud, lekin tekshirilmagan</v>
      </c>
      <c r="I248" s="6"/>
    </row>
    <row r="249" customFormat="false" ht="35.05" hidden="false" customHeight="false" outlineLevel="0" collapsed="false">
      <c r="A249" s="6" t="s">
        <v>602</v>
      </c>
      <c r="B249" s="6" t="s">
        <v>596</v>
      </c>
      <c r="C249" s="6" t="s">
        <v>597</v>
      </c>
      <c r="D249" s="6" t="s">
        <v>603</v>
      </c>
      <c r="E249" s="6" t="n">
        <f aca="false">COUNTIFS(Katalog!$B:$B,A249,Katalog!$Q:$Q,"&lt;&gt;Ishlamaydi*")+COUNTIFS(Katalog!$C:$C,"*"&amp;A249&amp;"*",Katalog!$Q:$Q,"&lt;&gt;Ishlamaydi*")</f>
        <v>3</v>
      </c>
      <c r="F249" s="6"/>
      <c r="G249" s="6"/>
      <c r="H249" s="6" t="str">
        <f aca="false">IF(G249&lt;&gt;"","Takroriy",IF(E249=0,"Yetishmaydi",IF(F249="ha","Qisman to‘ldirilgan","Mavjud, lekin tekshirilmagan")))</f>
        <v>Mavjud, lekin tekshirilmagan</v>
      </c>
      <c r="I249" s="6"/>
    </row>
    <row r="250" customFormat="false" ht="35.05" hidden="false" customHeight="false" outlineLevel="0" collapsed="false">
      <c r="A250" s="6" t="s">
        <v>604</v>
      </c>
      <c r="B250" s="6" t="s">
        <v>596</v>
      </c>
      <c r="C250" s="6" t="s">
        <v>597</v>
      </c>
      <c r="D250" s="6" t="s">
        <v>605</v>
      </c>
      <c r="E250" s="6" t="n">
        <f aca="false">COUNTIFS(Katalog!$B:$B,A250,Katalog!$Q:$Q,"&lt;&gt;Ishlamaydi*")+COUNTIFS(Katalog!$C:$C,"*"&amp;A250&amp;"*",Katalog!$Q:$Q,"&lt;&gt;Ishlamaydi*")</f>
        <v>1</v>
      </c>
      <c r="F250" s="6"/>
      <c r="G250" s="6"/>
      <c r="H250" s="6" t="str">
        <f aca="false">IF(G250&lt;&gt;"","Takroriy",IF(E250=0,"Yetishmaydi",IF(F250="ha","Qisman to‘ldirilgan","Mavjud, lekin tekshirilmagan")))</f>
        <v>Mavjud, lekin tekshirilmagan</v>
      </c>
      <c r="I250" s="6"/>
    </row>
    <row r="251" customFormat="false" ht="35.05" hidden="false" customHeight="false" outlineLevel="0" collapsed="false">
      <c r="A251" s="6" t="s">
        <v>606</v>
      </c>
      <c r="B251" s="6" t="s">
        <v>596</v>
      </c>
      <c r="C251" s="6" t="s">
        <v>597</v>
      </c>
      <c r="D251" s="6" t="s">
        <v>607</v>
      </c>
      <c r="E251" s="6" t="n">
        <f aca="false">COUNTIFS(Katalog!$B:$B,A251,Katalog!$Q:$Q,"&lt;&gt;Ishlamaydi*")+COUNTIFS(Katalog!$C:$C,"*"&amp;A251&amp;"*",Katalog!$Q:$Q,"&lt;&gt;Ishlamaydi*")</f>
        <v>2</v>
      </c>
      <c r="F251" s="6"/>
      <c r="G251" s="6"/>
      <c r="H251" s="6" t="str">
        <f aca="false">IF(G251&lt;&gt;"","Takroriy",IF(E251=0,"Yetishmaydi",IF(F251="ha","Qisman to‘ldirilgan","Mavjud, lekin tekshirilmagan")))</f>
        <v>Mavjud, lekin tekshirilmagan</v>
      </c>
      <c r="I251" s="6"/>
    </row>
    <row r="252" customFormat="false" ht="35.05" hidden="false" customHeight="false" outlineLevel="0" collapsed="false">
      <c r="A252" s="6" t="s">
        <v>608</v>
      </c>
      <c r="B252" s="6" t="s">
        <v>596</v>
      </c>
      <c r="C252" s="6" t="s">
        <v>597</v>
      </c>
      <c r="D252" s="6" t="s">
        <v>609</v>
      </c>
      <c r="E252" s="6" t="n">
        <f aca="false">COUNTIFS(Katalog!$B:$B,A252,Katalog!$Q:$Q,"&lt;&gt;Ishlamaydi*")+COUNTIFS(Katalog!$C:$C,"*"&amp;A252&amp;"*",Katalog!$Q:$Q,"&lt;&gt;Ishlamaydi*")</f>
        <v>1</v>
      </c>
      <c r="F252" s="6"/>
      <c r="G252" s="6"/>
      <c r="H252" s="6" t="str">
        <f aca="false">IF(G252&lt;&gt;"","Takroriy",IF(E252=0,"Yetishmaydi",IF(F252="ha","Qisman to‘ldirilgan","Mavjud, lekin tekshirilmagan")))</f>
        <v>Mavjud, lekin tekshirilmagan</v>
      </c>
      <c r="I252" s="6"/>
    </row>
    <row r="253" customFormat="false" ht="35.05" hidden="false" customHeight="false" outlineLevel="0" collapsed="false">
      <c r="A253" s="6" t="s">
        <v>610</v>
      </c>
      <c r="B253" s="6" t="s">
        <v>596</v>
      </c>
      <c r="C253" s="6" t="s">
        <v>597</v>
      </c>
      <c r="D253" s="6" t="s">
        <v>611</v>
      </c>
      <c r="E253" s="6" t="n">
        <f aca="false">COUNTIFS(Katalog!$B:$B,A253,Katalog!$Q:$Q,"&lt;&gt;Ishlamaydi*")+COUNTIFS(Katalog!$C:$C,"*"&amp;A253&amp;"*",Katalog!$Q:$Q,"&lt;&gt;Ishlamaydi*")</f>
        <v>3</v>
      </c>
      <c r="F253" s="6"/>
      <c r="G253" s="6"/>
      <c r="H253" s="6" t="str">
        <f aca="false">IF(G253&lt;&gt;"","Takroriy",IF(E253=0,"Yetishmaydi",IF(F253="ha","Qisman to‘ldirilgan","Mavjud, lekin tekshirilmagan")))</f>
        <v>Mavjud, lekin tekshirilmagan</v>
      </c>
      <c r="I253" s="6"/>
    </row>
    <row r="254" customFormat="false" ht="35.05" hidden="false" customHeight="false" outlineLevel="0" collapsed="false">
      <c r="A254" s="6" t="s">
        <v>612</v>
      </c>
      <c r="B254" s="6" t="s">
        <v>596</v>
      </c>
      <c r="C254" s="6" t="s">
        <v>597</v>
      </c>
      <c r="D254" s="6" t="s">
        <v>613</v>
      </c>
      <c r="E254" s="6" t="n">
        <f aca="false">COUNTIFS(Katalog!$B:$B,A254,Katalog!$Q:$Q,"&lt;&gt;Ishlamaydi*")+COUNTIFS(Katalog!$C:$C,"*"&amp;A254&amp;"*",Katalog!$Q:$Q,"&lt;&gt;Ishlamaydi*")</f>
        <v>1</v>
      </c>
      <c r="F254" s="6" t="s">
        <v>55</v>
      </c>
      <c r="G254" s="6"/>
      <c r="H254" s="6" t="str">
        <f aca="false">IF(G254&lt;&gt;"","Takroriy",IF(E254=0,"Yetishmaydi",IF(F254="ha","Qisman to‘ldirilgan","Mavjud, lekin tekshirilmagan")))</f>
        <v>Qisman to‘ldirilgan</v>
      </c>
      <c r="I254" s="6"/>
    </row>
  </sheetData>
  <autoFilter ref="A1:I254"/>
  <conditionalFormatting sqref="H2:H254">
    <cfRule type="expression" priority="2" aboveAverage="0" equalAverage="0" bottom="0" percent="0" rank="0" text="" dxfId="7">
      <formula>$H2="Yetishmaydi"</formula>
    </cfRule>
    <cfRule type="expression" priority="3" aboveAverage="0" equalAverage="0" bottom="0" percent="0" rank="0" text="" dxfId="8">
      <formula>$H2="Qisman to‘ldirilgan"</formula>
    </cfRule>
    <cfRule type="expression" priority="4" aboveAverage="0" equalAverage="0" bottom="0" percent="0" rank="0" text="" dxfId="9">
      <formula>$H2="Mavjud, lekin tekshirilmagan"</formula>
    </cfRule>
    <cfRule type="expression" priority="5" aboveAverage="0" equalAverage="0" bottom="0" percent="0" rank="0" text="" dxfId="10">
      <formula>$H2="Takroriy"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70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5" t="s">
        <v>34</v>
      </c>
      <c r="B1" s="5" t="s">
        <v>37</v>
      </c>
      <c r="C1" s="5" t="s">
        <v>614</v>
      </c>
      <c r="D1" s="5" t="s">
        <v>41</v>
      </c>
      <c r="E1" s="5" t="s">
        <v>615</v>
      </c>
      <c r="F1" s="5" t="s">
        <v>616</v>
      </c>
    </row>
    <row r="2" customFormat="false" ht="23.85" hidden="false" customHeight="false" outlineLevel="0" collapsed="false">
      <c r="A2" s="6" t="s">
        <v>53</v>
      </c>
      <c r="B2" s="6" t="s">
        <v>54</v>
      </c>
      <c r="C2" s="6" t="n">
        <v>1</v>
      </c>
      <c r="D2" s="7" t="s">
        <v>617</v>
      </c>
      <c r="E2" s="6" t="s">
        <v>618</v>
      </c>
      <c r="F2" s="6" t="s">
        <v>2</v>
      </c>
    </row>
    <row r="3" customFormat="false" ht="23.85" hidden="false" customHeight="false" outlineLevel="0" collapsed="false">
      <c r="A3" s="6" t="s">
        <v>61</v>
      </c>
      <c r="B3" s="6" t="s">
        <v>62</v>
      </c>
      <c r="C3" s="6" t="n">
        <v>1</v>
      </c>
      <c r="D3" s="7" t="s">
        <v>617</v>
      </c>
      <c r="E3" s="6" t="s">
        <v>619</v>
      </c>
      <c r="F3" s="6" t="s">
        <v>2</v>
      </c>
    </row>
    <row r="4" customFormat="false" ht="23.85" hidden="false" customHeight="false" outlineLevel="0" collapsed="false">
      <c r="A4" s="6" t="s">
        <v>68</v>
      </c>
      <c r="B4" s="6" t="s">
        <v>69</v>
      </c>
      <c r="C4" s="6" t="n">
        <v>1</v>
      </c>
      <c r="D4" s="7" t="s">
        <v>617</v>
      </c>
      <c r="E4" s="6" t="s">
        <v>620</v>
      </c>
      <c r="F4" s="6" t="s">
        <v>2</v>
      </c>
    </row>
    <row r="5" customFormat="false" ht="15" hidden="false" customHeight="false" outlineLevel="0" collapsed="false">
      <c r="A5" s="6" t="s">
        <v>71</v>
      </c>
      <c r="B5" s="6" t="s">
        <v>72</v>
      </c>
      <c r="C5" s="6" t="n">
        <v>2</v>
      </c>
      <c r="D5" s="7" t="s">
        <v>617</v>
      </c>
      <c r="E5" s="6" t="s">
        <v>621</v>
      </c>
      <c r="F5" s="6" t="s">
        <v>2</v>
      </c>
    </row>
    <row r="6" customFormat="false" ht="15" hidden="false" customHeight="false" outlineLevel="0" collapsed="false">
      <c r="A6" s="6" t="s">
        <v>80</v>
      </c>
      <c r="B6" s="6" t="s">
        <v>81</v>
      </c>
      <c r="C6" s="6" t="n">
        <v>1</v>
      </c>
      <c r="D6" s="7" t="s">
        <v>617</v>
      </c>
      <c r="E6" s="6" t="s">
        <v>622</v>
      </c>
      <c r="F6" s="6" t="s">
        <v>2</v>
      </c>
    </row>
    <row r="7" customFormat="false" ht="15" hidden="false" customHeight="false" outlineLevel="0" collapsed="false">
      <c r="A7" s="6" t="s">
        <v>91</v>
      </c>
      <c r="B7" s="6" t="s">
        <v>92</v>
      </c>
      <c r="C7" s="6" t="n">
        <v>2</v>
      </c>
      <c r="D7" s="7" t="s">
        <v>617</v>
      </c>
      <c r="E7" s="6" t="s">
        <v>623</v>
      </c>
      <c r="F7" s="6" t="s">
        <v>2</v>
      </c>
    </row>
    <row r="8" customFormat="false" ht="15" hidden="false" customHeight="false" outlineLevel="0" collapsed="false">
      <c r="A8" s="6" t="s">
        <v>93</v>
      </c>
      <c r="B8" s="6" t="s">
        <v>94</v>
      </c>
      <c r="C8" s="6" t="n">
        <v>2</v>
      </c>
      <c r="D8" s="7" t="s">
        <v>617</v>
      </c>
      <c r="E8" s="6" t="s">
        <v>624</v>
      </c>
      <c r="F8" s="6" t="s">
        <v>2</v>
      </c>
    </row>
    <row r="9" customFormat="false" ht="15" hidden="false" customHeight="false" outlineLevel="0" collapsed="false">
      <c r="A9" s="6" t="s">
        <v>109</v>
      </c>
      <c r="B9" s="6" t="s">
        <v>110</v>
      </c>
      <c r="C9" s="6" t="n">
        <v>1</v>
      </c>
      <c r="D9" s="7" t="s">
        <v>617</v>
      </c>
      <c r="E9" s="6" t="s">
        <v>625</v>
      </c>
      <c r="F9" s="6" t="s">
        <v>2</v>
      </c>
    </row>
    <row r="10" customFormat="false" ht="15" hidden="false" customHeight="false" outlineLevel="0" collapsed="false">
      <c r="A10" s="6" t="s">
        <v>113</v>
      </c>
      <c r="B10" s="6" t="s">
        <v>114</v>
      </c>
      <c r="C10" s="6" t="n">
        <v>1</v>
      </c>
      <c r="D10" s="7" t="s">
        <v>617</v>
      </c>
      <c r="E10" s="6"/>
      <c r="F10" s="6"/>
    </row>
    <row r="11" customFormat="false" ht="23.85" hidden="false" customHeight="false" outlineLevel="0" collapsed="false">
      <c r="A11" s="6" t="s">
        <v>123</v>
      </c>
      <c r="B11" s="6" t="s">
        <v>124</v>
      </c>
      <c r="C11" s="6" t="n">
        <v>1</v>
      </c>
      <c r="D11" s="7" t="s">
        <v>617</v>
      </c>
      <c r="E11" s="6" t="s">
        <v>626</v>
      </c>
      <c r="F11" s="6" t="s">
        <v>2</v>
      </c>
    </row>
    <row r="12" customFormat="false" ht="15" hidden="false" customHeight="false" outlineLevel="0" collapsed="false">
      <c r="A12" s="6" t="s">
        <v>125</v>
      </c>
      <c r="B12" s="6" t="s">
        <v>126</v>
      </c>
      <c r="C12" s="6" t="n">
        <v>1</v>
      </c>
      <c r="D12" s="7" t="s">
        <v>617</v>
      </c>
      <c r="E12" s="6"/>
      <c r="F12" s="6"/>
    </row>
    <row r="13" customFormat="false" ht="15" hidden="false" customHeight="false" outlineLevel="0" collapsed="false">
      <c r="A13" s="6" t="s">
        <v>128</v>
      </c>
      <c r="B13" s="6" t="s">
        <v>129</v>
      </c>
      <c r="C13" s="6" t="n">
        <v>1</v>
      </c>
      <c r="D13" s="7" t="s">
        <v>617</v>
      </c>
      <c r="E13" s="6" t="s">
        <v>627</v>
      </c>
      <c r="F13" s="6" t="s">
        <v>2</v>
      </c>
    </row>
    <row r="14" customFormat="false" ht="15" hidden="false" customHeight="false" outlineLevel="0" collapsed="false">
      <c r="A14" s="6" t="s">
        <v>143</v>
      </c>
      <c r="B14" s="6" t="s">
        <v>144</v>
      </c>
      <c r="C14" s="6" t="n">
        <v>0</v>
      </c>
      <c r="D14" s="8" t="s">
        <v>628</v>
      </c>
      <c r="E14" s="6" t="s">
        <v>629</v>
      </c>
      <c r="F14" s="6" t="s">
        <v>2</v>
      </c>
    </row>
    <row r="15" customFormat="false" ht="15" hidden="false" customHeight="false" outlineLevel="0" collapsed="false">
      <c r="A15" s="6" t="s">
        <v>148</v>
      </c>
      <c r="B15" s="6" t="s">
        <v>149</v>
      </c>
      <c r="C15" s="6" t="n">
        <v>3</v>
      </c>
      <c r="D15" s="7" t="s">
        <v>617</v>
      </c>
      <c r="E15" s="6" t="s">
        <v>630</v>
      </c>
      <c r="F15" s="6" t="s">
        <v>2</v>
      </c>
    </row>
    <row r="16" customFormat="false" ht="15" hidden="false" customHeight="false" outlineLevel="0" collapsed="false">
      <c r="A16" s="6" t="s">
        <v>154</v>
      </c>
      <c r="B16" s="6" t="s">
        <v>155</v>
      </c>
      <c r="C16" s="6" t="n">
        <v>0</v>
      </c>
      <c r="D16" s="8" t="s">
        <v>628</v>
      </c>
      <c r="E16" s="6" t="s">
        <v>631</v>
      </c>
      <c r="F16" s="6" t="s">
        <v>2</v>
      </c>
    </row>
    <row r="17" customFormat="false" ht="15" hidden="false" customHeight="false" outlineLevel="0" collapsed="false">
      <c r="A17" s="6" t="s">
        <v>158</v>
      </c>
      <c r="B17" s="6" t="s">
        <v>160</v>
      </c>
      <c r="C17" s="6" t="n">
        <v>1</v>
      </c>
      <c r="D17" s="7" t="s">
        <v>617</v>
      </c>
      <c r="E17" s="6" t="s">
        <v>632</v>
      </c>
      <c r="F17" s="6" t="s">
        <v>2</v>
      </c>
    </row>
    <row r="18" customFormat="false" ht="15" hidden="false" customHeight="false" outlineLevel="0" collapsed="false">
      <c r="A18" s="6" t="s">
        <v>212</v>
      </c>
      <c r="B18" s="6" t="s">
        <v>214</v>
      </c>
      <c r="C18" s="6" t="n">
        <v>4</v>
      </c>
      <c r="D18" s="7" t="s">
        <v>617</v>
      </c>
      <c r="E18" s="6" t="s">
        <v>633</v>
      </c>
      <c r="F18" s="6" t="s">
        <v>2</v>
      </c>
    </row>
    <row r="19" customFormat="false" ht="15" hidden="false" customHeight="false" outlineLevel="0" collapsed="false">
      <c r="A19" s="6" t="s">
        <v>217</v>
      </c>
      <c r="B19" s="6" t="s">
        <v>218</v>
      </c>
      <c r="C19" s="6" t="n">
        <v>2</v>
      </c>
      <c r="D19" s="7" t="s">
        <v>617</v>
      </c>
      <c r="E19" s="6" t="s">
        <v>634</v>
      </c>
      <c r="F19" s="6" t="s">
        <v>2</v>
      </c>
    </row>
    <row r="20" customFormat="false" ht="15" hidden="false" customHeight="false" outlineLevel="0" collapsed="false">
      <c r="A20" s="6" t="s">
        <v>237</v>
      </c>
      <c r="B20" s="6" t="s">
        <v>238</v>
      </c>
      <c r="C20" s="6" t="n">
        <v>3</v>
      </c>
      <c r="D20" s="7" t="s">
        <v>617</v>
      </c>
      <c r="E20" s="6" t="s">
        <v>635</v>
      </c>
      <c r="F20" s="6" t="s">
        <v>2</v>
      </c>
    </row>
    <row r="21" customFormat="false" ht="23.85" hidden="false" customHeight="false" outlineLevel="0" collapsed="false">
      <c r="A21" s="6" t="s">
        <v>268</v>
      </c>
      <c r="B21" s="6" t="s">
        <v>269</v>
      </c>
      <c r="C21" s="6" t="n">
        <v>3</v>
      </c>
      <c r="D21" s="7" t="s">
        <v>617</v>
      </c>
      <c r="E21" s="6" t="s">
        <v>636</v>
      </c>
      <c r="F21" s="6" t="s">
        <v>2</v>
      </c>
    </row>
    <row r="22" customFormat="false" ht="15" hidden="false" customHeight="false" outlineLevel="0" collapsed="false">
      <c r="A22" s="6" t="s">
        <v>270</v>
      </c>
      <c r="B22" s="6" t="s">
        <v>273</v>
      </c>
      <c r="C22" s="6" t="n">
        <v>1</v>
      </c>
      <c r="D22" s="6" t="s">
        <v>637</v>
      </c>
      <c r="E22" s="6" t="s">
        <v>638</v>
      </c>
      <c r="F22" s="6" t="s">
        <v>2</v>
      </c>
    </row>
    <row r="23" customFormat="false" ht="15" hidden="false" customHeight="false" outlineLevel="0" collapsed="false">
      <c r="A23" s="6" t="s">
        <v>274</v>
      </c>
      <c r="B23" s="6" t="s">
        <v>275</v>
      </c>
      <c r="C23" s="6" t="n">
        <v>3</v>
      </c>
      <c r="D23" s="6" t="s">
        <v>637</v>
      </c>
      <c r="E23" s="6" t="s">
        <v>639</v>
      </c>
      <c r="F23" s="6" t="s">
        <v>2</v>
      </c>
    </row>
    <row r="24" customFormat="false" ht="15" hidden="false" customHeight="false" outlineLevel="0" collapsed="false">
      <c r="A24" s="6" t="s">
        <v>276</v>
      </c>
      <c r="B24" s="6" t="s">
        <v>277</v>
      </c>
      <c r="C24" s="6" t="n">
        <v>2</v>
      </c>
      <c r="D24" s="6" t="s">
        <v>637</v>
      </c>
      <c r="E24" s="6" t="s">
        <v>640</v>
      </c>
      <c r="F24" s="6" t="s">
        <v>2</v>
      </c>
    </row>
    <row r="25" customFormat="false" ht="15" hidden="false" customHeight="false" outlineLevel="0" collapsed="false">
      <c r="A25" s="6" t="s">
        <v>278</v>
      </c>
      <c r="B25" s="6" t="s">
        <v>279</v>
      </c>
      <c r="C25" s="6" t="n">
        <v>4</v>
      </c>
      <c r="D25" s="6" t="s">
        <v>637</v>
      </c>
      <c r="E25" s="6" t="s">
        <v>641</v>
      </c>
      <c r="F25" s="6" t="s">
        <v>2</v>
      </c>
    </row>
    <row r="26" customFormat="false" ht="15" hidden="false" customHeight="false" outlineLevel="0" collapsed="false">
      <c r="A26" s="6" t="s">
        <v>280</v>
      </c>
      <c r="B26" s="6" t="s">
        <v>281</v>
      </c>
      <c r="C26" s="6" t="n">
        <v>4</v>
      </c>
      <c r="D26" s="6" t="s">
        <v>637</v>
      </c>
      <c r="E26" s="6" t="s">
        <v>642</v>
      </c>
      <c r="F26" s="6" t="s">
        <v>2</v>
      </c>
    </row>
    <row r="27" customFormat="false" ht="15" hidden="false" customHeight="false" outlineLevel="0" collapsed="false">
      <c r="A27" s="6" t="s">
        <v>282</v>
      </c>
      <c r="B27" s="6" t="s">
        <v>283</v>
      </c>
      <c r="C27" s="6" t="n">
        <v>1</v>
      </c>
      <c r="D27" s="6" t="s">
        <v>637</v>
      </c>
      <c r="E27" s="6" t="s">
        <v>643</v>
      </c>
      <c r="F27" s="6" t="s">
        <v>2</v>
      </c>
    </row>
    <row r="28" customFormat="false" ht="23.85" hidden="false" customHeight="false" outlineLevel="0" collapsed="false">
      <c r="A28" s="6" t="s">
        <v>284</v>
      </c>
      <c r="B28" s="6" t="s">
        <v>285</v>
      </c>
      <c r="C28" s="6" t="n">
        <v>4</v>
      </c>
      <c r="D28" s="6" t="s">
        <v>637</v>
      </c>
      <c r="E28" s="6" t="s">
        <v>644</v>
      </c>
      <c r="F28" s="6" t="s">
        <v>2</v>
      </c>
    </row>
    <row r="29" customFormat="false" ht="15" hidden="false" customHeight="false" outlineLevel="0" collapsed="false">
      <c r="A29" s="6" t="s">
        <v>286</v>
      </c>
      <c r="B29" s="6" t="s">
        <v>287</v>
      </c>
      <c r="C29" s="6" t="n">
        <v>1</v>
      </c>
      <c r="D29" s="6" t="s">
        <v>637</v>
      </c>
      <c r="E29" s="6" t="s">
        <v>645</v>
      </c>
      <c r="F29" s="6" t="s">
        <v>2</v>
      </c>
    </row>
    <row r="30" customFormat="false" ht="15" hidden="false" customHeight="false" outlineLevel="0" collapsed="false">
      <c r="A30" s="6" t="s">
        <v>288</v>
      </c>
      <c r="B30" s="6" t="s">
        <v>289</v>
      </c>
      <c r="C30" s="6" t="n">
        <v>1</v>
      </c>
      <c r="D30" s="6" t="s">
        <v>637</v>
      </c>
      <c r="E30" s="6" t="s">
        <v>646</v>
      </c>
      <c r="F30" s="6" t="s">
        <v>2</v>
      </c>
    </row>
    <row r="31" customFormat="false" ht="15" hidden="false" customHeight="false" outlineLevel="0" collapsed="false">
      <c r="A31" s="6" t="s">
        <v>290</v>
      </c>
      <c r="B31" s="6" t="s">
        <v>291</v>
      </c>
      <c r="C31" s="6" t="n">
        <v>2</v>
      </c>
      <c r="D31" s="6" t="s">
        <v>637</v>
      </c>
      <c r="E31" s="6" t="s">
        <v>647</v>
      </c>
      <c r="F31" s="6" t="s">
        <v>2</v>
      </c>
    </row>
    <row r="32" customFormat="false" ht="15" hidden="false" customHeight="false" outlineLevel="0" collapsed="false">
      <c r="A32" s="6" t="s">
        <v>292</v>
      </c>
      <c r="B32" s="6" t="s">
        <v>294</v>
      </c>
      <c r="C32" s="6" t="n">
        <v>2</v>
      </c>
      <c r="D32" s="6" t="s">
        <v>637</v>
      </c>
      <c r="E32" s="6" t="s">
        <v>648</v>
      </c>
      <c r="F32" s="6" t="s">
        <v>2</v>
      </c>
    </row>
    <row r="33" customFormat="false" ht="15" hidden="false" customHeight="false" outlineLevel="0" collapsed="false">
      <c r="A33" s="6" t="s">
        <v>295</v>
      </c>
      <c r="B33" s="6" t="s">
        <v>296</v>
      </c>
      <c r="C33" s="6" t="n">
        <v>1</v>
      </c>
      <c r="D33" s="6" t="s">
        <v>637</v>
      </c>
      <c r="E33" s="6" t="s">
        <v>649</v>
      </c>
      <c r="F33" s="6" t="s">
        <v>2</v>
      </c>
    </row>
    <row r="34" customFormat="false" ht="15" hidden="false" customHeight="false" outlineLevel="0" collapsed="false">
      <c r="A34" s="6" t="s">
        <v>297</v>
      </c>
      <c r="B34" s="6" t="s">
        <v>298</v>
      </c>
      <c r="C34" s="6" t="n">
        <v>4</v>
      </c>
      <c r="D34" s="6" t="s">
        <v>637</v>
      </c>
      <c r="E34" s="6" t="s">
        <v>650</v>
      </c>
      <c r="F34" s="6" t="s">
        <v>2</v>
      </c>
    </row>
    <row r="35" customFormat="false" ht="15" hidden="false" customHeight="false" outlineLevel="0" collapsed="false">
      <c r="A35" s="6" t="s">
        <v>299</v>
      </c>
      <c r="B35" s="6" t="s">
        <v>300</v>
      </c>
      <c r="C35" s="6" t="n">
        <v>2</v>
      </c>
      <c r="D35" s="6" t="s">
        <v>637</v>
      </c>
      <c r="E35" s="6" t="s">
        <v>651</v>
      </c>
      <c r="F35" s="6" t="s">
        <v>2</v>
      </c>
    </row>
    <row r="36" customFormat="false" ht="23.85" hidden="false" customHeight="false" outlineLevel="0" collapsed="false">
      <c r="A36" s="6" t="s">
        <v>301</v>
      </c>
      <c r="B36" s="6" t="s">
        <v>302</v>
      </c>
      <c r="C36" s="6" t="n">
        <v>3</v>
      </c>
      <c r="D36" s="6" t="s">
        <v>637</v>
      </c>
      <c r="E36" s="6" t="s">
        <v>652</v>
      </c>
      <c r="F36" s="6" t="s">
        <v>2</v>
      </c>
    </row>
    <row r="37" customFormat="false" ht="15" hidden="false" customHeight="false" outlineLevel="0" collapsed="false">
      <c r="A37" s="6" t="s">
        <v>303</v>
      </c>
      <c r="B37" s="6" t="s">
        <v>304</v>
      </c>
      <c r="C37" s="6" t="n">
        <v>2</v>
      </c>
      <c r="D37" s="6" t="s">
        <v>637</v>
      </c>
      <c r="E37" s="6" t="s">
        <v>653</v>
      </c>
      <c r="F37" s="6" t="s">
        <v>2</v>
      </c>
    </row>
    <row r="38" customFormat="false" ht="15" hidden="false" customHeight="false" outlineLevel="0" collapsed="false">
      <c r="A38" s="6" t="s">
        <v>305</v>
      </c>
      <c r="B38" s="6" t="s">
        <v>306</v>
      </c>
      <c r="C38" s="6" t="n">
        <v>3</v>
      </c>
      <c r="D38" s="6" t="s">
        <v>637</v>
      </c>
      <c r="E38" s="6" t="s">
        <v>654</v>
      </c>
      <c r="F38" s="6" t="s">
        <v>2</v>
      </c>
    </row>
    <row r="39" customFormat="false" ht="15" hidden="false" customHeight="false" outlineLevel="0" collapsed="false">
      <c r="A39" s="6" t="s">
        <v>307</v>
      </c>
      <c r="B39" s="6" t="s">
        <v>308</v>
      </c>
      <c r="C39" s="6" t="n">
        <v>2</v>
      </c>
      <c r="D39" s="6" t="s">
        <v>637</v>
      </c>
      <c r="E39" s="6" t="s">
        <v>655</v>
      </c>
      <c r="F39" s="6" t="s">
        <v>2</v>
      </c>
    </row>
    <row r="40" customFormat="false" ht="15" hidden="false" customHeight="false" outlineLevel="0" collapsed="false">
      <c r="A40" s="6" t="s">
        <v>309</v>
      </c>
      <c r="B40" s="6" t="s">
        <v>310</v>
      </c>
      <c r="C40" s="6" t="n">
        <v>2</v>
      </c>
      <c r="D40" s="6" t="s">
        <v>637</v>
      </c>
      <c r="E40" s="6" t="s">
        <v>656</v>
      </c>
      <c r="F40" s="6" t="s">
        <v>2</v>
      </c>
    </row>
    <row r="41" customFormat="false" ht="15" hidden="false" customHeight="false" outlineLevel="0" collapsed="false">
      <c r="A41" s="6" t="s">
        <v>311</v>
      </c>
      <c r="B41" s="6" t="s">
        <v>314</v>
      </c>
      <c r="C41" s="6" t="n">
        <v>3</v>
      </c>
      <c r="D41" s="6" t="s">
        <v>637</v>
      </c>
      <c r="E41" s="6" t="s">
        <v>657</v>
      </c>
      <c r="F41" s="6" t="s">
        <v>2</v>
      </c>
    </row>
    <row r="42" customFormat="false" ht="15" hidden="false" customHeight="false" outlineLevel="0" collapsed="false">
      <c r="A42" s="6" t="s">
        <v>315</v>
      </c>
      <c r="B42" s="6" t="s">
        <v>316</v>
      </c>
      <c r="C42" s="6" t="n">
        <v>3</v>
      </c>
      <c r="D42" s="6" t="s">
        <v>637</v>
      </c>
      <c r="E42" s="6" t="s">
        <v>658</v>
      </c>
      <c r="F42" s="6" t="s">
        <v>2</v>
      </c>
    </row>
    <row r="43" customFormat="false" ht="15" hidden="false" customHeight="false" outlineLevel="0" collapsed="false">
      <c r="A43" s="6" t="s">
        <v>317</v>
      </c>
      <c r="B43" s="6" t="s">
        <v>318</v>
      </c>
      <c r="C43" s="6" t="n">
        <v>2</v>
      </c>
      <c r="D43" s="6" t="s">
        <v>637</v>
      </c>
      <c r="E43" s="6" t="s">
        <v>659</v>
      </c>
      <c r="F43" s="6" t="s">
        <v>2</v>
      </c>
    </row>
    <row r="44" customFormat="false" ht="15" hidden="false" customHeight="false" outlineLevel="0" collapsed="false">
      <c r="A44" s="6" t="s">
        <v>319</v>
      </c>
      <c r="B44" s="6" t="s">
        <v>320</v>
      </c>
      <c r="C44" s="6" t="n">
        <v>1</v>
      </c>
      <c r="D44" s="6" t="s">
        <v>637</v>
      </c>
      <c r="E44" s="6" t="s">
        <v>660</v>
      </c>
      <c r="F44" s="6" t="s">
        <v>2</v>
      </c>
    </row>
    <row r="45" customFormat="false" ht="15" hidden="false" customHeight="false" outlineLevel="0" collapsed="false">
      <c r="A45" s="6" t="s">
        <v>321</v>
      </c>
      <c r="B45" s="6" t="s">
        <v>322</v>
      </c>
      <c r="C45" s="6" t="n">
        <v>3</v>
      </c>
      <c r="D45" s="6" t="s">
        <v>637</v>
      </c>
      <c r="E45" s="6" t="s">
        <v>661</v>
      </c>
      <c r="F45" s="6" t="s">
        <v>2</v>
      </c>
    </row>
    <row r="46" customFormat="false" ht="23.85" hidden="false" customHeight="false" outlineLevel="0" collapsed="false">
      <c r="A46" s="6" t="s">
        <v>323</v>
      </c>
      <c r="B46" s="6" t="s">
        <v>324</v>
      </c>
      <c r="C46" s="6" t="n">
        <v>2</v>
      </c>
      <c r="D46" s="6" t="s">
        <v>637</v>
      </c>
      <c r="E46" s="6" t="s">
        <v>662</v>
      </c>
      <c r="F46" s="6" t="s">
        <v>2</v>
      </c>
    </row>
    <row r="47" customFormat="false" ht="15" hidden="false" customHeight="false" outlineLevel="0" collapsed="false">
      <c r="A47" s="6" t="s">
        <v>326</v>
      </c>
      <c r="B47" s="6" t="s">
        <v>327</v>
      </c>
      <c r="C47" s="6" t="n">
        <v>2</v>
      </c>
      <c r="D47" s="6" t="s">
        <v>637</v>
      </c>
      <c r="E47" s="6" t="s">
        <v>663</v>
      </c>
      <c r="F47" s="6" t="s">
        <v>2</v>
      </c>
    </row>
    <row r="48" customFormat="false" ht="15" hidden="false" customHeight="false" outlineLevel="0" collapsed="false">
      <c r="A48" s="6" t="s">
        <v>328</v>
      </c>
      <c r="B48" s="6" t="s">
        <v>330</v>
      </c>
      <c r="C48" s="6" t="n">
        <v>4</v>
      </c>
      <c r="D48" s="6" t="s">
        <v>637</v>
      </c>
      <c r="E48" s="6" t="s">
        <v>664</v>
      </c>
      <c r="F48" s="6" t="s">
        <v>2</v>
      </c>
    </row>
    <row r="49" customFormat="false" ht="15" hidden="false" customHeight="false" outlineLevel="0" collapsed="false">
      <c r="A49" s="6" t="s">
        <v>331</v>
      </c>
      <c r="B49" s="6" t="s">
        <v>332</v>
      </c>
      <c r="C49" s="6" t="n">
        <v>3</v>
      </c>
      <c r="D49" s="6" t="s">
        <v>637</v>
      </c>
      <c r="E49" s="6" t="s">
        <v>665</v>
      </c>
      <c r="F49" s="6" t="s">
        <v>2</v>
      </c>
    </row>
    <row r="50" customFormat="false" ht="23.85" hidden="false" customHeight="false" outlineLevel="0" collapsed="false">
      <c r="A50" s="6" t="s">
        <v>333</v>
      </c>
      <c r="B50" s="6" t="s">
        <v>334</v>
      </c>
      <c r="C50" s="6" t="n">
        <v>3</v>
      </c>
      <c r="D50" s="6" t="s">
        <v>637</v>
      </c>
      <c r="E50" s="6" t="s">
        <v>666</v>
      </c>
      <c r="F50" s="6" t="s">
        <v>2</v>
      </c>
    </row>
    <row r="51" customFormat="false" ht="15" hidden="false" customHeight="false" outlineLevel="0" collapsed="false">
      <c r="A51" s="6" t="s">
        <v>335</v>
      </c>
      <c r="B51" s="6" t="s">
        <v>336</v>
      </c>
      <c r="C51" s="6" t="n">
        <v>3</v>
      </c>
      <c r="D51" s="6" t="s">
        <v>637</v>
      </c>
      <c r="E51" s="6" t="s">
        <v>667</v>
      </c>
      <c r="F51" s="6" t="s">
        <v>2</v>
      </c>
    </row>
    <row r="52" customFormat="false" ht="15" hidden="false" customHeight="false" outlineLevel="0" collapsed="false">
      <c r="A52" s="6" t="s">
        <v>337</v>
      </c>
      <c r="B52" s="6" t="s">
        <v>338</v>
      </c>
      <c r="C52" s="6" t="n">
        <v>0</v>
      </c>
      <c r="D52" s="8" t="s">
        <v>628</v>
      </c>
      <c r="E52" s="6" t="s">
        <v>668</v>
      </c>
      <c r="F52" s="6" t="s">
        <v>2</v>
      </c>
    </row>
    <row r="53" customFormat="false" ht="15" hidden="false" customHeight="false" outlineLevel="0" collapsed="false">
      <c r="A53" s="6" t="s">
        <v>339</v>
      </c>
      <c r="B53" s="6" t="s">
        <v>341</v>
      </c>
      <c r="C53" s="6" t="n">
        <v>2</v>
      </c>
      <c r="D53" s="6" t="s">
        <v>637</v>
      </c>
      <c r="E53" s="6" t="s">
        <v>669</v>
      </c>
      <c r="F53" s="6" t="s">
        <v>2</v>
      </c>
    </row>
    <row r="54" customFormat="false" ht="15" hidden="false" customHeight="false" outlineLevel="0" collapsed="false">
      <c r="A54" s="6" t="s">
        <v>342</v>
      </c>
      <c r="B54" s="6" t="s">
        <v>343</v>
      </c>
      <c r="C54" s="6" t="n">
        <v>2</v>
      </c>
      <c r="D54" s="6" t="s">
        <v>637</v>
      </c>
      <c r="E54" s="6" t="s">
        <v>670</v>
      </c>
      <c r="F54" s="6" t="s">
        <v>2</v>
      </c>
    </row>
    <row r="55" customFormat="false" ht="15" hidden="false" customHeight="false" outlineLevel="0" collapsed="false">
      <c r="A55" s="6" t="s">
        <v>344</v>
      </c>
      <c r="B55" s="6" t="s">
        <v>345</v>
      </c>
      <c r="C55" s="6" t="n">
        <v>2</v>
      </c>
      <c r="D55" s="6" t="s">
        <v>637</v>
      </c>
      <c r="E55" s="6" t="s">
        <v>671</v>
      </c>
      <c r="F55" s="6" t="s">
        <v>2</v>
      </c>
    </row>
    <row r="56" customFormat="false" ht="15" hidden="false" customHeight="false" outlineLevel="0" collapsed="false">
      <c r="A56" s="6" t="s">
        <v>346</v>
      </c>
      <c r="B56" s="6" t="s">
        <v>347</v>
      </c>
      <c r="C56" s="6" t="n">
        <v>4</v>
      </c>
      <c r="D56" s="6" t="s">
        <v>637</v>
      </c>
      <c r="E56" s="6" t="s">
        <v>672</v>
      </c>
      <c r="F56" s="6" t="s">
        <v>2</v>
      </c>
    </row>
    <row r="57" customFormat="false" ht="15" hidden="false" customHeight="false" outlineLevel="0" collapsed="false">
      <c r="A57" s="6" t="s">
        <v>348</v>
      </c>
      <c r="B57" s="6" t="s">
        <v>349</v>
      </c>
      <c r="C57" s="6" t="n">
        <v>2</v>
      </c>
      <c r="D57" s="6" t="s">
        <v>637</v>
      </c>
      <c r="E57" s="6" t="s">
        <v>673</v>
      </c>
      <c r="F57" s="6" t="s">
        <v>2</v>
      </c>
    </row>
    <row r="58" customFormat="false" ht="15" hidden="false" customHeight="false" outlineLevel="0" collapsed="false">
      <c r="A58" s="6" t="s">
        <v>350</v>
      </c>
      <c r="B58" s="6" t="s">
        <v>351</v>
      </c>
      <c r="C58" s="6" t="n">
        <v>2</v>
      </c>
      <c r="D58" s="6" t="s">
        <v>637</v>
      </c>
      <c r="E58" s="6" t="s">
        <v>674</v>
      </c>
      <c r="F58" s="6" t="s">
        <v>2</v>
      </c>
    </row>
    <row r="59" customFormat="false" ht="15" hidden="false" customHeight="false" outlineLevel="0" collapsed="false">
      <c r="A59" s="6" t="s">
        <v>352</v>
      </c>
      <c r="B59" s="6" t="s">
        <v>353</v>
      </c>
      <c r="C59" s="6" t="n">
        <v>4</v>
      </c>
      <c r="D59" s="6" t="s">
        <v>637</v>
      </c>
      <c r="E59" s="6" t="s">
        <v>675</v>
      </c>
      <c r="F59" s="6" t="s">
        <v>2</v>
      </c>
    </row>
    <row r="60" customFormat="false" ht="15" hidden="false" customHeight="false" outlineLevel="0" collapsed="false">
      <c r="A60" s="6" t="s">
        <v>354</v>
      </c>
      <c r="B60" s="6" t="s">
        <v>355</v>
      </c>
      <c r="C60" s="6" t="n">
        <v>3</v>
      </c>
      <c r="D60" s="6" t="s">
        <v>637</v>
      </c>
      <c r="E60" s="6" t="s">
        <v>676</v>
      </c>
      <c r="F60" s="6" t="s">
        <v>2</v>
      </c>
    </row>
    <row r="61" customFormat="false" ht="15" hidden="false" customHeight="false" outlineLevel="0" collapsed="false">
      <c r="A61" s="6" t="s">
        <v>357</v>
      </c>
      <c r="B61" s="6" t="s">
        <v>358</v>
      </c>
      <c r="C61" s="6" t="n">
        <v>2</v>
      </c>
      <c r="D61" s="6" t="s">
        <v>637</v>
      </c>
      <c r="E61" s="6" t="s">
        <v>677</v>
      </c>
      <c r="F61" s="6" t="s">
        <v>2</v>
      </c>
    </row>
    <row r="62" customFormat="false" ht="15" hidden="false" customHeight="false" outlineLevel="0" collapsed="false">
      <c r="A62" s="6" t="s">
        <v>359</v>
      </c>
      <c r="B62" s="6" t="s">
        <v>360</v>
      </c>
      <c r="C62" s="6" t="n">
        <v>1</v>
      </c>
      <c r="D62" s="6" t="s">
        <v>637</v>
      </c>
      <c r="E62" s="6" t="s">
        <v>678</v>
      </c>
      <c r="F62" s="6" t="s">
        <v>2</v>
      </c>
    </row>
    <row r="63" customFormat="false" ht="15" hidden="false" customHeight="false" outlineLevel="0" collapsed="false">
      <c r="A63" s="6" t="s">
        <v>361</v>
      </c>
      <c r="B63" s="6" t="s">
        <v>362</v>
      </c>
      <c r="C63" s="6" t="n">
        <v>3</v>
      </c>
      <c r="D63" s="6" t="s">
        <v>637</v>
      </c>
      <c r="E63" s="6" t="s">
        <v>679</v>
      </c>
      <c r="F63" s="6" t="s">
        <v>2</v>
      </c>
    </row>
    <row r="64" customFormat="false" ht="15" hidden="false" customHeight="false" outlineLevel="0" collapsed="false">
      <c r="A64" s="6" t="s">
        <v>363</v>
      </c>
      <c r="B64" s="6" t="s">
        <v>364</v>
      </c>
      <c r="C64" s="6" t="n">
        <v>1</v>
      </c>
      <c r="D64" s="6" t="s">
        <v>637</v>
      </c>
      <c r="E64" s="6" t="s">
        <v>680</v>
      </c>
      <c r="F64" s="6" t="s">
        <v>2</v>
      </c>
    </row>
    <row r="65" customFormat="false" ht="15" hidden="false" customHeight="false" outlineLevel="0" collapsed="false">
      <c r="A65" s="6" t="s">
        <v>365</v>
      </c>
      <c r="B65" s="6" t="s">
        <v>367</v>
      </c>
      <c r="C65" s="6" t="n">
        <v>3</v>
      </c>
      <c r="D65" s="6" t="s">
        <v>637</v>
      </c>
      <c r="E65" s="6" t="s">
        <v>681</v>
      </c>
      <c r="F65" s="6" t="s">
        <v>2</v>
      </c>
    </row>
    <row r="66" customFormat="false" ht="15" hidden="false" customHeight="false" outlineLevel="0" collapsed="false">
      <c r="A66" s="6" t="s">
        <v>368</v>
      </c>
      <c r="B66" s="6" t="s">
        <v>369</v>
      </c>
      <c r="C66" s="6" t="n">
        <v>3</v>
      </c>
      <c r="D66" s="6" t="s">
        <v>637</v>
      </c>
      <c r="E66" s="6" t="s">
        <v>682</v>
      </c>
      <c r="F66" s="6" t="s">
        <v>2</v>
      </c>
    </row>
    <row r="67" customFormat="false" ht="15" hidden="false" customHeight="false" outlineLevel="0" collapsed="false">
      <c r="A67" s="6" t="s">
        <v>370</v>
      </c>
      <c r="B67" s="6" t="s">
        <v>371</v>
      </c>
      <c r="C67" s="6" t="n">
        <v>3</v>
      </c>
      <c r="D67" s="6" t="s">
        <v>637</v>
      </c>
      <c r="E67" s="6" t="s">
        <v>683</v>
      </c>
      <c r="F67" s="6" t="s">
        <v>2</v>
      </c>
    </row>
    <row r="68" customFormat="false" ht="15" hidden="false" customHeight="false" outlineLevel="0" collapsed="false">
      <c r="A68" s="6" t="s">
        <v>372</v>
      </c>
      <c r="B68" s="6" t="s">
        <v>373</v>
      </c>
      <c r="C68" s="6" t="n">
        <v>2</v>
      </c>
      <c r="D68" s="6" t="s">
        <v>637</v>
      </c>
      <c r="E68" s="6" t="s">
        <v>684</v>
      </c>
      <c r="F68" s="6" t="s">
        <v>2</v>
      </c>
    </row>
    <row r="69" customFormat="false" ht="15" hidden="false" customHeight="false" outlineLevel="0" collapsed="false">
      <c r="A69" s="6" t="s">
        <v>374</v>
      </c>
      <c r="B69" s="6" t="s">
        <v>375</v>
      </c>
      <c r="C69" s="6" t="n">
        <v>4</v>
      </c>
      <c r="D69" s="6" t="s">
        <v>637</v>
      </c>
      <c r="E69" s="6" t="s">
        <v>685</v>
      </c>
      <c r="F69" s="6" t="s">
        <v>2</v>
      </c>
    </row>
    <row r="70" customFormat="false" ht="15" hidden="false" customHeight="false" outlineLevel="0" collapsed="false">
      <c r="A70" s="6" t="s">
        <v>376</v>
      </c>
      <c r="B70" s="6" t="s">
        <v>377</v>
      </c>
      <c r="C70" s="6" t="n">
        <v>4</v>
      </c>
      <c r="D70" s="6" t="s">
        <v>637</v>
      </c>
      <c r="E70" s="6" t="s">
        <v>686</v>
      </c>
      <c r="F70" s="6" t="s">
        <v>2</v>
      </c>
    </row>
    <row r="71" customFormat="false" ht="15" hidden="false" customHeight="false" outlineLevel="0" collapsed="false">
      <c r="A71" s="6" t="s">
        <v>378</v>
      </c>
      <c r="B71" s="6" t="s">
        <v>379</v>
      </c>
      <c r="C71" s="6" t="n">
        <v>3</v>
      </c>
      <c r="D71" s="6" t="s">
        <v>637</v>
      </c>
      <c r="E71" s="6" t="s">
        <v>687</v>
      </c>
      <c r="F71" s="6" t="s">
        <v>2</v>
      </c>
    </row>
    <row r="72" customFormat="false" ht="15" hidden="false" customHeight="false" outlineLevel="0" collapsed="false">
      <c r="A72" s="6" t="s">
        <v>380</v>
      </c>
      <c r="B72" s="6" t="s">
        <v>381</v>
      </c>
      <c r="C72" s="6" t="n">
        <v>2</v>
      </c>
      <c r="D72" s="6" t="s">
        <v>637</v>
      </c>
      <c r="E72" s="6" t="s">
        <v>688</v>
      </c>
      <c r="F72" s="6" t="s">
        <v>2</v>
      </c>
    </row>
    <row r="73" customFormat="false" ht="15" hidden="false" customHeight="false" outlineLevel="0" collapsed="false">
      <c r="A73" s="6" t="s">
        <v>382</v>
      </c>
      <c r="B73" s="6" t="s">
        <v>383</v>
      </c>
      <c r="C73" s="6" t="n">
        <v>1</v>
      </c>
      <c r="D73" s="6" t="s">
        <v>637</v>
      </c>
      <c r="E73" s="6" t="s">
        <v>689</v>
      </c>
      <c r="F73" s="6" t="s">
        <v>2</v>
      </c>
    </row>
    <row r="74" customFormat="false" ht="15" hidden="false" customHeight="false" outlineLevel="0" collapsed="false">
      <c r="A74" s="6" t="s">
        <v>384</v>
      </c>
      <c r="B74" s="6" t="s">
        <v>387</v>
      </c>
      <c r="C74" s="6" t="n">
        <v>3</v>
      </c>
      <c r="D74" s="6" t="s">
        <v>637</v>
      </c>
      <c r="E74" s="6" t="s">
        <v>690</v>
      </c>
      <c r="F74" s="6" t="s">
        <v>2</v>
      </c>
    </row>
    <row r="75" customFormat="false" ht="15" hidden="false" customHeight="false" outlineLevel="0" collapsed="false">
      <c r="A75" s="6" t="s">
        <v>388</v>
      </c>
      <c r="B75" s="6" t="s">
        <v>389</v>
      </c>
      <c r="C75" s="6" t="n">
        <v>4</v>
      </c>
      <c r="D75" s="6" t="s">
        <v>637</v>
      </c>
      <c r="E75" s="6" t="s">
        <v>691</v>
      </c>
      <c r="F75" s="6" t="s">
        <v>2</v>
      </c>
    </row>
    <row r="76" customFormat="false" ht="15" hidden="false" customHeight="false" outlineLevel="0" collapsed="false">
      <c r="A76" s="6" t="s">
        <v>390</v>
      </c>
      <c r="B76" s="6" t="s">
        <v>391</v>
      </c>
      <c r="C76" s="6" t="n">
        <v>1</v>
      </c>
      <c r="D76" s="6" t="s">
        <v>637</v>
      </c>
      <c r="E76" s="6" t="s">
        <v>692</v>
      </c>
      <c r="F76" s="6" t="s">
        <v>2</v>
      </c>
    </row>
    <row r="77" customFormat="false" ht="15" hidden="false" customHeight="false" outlineLevel="0" collapsed="false">
      <c r="A77" s="6" t="s">
        <v>392</v>
      </c>
      <c r="B77" s="6" t="s">
        <v>393</v>
      </c>
      <c r="C77" s="6" t="n">
        <v>1</v>
      </c>
      <c r="D77" s="6" t="s">
        <v>637</v>
      </c>
      <c r="E77" s="6" t="s">
        <v>693</v>
      </c>
      <c r="F77" s="6" t="s">
        <v>2</v>
      </c>
    </row>
    <row r="78" customFormat="false" ht="15" hidden="false" customHeight="false" outlineLevel="0" collapsed="false">
      <c r="A78" s="6" t="s">
        <v>394</v>
      </c>
      <c r="B78" s="6" t="s">
        <v>395</v>
      </c>
      <c r="C78" s="6" t="n">
        <v>3</v>
      </c>
      <c r="D78" s="6" t="s">
        <v>637</v>
      </c>
      <c r="E78" s="6" t="s">
        <v>694</v>
      </c>
      <c r="F78" s="6" t="s">
        <v>2</v>
      </c>
    </row>
    <row r="79" customFormat="false" ht="15" hidden="false" customHeight="false" outlineLevel="0" collapsed="false">
      <c r="A79" s="6" t="s">
        <v>396</v>
      </c>
      <c r="B79" s="6" t="s">
        <v>397</v>
      </c>
      <c r="C79" s="6" t="n">
        <v>1</v>
      </c>
      <c r="D79" s="6" t="s">
        <v>637</v>
      </c>
      <c r="E79" s="6" t="s">
        <v>695</v>
      </c>
      <c r="F79" s="6" t="s">
        <v>2</v>
      </c>
    </row>
    <row r="80" customFormat="false" ht="15" hidden="false" customHeight="false" outlineLevel="0" collapsed="false">
      <c r="A80" s="6" t="s">
        <v>398</v>
      </c>
      <c r="B80" s="6" t="s">
        <v>399</v>
      </c>
      <c r="C80" s="6" t="n">
        <v>2</v>
      </c>
      <c r="D80" s="6" t="s">
        <v>637</v>
      </c>
      <c r="E80" s="6" t="s">
        <v>696</v>
      </c>
      <c r="F80" s="6" t="s">
        <v>2</v>
      </c>
    </row>
    <row r="81" customFormat="false" ht="15" hidden="false" customHeight="false" outlineLevel="0" collapsed="false">
      <c r="A81" s="6" t="s">
        <v>400</v>
      </c>
      <c r="B81" s="6" t="s">
        <v>402</v>
      </c>
      <c r="C81" s="6" t="n">
        <v>2</v>
      </c>
      <c r="D81" s="6" t="s">
        <v>637</v>
      </c>
      <c r="E81" s="6" t="s">
        <v>697</v>
      </c>
      <c r="F81" s="6" t="s">
        <v>2</v>
      </c>
    </row>
    <row r="82" customFormat="false" ht="15" hidden="false" customHeight="false" outlineLevel="0" collapsed="false">
      <c r="A82" s="6" t="s">
        <v>403</v>
      </c>
      <c r="B82" s="6" t="s">
        <v>404</v>
      </c>
      <c r="C82" s="6" t="n">
        <v>4</v>
      </c>
      <c r="D82" s="6" t="s">
        <v>637</v>
      </c>
      <c r="E82" s="6" t="s">
        <v>698</v>
      </c>
      <c r="F82" s="6" t="s">
        <v>2</v>
      </c>
    </row>
    <row r="83" customFormat="false" ht="15" hidden="false" customHeight="false" outlineLevel="0" collapsed="false">
      <c r="A83" s="6" t="s">
        <v>405</v>
      </c>
      <c r="B83" s="6" t="s">
        <v>406</v>
      </c>
      <c r="C83" s="6" t="n">
        <v>2</v>
      </c>
      <c r="D83" s="6" t="s">
        <v>637</v>
      </c>
      <c r="E83" s="6" t="s">
        <v>699</v>
      </c>
      <c r="F83" s="6" t="s">
        <v>2</v>
      </c>
    </row>
    <row r="84" customFormat="false" ht="15" hidden="false" customHeight="false" outlineLevel="0" collapsed="false">
      <c r="A84" s="6" t="s">
        <v>407</v>
      </c>
      <c r="B84" s="6" t="s">
        <v>408</v>
      </c>
      <c r="C84" s="6" t="n">
        <v>1</v>
      </c>
      <c r="D84" s="7" t="s">
        <v>617</v>
      </c>
      <c r="E84" s="6" t="s">
        <v>700</v>
      </c>
      <c r="F84" s="6" t="s">
        <v>2</v>
      </c>
    </row>
    <row r="85" customFormat="false" ht="15" hidden="false" customHeight="false" outlineLevel="0" collapsed="false">
      <c r="A85" s="6" t="s">
        <v>409</v>
      </c>
      <c r="B85" s="6" t="s">
        <v>410</v>
      </c>
      <c r="C85" s="6" t="n">
        <v>2</v>
      </c>
      <c r="D85" s="6" t="s">
        <v>637</v>
      </c>
      <c r="E85" s="6" t="s">
        <v>701</v>
      </c>
      <c r="F85" s="6" t="s">
        <v>2</v>
      </c>
    </row>
    <row r="86" customFormat="false" ht="15" hidden="false" customHeight="false" outlineLevel="0" collapsed="false">
      <c r="A86" s="6" t="s">
        <v>411</v>
      </c>
      <c r="B86" s="6" t="s">
        <v>412</v>
      </c>
      <c r="C86" s="6" t="n">
        <v>2</v>
      </c>
      <c r="D86" s="6" t="s">
        <v>637</v>
      </c>
      <c r="E86" s="6" t="s">
        <v>702</v>
      </c>
      <c r="F86" s="6" t="s">
        <v>2</v>
      </c>
    </row>
    <row r="87" customFormat="false" ht="15" hidden="false" customHeight="false" outlineLevel="0" collapsed="false">
      <c r="A87" s="6" t="s">
        <v>413</v>
      </c>
      <c r="B87" s="6" t="s">
        <v>414</v>
      </c>
      <c r="C87" s="6" t="n">
        <v>1</v>
      </c>
      <c r="D87" s="6" t="s">
        <v>637</v>
      </c>
      <c r="E87" s="6" t="s">
        <v>703</v>
      </c>
      <c r="F87" s="6" t="s">
        <v>2</v>
      </c>
    </row>
    <row r="88" customFormat="false" ht="15" hidden="false" customHeight="false" outlineLevel="0" collapsed="false">
      <c r="A88" s="6" t="s">
        <v>415</v>
      </c>
      <c r="B88" s="6" t="s">
        <v>416</v>
      </c>
      <c r="C88" s="6" t="n">
        <v>2</v>
      </c>
      <c r="D88" s="7" t="s">
        <v>617</v>
      </c>
      <c r="E88" s="6" t="s">
        <v>704</v>
      </c>
      <c r="F88" s="6" t="s">
        <v>2</v>
      </c>
    </row>
    <row r="89" customFormat="false" ht="15" hidden="false" customHeight="false" outlineLevel="0" collapsed="false">
      <c r="A89" s="6" t="s">
        <v>417</v>
      </c>
      <c r="B89" s="6" t="s">
        <v>419</v>
      </c>
      <c r="C89" s="6" t="n">
        <v>3</v>
      </c>
      <c r="D89" s="6" t="s">
        <v>637</v>
      </c>
      <c r="E89" s="6" t="s">
        <v>705</v>
      </c>
      <c r="F89" s="6" t="s">
        <v>2</v>
      </c>
    </row>
    <row r="90" customFormat="false" ht="15" hidden="false" customHeight="false" outlineLevel="0" collapsed="false">
      <c r="A90" s="6" t="s">
        <v>420</v>
      </c>
      <c r="B90" s="6" t="s">
        <v>421</v>
      </c>
      <c r="C90" s="6" t="n">
        <v>3</v>
      </c>
      <c r="D90" s="6" t="s">
        <v>637</v>
      </c>
      <c r="E90" s="6" t="s">
        <v>706</v>
      </c>
      <c r="F90" s="6" t="s">
        <v>2</v>
      </c>
    </row>
    <row r="91" customFormat="false" ht="15" hidden="false" customHeight="false" outlineLevel="0" collapsed="false">
      <c r="A91" s="6" t="s">
        <v>422</v>
      </c>
      <c r="B91" s="6" t="s">
        <v>423</v>
      </c>
      <c r="C91" s="6" t="n">
        <v>3</v>
      </c>
      <c r="D91" s="6" t="s">
        <v>637</v>
      </c>
      <c r="E91" s="6" t="s">
        <v>707</v>
      </c>
      <c r="F91" s="6" t="s">
        <v>2</v>
      </c>
    </row>
    <row r="92" customFormat="false" ht="15" hidden="false" customHeight="false" outlineLevel="0" collapsed="false">
      <c r="A92" s="6" t="s">
        <v>424</v>
      </c>
      <c r="B92" s="6" t="s">
        <v>425</v>
      </c>
      <c r="C92" s="6" t="n">
        <v>3</v>
      </c>
      <c r="D92" s="6" t="s">
        <v>637</v>
      </c>
      <c r="E92" s="6" t="s">
        <v>708</v>
      </c>
      <c r="F92" s="6" t="s">
        <v>2</v>
      </c>
    </row>
    <row r="93" customFormat="false" ht="15" hidden="false" customHeight="false" outlineLevel="0" collapsed="false">
      <c r="A93" s="6" t="s">
        <v>426</v>
      </c>
      <c r="B93" s="6" t="s">
        <v>427</v>
      </c>
      <c r="C93" s="6" t="n">
        <v>3</v>
      </c>
      <c r="D93" s="6" t="s">
        <v>637</v>
      </c>
      <c r="E93" s="6" t="s">
        <v>709</v>
      </c>
      <c r="F93" s="6" t="s">
        <v>2</v>
      </c>
    </row>
    <row r="94" customFormat="false" ht="15" hidden="false" customHeight="false" outlineLevel="0" collapsed="false">
      <c r="A94" s="6" t="s">
        <v>428</v>
      </c>
      <c r="B94" s="6" t="s">
        <v>431</v>
      </c>
      <c r="C94" s="6" t="n">
        <v>2</v>
      </c>
      <c r="D94" s="7" t="s">
        <v>617</v>
      </c>
      <c r="E94" s="6" t="s">
        <v>710</v>
      </c>
      <c r="F94" s="6" t="s">
        <v>2</v>
      </c>
    </row>
    <row r="95" customFormat="false" ht="15" hidden="false" customHeight="false" outlineLevel="0" collapsed="false">
      <c r="A95" s="6" t="s">
        <v>432</v>
      </c>
      <c r="B95" s="6" t="s">
        <v>433</v>
      </c>
      <c r="C95" s="6" t="n">
        <v>3</v>
      </c>
      <c r="D95" s="6" t="s">
        <v>637</v>
      </c>
      <c r="E95" s="6" t="s">
        <v>711</v>
      </c>
      <c r="F95" s="6" t="s">
        <v>2</v>
      </c>
    </row>
    <row r="96" customFormat="false" ht="15" hidden="false" customHeight="false" outlineLevel="0" collapsed="false">
      <c r="A96" s="6" t="s">
        <v>434</v>
      </c>
      <c r="B96" s="6" t="s">
        <v>435</v>
      </c>
      <c r="C96" s="6" t="n">
        <v>1</v>
      </c>
      <c r="D96" s="6" t="s">
        <v>637</v>
      </c>
      <c r="E96" s="6" t="s">
        <v>712</v>
      </c>
      <c r="F96" s="6" t="s">
        <v>2</v>
      </c>
    </row>
    <row r="97" customFormat="false" ht="15" hidden="false" customHeight="false" outlineLevel="0" collapsed="false">
      <c r="A97" s="6" t="s">
        <v>436</v>
      </c>
      <c r="B97" s="6" t="s">
        <v>437</v>
      </c>
      <c r="C97" s="6" t="n">
        <v>1</v>
      </c>
      <c r="D97" s="6" t="s">
        <v>637</v>
      </c>
      <c r="E97" s="6" t="s">
        <v>713</v>
      </c>
      <c r="F97" s="6" t="s">
        <v>2</v>
      </c>
    </row>
    <row r="98" customFormat="false" ht="15" hidden="false" customHeight="false" outlineLevel="0" collapsed="false">
      <c r="A98" s="6" t="s">
        <v>438</v>
      </c>
      <c r="B98" s="6" t="s">
        <v>439</v>
      </c>
      <c r="C98" s="6" t="n">
        <v>2</v>
      </c>
      <c r="D98" s="6" t="s">
        <v>637</v>
      </c>
      <c r="E98" s="6" t="s">
        <v>714</v>
      </c>
      <c r="F98" s="6" t="s">
        <v>2</v>
      </c>
    </row>
    <row r="99" customFormat="false" ht="15" hidden="false" customHeight="false" outlineLevel="0" collapsed="false">
      <c r="A99" s="6" t="s">
        <v>440</v>
      </c>
      <c r="B99" s="6" t="s">
        <v>441</v>
      </c>
      <c r="C99" s="6" t="n">
        <v>4</v>
      </c>
      <c r="D99" s="6" t="s">
        <v>637</v>
      </c>
      <c r="E99" s="6" t="s">
        <v>715</v>
      </c>
      <c r="F99" s="6" t="s">
        <v>2</v>
      </c>
    </row>
    <row r="100" customFormat="false" ht="15" hidden="false" customHeight="false" outlineLevel="0" collapsed="false">
      <c r="A100" s="6" t="s">
        <v>442</v>
      </c>
      <c r="B100" s="6" t="s">
        <v>443</v>
      </c>
      <c r="C100" s="6" t="n">
        <v>3</v>
      </c>
      <c r="D100" s="6" t="s">
        <v>637</v>
      </c>
      <c r="E100" s="6" t="s">
        <v>716</v>
      </c>
      <c r="F100" s="6" t="s">
        <v>2</v>
      </c>
    </row>
    <row r="101" customFormat="false" ht="15" hidden="false" customHeight="false" outlineLevel="0" collapsed="false">
      <c r="A101" s="6" t="s">
        <v>444</v>
      </c>
      <c r="B101" s="6" t="s">
        <v>445</v>
      </c>
      <c r="C101" s="6" t="n">
        <v>4</v>
      </c>
      <c r="D101" s="6" t="s">
        <v>637</v>
      </c>
      <c r="E101" s="6" t="s">
        <v>717</v>
      </c>
      <c r="F101" s="6" t="s">
        <v>2</v>
      </c>
    </row>
    <row r="102" customFormat="false" ht="15" hidden="false" customHeight="false" outlineLevel="0" collapsed="false">
      <c r="A102" s="6" t="s">
        <v>446</v>
      </c>
      <c r="B102" s="6" t="s">
        <v>447</v>
      </c>
      <c r="C102" s="6" t="n">
        <v>2</v>
      </c>
      <c r="D102" s="6" t="s">
        <v>637</v>
      </c>
      <c r="E102" s="6" t="s">
        <v>718</v>
      </c>
      <c r="F102" s="6" t="s">
        <v>2</v>
      </c>
    </row>
    <row r="103" customFormat="false" ht="15" hidden="false" customHeight="false" outlineLevel="0" collapsed="false">
      <c r="A103" s="6" t="s">
        <v>448</v>
      </c>
      <c r="B103" s="6" t="s">
        <v>449</v>
      </c>
      <c r="C103" s="6" t="n">
        <v>6</v>
      </c>
      <c r="D103" s="6" t="s">
        <v>637</v>
      </c>
      <c r="E103" s="6" t="s">
        <v>719</v>
      </c>
      <c r="F103" s="6" t="s">
        <v>2</v>
      </c>
    </row>
    <row r="104" customFormat="false" ht="15" hidden="false" customHeight="false" outlineLevel="0" collapsed="false">
      <c r="A104" s="6" t="s">
        <v>450</v>
      </c>
      <c r="B104" s="6" t="s">
        <v>453</v>
      </c>
      <c r="C104" s="6" t="n">
        <v>2</v>
      </c>
      <c r="D104" s="6" t="s">
        <v>637</v>
      </c>
      <c r="E104" s="6" t="s">
        <v>720</v>
      </c>
      <c r="F104" s="6" t="s">
        <v>2</v>
      </c>
    </row>
    <row r="105" customFormat="false" ht="15" hidden="false" customHeight="false" outlineLevel="0" collapsed="false">
      <c r="A105" s="6" t="s">
        <v>454</v>
      </c>
      <c r="B105" s="6" t="s">
        <v>455</v>
      </c>
      <c r="C105" s="6" t="n">
        <v>3</v>
      </c>
      <c r="D105" s="6" t="s">
        <v>637</v>
      </c>
      <c r="E105" s="6" t="s">
        <v>721</v>
      </c>
      <c r="F105" s="6" t="s">
        <v>2</v>
      </c>
    </row>
    <row r="106" customFormat="false" ht="15" hidden="false" customHeight="false" outlineLevel="0" collapsed="false">
      <c r="A106" s="6" t="s">
        <v>456</v>
      </c>
      <c r="B106" s="6" t="s">
        <v>457</v>
      </c>
      <c r="C106" s="6" t="n">
        <v>3</v>
      </c>
      <c r="D106" s="6" t="s">
        <v>637</v>
      </c>
      <c r="E106" s="6" t="s">
        <v>722</v>
      </c>
      <c r="F106" s="6" t="s">
        <v>2</v>
      </c>
    </row>
    <row r="107" customFormat="false" ht="15" hidden="false" customHeight="false" outlineLevel="0" collapsed="false">
      <c r="A107" s="6" t="s">
        <v>458</v>
      </c>
      <c r="B107" s="6" t="s">
        <v>459</v>
      </c>
      <c r="C107" s="6" t="n">
        <v>3</v>
      </c>
      <c r="D107" s="6" t="s">
        <v>637</v>
      </c>
      <c r="E107" s="6" t="s">
        <v>723</v>
      </c>
      <c r="F107" s="6" t="s">
        <v>2</v>
      </c>
    </row>
    <row r="108" customFormat="false" ht="15" hidden="false" customHeight="false" outlineLevel="0" collapsed="false">
      <c r="A108" s="6" t="s">
        <v>460</v>
      </c>
      <c r="B108" s="6" t="s">
        <v>461</v>
      </c>
      <c r="C108" s="6" t="n">
        <v>4</v>
      </c>
      <c r="D108" s="6" t="s">
        <v>637</v>
      </c>
      <c r="E108" s="6" t="s">
        <v>724</v>
      </c>
      <c r="F108" s="6" t="s">
        <v>2</v>
      </c>
    </row>
    <row r="109" customFormat="false" ht="15" hidden="false" customHeight="false" outlineLevel="0" collapsed="false">
      <c r="A109" s="6" t="s">
        <v>462</v>
      </c>
      <c r="B109" s="6" t="s">
        <v>463</v>
      </c>
      <c r="C109" s="6" t="n">
        <v>1</v>
      </c>
      <c r="D109" s="6" t="s">
        <v>637</v>
      </c>
      <c r="E109" s="6" t="s">
        <v>725</v>
      </c>
      <c r="F109" s="6" t="s">
        <v>2</v>
      </c>
    </row>
    <row r="110" customFormat="false" ht="15" hidden="false" customHeight="false" outlineLevel="0" collapsed="false">
      <c r="A110" s="6" t="s">
        <v>464</v>
      </c>
      <c r="B110" s="6" t="s">
        <v>465</v>
      </c>
      <c r="C110" s="6" t="n">
        <v>4</v>
      </c>
      <c r="D110" s="6" t="s">
        <v>637</v>
      </c>
      <c r="E110" s="6" t="s">
        <v>726</v>
      </c>
      <c r="F110" s="6" t="s">
        <v>2</v>
      </c>
    </row>
    <row r="111" customFormat="false" ht="15" hidden="false" customHeight="false" outlineLevel="0" collapsed="false">
      <c r="A111" s="6" t="s">
        <v>466</v>
      </c>
      <c r="B111" s="6" t="s">
        <v>467</v>
      </c>
      <c r="C111" s="6" t="n">
        <v>3</v>
      </c>
      <c r="D111" s="6" t="s">
        <v>637</v>
      </c>
      <c r="E111" s="6" t="s">
        <v>727</v>
      </c>
      <c r="F111" s="6" t="s">
        <v>2</v>
      </c>
    </row>
    <row r="112" customFormat="false" ht="15" hidden="false" customHeight="false" outlineLevel="0" collapsed="false">
      <c r="A112" s="6" t="s">
        <v>468</v>
      </c>
      <c r="B112" s="6" t="s">
        <v>469</v>
      </c>
      <c r="C112" s="6" t="n">
        <v>3</v>
      </c>
      <c r="D112" s="6" t="s">
        <v>637</v>
      </c>
      <c r="E112" s="6" t="s">
        <v>728</v>
      </c>
      <c r="F112" s="6" t="s">
        <v>2</v>
      </c>
    </row>
    <row r="113" customFormat="false" ht="15" hidden="false" customHeight="false" outlineLevel="0" collapsed="false">
      <c r="A113" s="6" t="s">
        <v>470</v>
      </c>
      <c r="B113" s="6" t="s">
        <v>471</v>
      </c>
      <c r="C113" s="6" t="n">
        <v>1</v>
      </c>
      <c r="D113" s="6" t="s">
        <v>637</v>
      </c>
      <c r="E113" s="6" t="s">
        <v>729</v>
      </c>
      <c r="F113" s="6" t="s">
        <v>2</v>
      </c>
    </row>
    <row r="114" customFormat="false" ht="15" hidden="false" customHeight="false" outlineLevel="0" collapsed="false">
      <c r="A114" s="6" t="s">
        <v>472</v>
      </c>
      <c r="B114" s="6" t="s">
        <v>473</v>
      </c>
      <c r="C114" s="6" t="n">
        <v>3</v>
      </c>
      <c r="D114" s="6" t="s">
        <v>637</v>
      </c>
      <c r="E114" s="6" t="s">
        <v>730</v>
      </c>
      <c r="F114" s="6" t="s">
        <v>2</v>
      </c>
    </row>
    <row r="115" customFormat="false" ht="15" hidden="false" customHeight="false" outlineLevel="0" collapsed="false">
      <c r="A115" s="6" t="s">
        <v>474</v>
      </c>
      <c r="B115" s="6" t="s">
        <v>475</v>
      </c>
      <c r="C115" s="6" t="n">
        <v>3</v>
      </c>
      <c r="D115" s="6" t="s">
        <v>637</v>
      </c>
      <c r="E115" s="6" t="s">
        <v>731</v>
      </c>
      <c r="F115" s="6" t="s">
        <v>2</v>
      </c>
    </row>
    <row r="116" customFormat="false" ht="15" hidden="false" customHeight="false" outlineLevel="0" collapsed="false">
      <c r="A116" s="6" t="s">
        <v>476</v>
      </c>
      <c r="B116" s="6" t="s">
        <v>477</v>
      </c>
      <c r="C116" s="6" t="n">
        <v>2</v>
      </c>
      <c r="D116" s="6" t="s">
        <v>637</v>
      </c>
      <c r="E116" s="6" t="s">
        <v>732</v>
      </c>
      <c r="F116" s="6" t="s">
        <v>2</v>
      </c>
    </row>
    <row r="117" customFormat="false" ht="15" hidden="false" customHeight="false" outlineLevel="0" collapsed="false">
      <c r="A117" s="6" t="s">
        <v>478</v>
      </c>
      <c r="B117" s="6" t="s">
        <v>481</v>
      </c>
      <c r="C117" s="6" t="n">
        <v>1</v>
      </c>
      <c r="D117" s="6" t="s">
        <v>637</v>
      </c>
      <c r="E117" s="6" t="s">
        <v>733</v>
      </c>
      <c r="F117" s="6" t="s">
        <v>2</v>
      </c>
    </row>
    <row r="118" customFormat="false" ht="15" hidden="false" customHeight="false" outlineLevel="0" collapsed="false">
      <c r="A118" s="6" t="s">
        <v>482</v>
      </c>
      <c r="B118" s="6" t="s">
        <v>483</v>
      </c>
      <c r="C118" s="6" t="n">
        <v>8</v>
      </c>
      <c r="D118" s="6" t="s">
        <v>637</v>
      </c>
      <c r="E118" s="6" t="s">
        <v>734</v>
      </c>
      <c r="F118" s="6" t="s">
        <v>2</v>
      </c>
    </row>
    <row r="119" customFormat="false" ht="15" hidden="false" customHeight="false" outlineLevel="0" collapsed="false">
      <c r="A119" s="6" t="s">
        <v>485</v>
      </c>
      <c r="B119" s="6" t="s">
        <v>486</v>
      </c>
      <c r="C119" s="6" t="n">
        <v>2</v>
      </c>
      <c r="D119" s="6" t="s">
        <v>637</v>
      </c>
      <c r="E119" s="6" t="s">
        <v>735</v>
      </c>
      <c r="F119" s="6" t="s">
        <v>2</v>
      </c>
    </row>
    <row r="120" customFormat="false" ht="15" hidden="false" customHeight="false" outlineLevel="0" collapsed="false">
      <c r="A120" s="6" t="s">
        <v>487</v>
      </c>
      <c r="B120" s="6" t="s">
        <v>488</v>
      </c>
      <c r="C120" s="6" t="n">
        <v>2</v>
      </c>
      <c r="D120" s="6" t="s">
        <v>637</v>
      </c>
      <c r="E120" s="6" t="s">
        <v>736</v>
      </c>
      <c r="F120" s="6" t="s">
        <v>2</v>
      </c>
    </row>
    <row r="121" customFormat="false" ht="15" hidden="false" customHeight="false" outlineLevel="0" collapsed="false">
      <c r="A121" s="6" t="s">
        <v>489</v>
      </c>
      <c r="B121" s="6" t="s">
        <v>490</v>
      </c>
      <c r="C121" s="6" t="n">
        <v>4</v>
      </c>
      <c r="D121" s="6" t="s">
        <v>637</v>
      </c>
      <c r="E121" s="6" t="s">
        <v>737</v>
      </c>
      <c r="F121" s="6" t="s">
        <v>2</v>
      </c>
    </row>
    <row r="122" customFormat="false" ht="15" hidden="false" customHeight="false" outlineLevel="0" collapsed="false">
      <c r="A122" s="6" t="s">
        <v>491</v>
      </c>
      <c r="B122" s="6" t="s">
        <v>492</v>
      </c>
      <c r="C122" s="6" t="n">
        <v>3</v>
      </c>
      <c r="D122" s="6" t="s">
        <v>637</v>
      </c>
      <c r="E122" s="6" t="s">
        <v>738</v>
      </c>
      <c r="F122" s="6" t="s">
        <v>2</v>
      </c>
    </row>
    <row r="123" customFormat="false" ht="15" hidden="false" customHeight="false" outlineLevel="0" collapsed="false">
      <c r="A123" s="6" t="s">
        <v>493</v>
      </c>
      <c r="B123" s="6" t="s">
        <v>494</v>
      </c>
      <c r="C123" s="6" t="n">
        <v>1</v>
      </c>
      <c r="D123" s="6" t="s">
        <v>637</v>
      </c>
      <c r="E123" s="6" t="s">
        <v>739</v>
      </c>
      <c r="F123" s="6" t="s">
        <v>2</v>
      </c>
    </row>
    <row r="124" customFormat="false" ht="15" hidden="false" customHeight="false" outlineLevel="0" collapsed="false">
      <c r="A124" s="6" t="s">
        <v>495</v>
      </c>
      <c r="B124" s="6" t="s">
        <v>496</v>
      </c>
      <c r="C124" s="6" t="n">
        <v>1</v>
      </c>
      <c r="D124" s="6" t="s">
        <v>637</v>
      </c>
      <c r="E124" s="6" t="s">
        <v>740</v>
      </c>
      <c r="F124" s="6" t="s">
        <v>2</v>
      </c>
    </row>
    <row r="125" customFormat="false" ht="15" hidden="false" customHeight="false" outlineLevel="0" collapsed="false">
      <c r="A125" s="6" t="s">
        <v>497</v>
      </c>
      <c r="B125" s="6" t="s">
        <v>498</v>
      </c>
      <c r="C125" s="6" t="n">
        <v>1</v>
      </c>
      <c r="D125" s="6" t="s">
        <v>637</v>
      </c>
      <c r="E125" s="6" t="s">
        <v>741</v>
      </c>
      <c r="F125" s="6" t="s">
        <v>2</v>
      </c>
    </row>
    <row r="126" customFormat="false" ht="23.85" hidden="false" customHeight="false" outlineLevel="0" collapsed="false">
      <c r="A126" s="6" t="s">
        <v>500</v>
      </c>
      <c r="B126" s="6" t="s">
        <v>501</v>
      </c>
      <c r="C126" s="6" t="n">
        <v>0</v>
      </c>
      <c r="D126" s="8" t="s">
        <v>628</v>
      </c>
      <c r="E126" s="6" t="s">
        <v>742</v>
      </c>
      <c r="F126" s="6" t="s">
        <v>2</v>
      </c>
    </row>
    <row r="127" customFormat="false" ht="15" hidden="false" customHeight="false" outlineLevel="0" collapsed="false">
      <c r="A127" s="6" t="s">
        <v>502</v>
      </c>
      <c r="B127" s="6" t="s">
        <v>505</v>
      </c>
      <c r="C127" s="6" t="n">
        <v>3</v>
      </c>
      <c r="D127" s="6" t="s">
        <v>637</v>
      </c>
      <c r="E127" s="6" t="s">
        <v>743</v>
      </c>
      <c r="F127" s="6" t="s">
        <v>2</v>
      </c>
    </row>
    <row r="128" customFormat="false" ht="15" hidden="false" customHeight="false" outlineLevel="0" collapsed="false">
      <c r="A128" s="6" t="s">
        <v>506</v>
      </c>
      <c r="B128" s="6" t="s">
        <v>507</v>
      </c>
      <c r="C128" s="6" t="n">
        <v>2</v>
      </c>
      <c r="D128" s="6" t="s">
        <v>637</v>
      </c>
      <c r="E128" s="6"/>
      <c r="F128" s="6" t="s">
        <v>2</v>
      </c>
    </row>
    <row r="129" customFormat="false" ht="15" hidden="false" customHeight="false" outlineLevel="0" collapsed="false">
      <c r="A129" s="6" t="s">
        <v>508</v>
      </c>
      <c r="B129" s="6" t="s">
        <v>509</v>
      </c>
      <c r="C129" s="6" t="n">
        <v>3</v>
      </c>
      <c r="D129" s="6" t="s">
        <v>637</v>
      </c>
      <c r="E129" s="6" t="s">
        <v>744</v>
      </c>
      <c r="F129" s="6" t="s">
        <v>2</v>
      </c>
    </row>
    <row r="130" customFormat="false" ht="15" hidden="false" customHeight="false" outlineLevel="0" collapsed="false">
      <c r="A130" s="6" t="s">
        <v>510</v>
      </c>
      <c r="B130" s="6" t="s">
        <v>511</v>
      </c>
      <c r="C130" s="6" t="n">
        <v>2</v>
      </c>
      <c r="D130" s="6" t="s">
        <v>637</v>
      </c>
      <c r="E130" s="6"/>
      <c r="F130" s="6" t="s">
        <v>2</v>
      </c>
    </row>
    <row r="131" customFormat="false" ht="15" hidden="false" customHeight="false" outlineLevel="0" collapsed="false">
      <c r="A131" s="6" t="s">
        <v>512</v>
      </c>
      <c r="B131" s="6" t="s">
        <v>513</v>
      </c>
      <c r="C131" s="6" t="n">
        <v>1</v>
      </c>
      <c r="D131" s="6" t="s">
        <v>637</v>
      </c>
      <c r="E131" s="6"/>
      <c r="F131" s="6" t="s">
        <v>2</v>
      </c>
    </row>
    <row r="132" customFormat="false" ht="15" hidden="false" customHeight="false" outlineLevel="0" collapsed="false">
      <c r="A132" s="6" t="s">
        <v>514</v>
      </c>
      <c r="B132" s="6" t="s">
        <v>515</v>
      </c>
      <c r="C132" s="6" t="n">
        <v>3</v>
      </c>
      <c r="D132" s="6" t="s">
        <v>637</v>
      </c>
      <c r="E132" s="6" t="s">
        <v>745</v>
      </c>
      <c r="F132" s="6" t="s">
        <v>2</v>
      </c>
    </row>
    <row r="133" customFormat="false" ht="15" hidden="false" customHeight="false" outlineLevel="0" collapsed="false">
      <c r="A133" s="6" t="s">
        <v>516</v>
      </c>
      <c r="B133" s="6" t="s">
        <v>517</v>
      </c>
      <c r="C133" s="6" t="n">
        <v>3</v>
      </c>
      <c r="D133" s="6" t="s">
        <v>637</v>
      </c>
      <c r="E133" s="6" t="s">
        <v>746</v>
      </c>
      <c r="F133" s="6" t="s">
        <v>2</v>
      </c>
    </row>
    <row r="134" customFormat="false" ht="15" hidden="false" customHeight="false" outlineLevel="0" collapsed="false">
      <c r="A134" s="6" t="s">
        <v>518</v>
      </c>
      <c r="B134" s="6" t="s">
        <v>519</v>
      </c>
      <c r="C134" s="6" t="n">
        <v>2</v>
      </c>
      <c r="D134" s="6" t="s">
        <v>637</v>
      </c>
      <c r="E134" s="6"/>
      <c r="F134" s="6" t="s">
        <v>2</v>
      </c>
    </row>
    <row r="135" customFormat="false" ht="15" hidden="false" customHeight="false" outlineLevel="0" collapsed="false">
      <c r="A135" s="6" t="s">
        <v>520</v>
      </c>
      <c r="B135" s="6" t="s">
        <v>521</v>
      </c>
      <c r="C135" s="6" t="n">
        <v>3</v>
      </c>
      <c r="D135" s="6" t="s">
        <v>637</v>
      </c>
      <c r="E135" s="6" t="s">
        <v>747</v>
      </c>
      <c r="F135" s="6" t="s">
        <v>2</v>
      </c>
    </row>
    <row r="136" customFormat="false" ht="15" hidden="false" customHeight="false" outlineLevel="0" collapsed="false">
      <c r="A136" s="6" t="s">
        <v>522</v>
      </c>
      <c r="B136" s="6" t="s">
        <v>523</v>
      </c>
      <c r="C136" s="6" t="n">
        <v>1</v>
      </c>
      <c r="D136" s="7" t="s">
        <v>617</v>
      </c>
      <c r="E136" s="6" t="s">
        <v>748</v>
      </c>
      <c r="F136" s="6" t="s">
        <v>2</v>
      </c>
    </row>
    <row r="137" customFormat="false" ht="15" hidden="false" customHeight="false" outlineLevel="0" collapsed="false">
      <c r="A137" s="6" t="s">
        <v>524</v>
      </c>
      <c r="B137" s="6" t="s">
        <v>527</v>
      </c>
      <c r="C137" s="6" t="n">
        <v>3</v>
      </c>
      <c r="D137" s="6" t="s">
        <v>637</v>
      </c>
      <c r="E137" s="6" t="s">
        <v>749</v>
      </c>
      <c r="F137" s="6" t="s">
        <v>2</v>
      </c>
    </row>
    <row r="138" customFormat="false" ht="15" hidden="false" customHeight="false" outlineLevel="0" collapsed="false">
      <c r="A138" s="6" t="s">
        <v>528</v>
      </c>
      <c r="B138" s="6" t="s">
        <v>529</v>
      </c>
      <c r="C138" s="6" t="n">
        <v>4</v>
      </c>
      <c r="D138" s="6" t="s">
        <v>637</v>
      </c>
      <c r="E138" s="6" t="s">
        <v>750</v>
      </c>
      <c r="F138" s="6" t="s">
        <v>2</v>
      </c>
    </row>
    <row r="139" customFormat="false" ht="15" hidden="false" customHeight="false" outlineLevel="0" collapsed="false">
      <c r="A139" s="6" t="s">
        <v>530</v>
      </c>
      <c r="B139" s="6" t="s">
        <v>531</v>
      </c>
      <c r="C139" s="6" t="n">
        <v>3</v>
      </c>
      <c r="D139" s="6" t="s">
        <v>637</v>
      </c>
      <c r="E139" s="6" t="s">
        <v>751</v>
      </c>
      <c r="F139" s="6" t="s">
        <v>2</v>
      </c>
    </row>
    <row r="140" customFormat="false" ht="15" hidden="false" customHeight="false" outlineLevel="0" collapsed="false">
      <c r="A140" s="6" t="s">
        <v>532</v>
      </c>
      <c r="B140" s="6" t="s">
        <v>533</v>
      </c>
      <c r="C140" s="6" t="n">
        <v>3</v>
      </c>
      <c r="D140" s="6" t="s">
        <v>637</v>
      </c>
      <c r="E140" s="6" t="s">
        <v>752</v>
      </c>
      <c r="F140" s="6" t="s">
        <v>2</v>
      </c>
    </row>
    <row r="141" customFormat="false" ht="15" hidden="false" customHeight="false" outlineLevel="0" collapsed="false">
      <c r="A141" s="6" t="s">
        <v>534</v>
      </c>
      <c r="B141" s="6" t="s">
        <v>535</v>
      </c>
      <c r="C141" s="6" t="n">
        <v>3</v>
      </c>
      <c r="D141" s="6" t="s">
        <v>637</v>
      </c>
      <c r="E141" s="6" t="s">
        <v>753</v>
      </c>
      <c r="F141" s="6" t="s">
        <v>2</v>
      </c>
    </row>
    <row r="142" customFormat="false" ht="15" hidden="false" customHeight="false" outlineLevel="0" collapsed="false">
      <c r="A142" s="6" t="s">
        <v>536</v>
      </c>
      <c r="B142" s="6" t="s">
        <v>537</v>
      </c>
      <c r="C142" s="6" t="n">
        <v>3</v>
      </c>
      <c r="D142" s="6" t="s">
        <v>637</v>
      </c>
      <c r="E142" s="6" t="s">
        <v>754</v>
      </c>
      <c r="F142" s="6" t="s">
        <v>2</v>
      </c>
    </row>
    <row r="143" customFormat="false" ht="15" hidden="false" customHeight="false" outlineLevel="0" collapsed="false">
      <c r="A143" s="6" t="s">
        <v>538</v>
      </c>
      <c r="B143" s="6" t="s">
        <v>539</v>
      </c>
      <c r="C143" s="6" t="n">
        <v>2</v>
      </c>
      <c r="D143" s="6" t="s">
        <v>637</v>
      </c>
      <c r="E143" s="6" t="s">
        <v>755</v>
      </c>
      <c r="F143" s="6" t="s">
        <v>2</v>
      </c>
    </row>
    <row r="144" customFormat="false" ht="15" hidden="false" customHeight="false" outlineLevel="0" collapsed="false">
      <c r="A144" s="6" t="s">
        <v>540</v>
      </c>
      <c r="B144" s="6" t="s">
        <v>541</v>
      </c>
      <c r="C144" s="6" t="n">
        <v>4</v>
      </c>
      <c r="D144" s="6" t="s">
        <v>637</v>
      </c>
      <c r="E144" s="6" t="s">
        <v>756</v>
      </c>
      <c r="F144" s="6" t="s">
        <v>2</v>
      </c>
    </row>
    <row r="145" customFormat="false" ht="15" hidden="false" customHeight="false" outlineLevel="0" collapsed="false">
      <c r="A145" s="6" t="s">
        <v>542</v>
      </c>
      <c r="B145" s="6" t="s">
        <v>543</v>
      </c>
      <c r="C145" s="6" t="n">
        <v>2</v>
      </c>
      <c r="D145" s="6" t="s">
        <v>637</v>
      </c>
      <c r="E145" s="6" t="s">
        <v>757</v>
      </c>
      <c r="F145" s="6" t="s">
        <v>2</v>
      </c>
    </row>
    <row r="146" customFormat="false" ht="15" hidden="false" customHeight="false" outlineLevel="0" collapsed="false">
      <c r="A146" s="6" t="s">
        <v>544</v>
      </c>
      <c r="B146" s="6" t="s">
        <v>547</v>
      </c>
      <c r="C146" s="6" t="n">
        <v>2</v>
      </c>
      <c r="D146" s="6" t="s">
        <v>637</v>
      </c>
      <c r="E146" s="6" t="s">
        <v>758</v>
      </c>
      <c r="F146" s="6" t="s">
        <v>2</v>
      </c>
    </row>
    <row r="147" customFormat="false" ht="15" hidden="false" customHeight="false" outlineLevel="0" collapsed="false">
      <c r="A147" s="6" t="s">
        <v>548</v>
      </c>
      <c r="B147" s="6" t="s">
        <v>549</v>
      </c>
      <c r="C147" s="6" t="n">
        <v>4</v>
      </c>
      <c r="D147" s="6" t="s">
        <v>637</v>
      </c>
      <c r="E147" s="6" t="s">
        <v>759</v>
      </c>
      <c r="F147" s="6" t="s">
        <v>2</v>
      </c>
    </row>
    <row r="148" customFormat="false" ht="15" hidden="false" customHeight="false" outlineLevel="0" collapsed="false">
      <c r="A148" s="6" t="s">
        <v>550</v>
      </c>
      <c r="B148" s="6" t="s">
        <v>551</v>
      </c>
      <c r="C148" s="6" t="n">
        <v>3</v>
      </c>
      <c r="D148" s="6" t="s">
        <v>637</v>
      </c>
      <c r="E148" s="6" t="s">
        <v>760</v>
      </c>
      <c r="F148" s="6" t="s">
        <v>2</v>
      </c>
    </row>
    <row r="149" customFormat="false" ht="15" hidden="false" customHeight="false" outlineLevel="0" collapsed="false">
      <c r="A149" s="6" t="s">
        <v>552</v>
      </c>
      <c r="B149" s="6" t="s">
        <v>553</v>
      </c>
      <c r="C149" s="6" t="n">
        <v>2</v>
      </c>
      <c r="D149" s="6" t="s">
        <v>637</v>
      </c>
      <c r="E149" s="6"/>
      <c r="F149" s="6" t="s">
        <v>2</v>
      </c>
    </row>
    <row r="150" customFormat="false" ht="15" hidden="false" customHeight="false" outlineLevel="0" collapsed="false">
      <c r="A150" s="6" t="s">
        <v>555</v>
      </c>
      <c r="B150" s="6" t="s">
        <v>556</v>
      </c>
      <c r="C150" s="6" t="n">
        <v>2</v>
      </c>
      <c r="D150" s="6" t="s">
        <v>637</v>
      </c>
      <c r="E150" s="6" t="s">
        <v>761</v>
      </c>
      <c r="F150" s="6" t="s">
        <v>2</v>
      </c>
    </row>
    <row r="151" customFormat="false" ht="15" hidden="false" customHeight="false" outlineLevel="0" collapsed="false">
      <c r="A151" s="6" t="s">
        <v>557</v>
      </c>
      <c r="B151" s="6" t="s">
        <v>558</v>
      </c>
      <c r="C151" s="6" t="n">
        <v>1</v>
      </c>
      <c r="D151" s="6" t="s">
        <v>637</v>
      </c>
      <c r="E151" s="6"/>
      <c r="F151" s="6" t="s">
        <v>2</v>
      </c>
    </row>
    <row r="152" customFormat="false" ht="15" hidden="false" customHeight="false" outlineLevel="0" collapsed="false">
      <c r="A152" s="6" t="s">
        <v>560</v>
      </c>
      <c r="B152" s="6" t="s">
        <v>561</v>
      </c>
      <c r="C152" s="6" t="n">
        <v>1</v>
      </c>
      <c r="D152" s="7" t="s">
        <v>617</v>
      </c>
      <c r="E152" s="6" t="s">
        <v>762</v>
      </c>
      <c r="F152" s="6" t="s">
        <v>2</v>
      </c>
    </row>
    <row r="153" customFormat="false" ht="15" hidden="false" customHeight="false" outlineLevel="0" collapsed="false">
      <c r="A153" s="6" t="s">
        <v>562</v>
      </c>
      <c r="B153" s="6" t="s">
        <v>563</v>
      </c>
      <c r="C153" s="6" t="n">
        <v>4</v>
      </c>
      <c r="D153" s="6" t="s">
        <v>637</v>
      </c>
      <c r="E153" s="6" t="s">
        <v>763</v>
      </c>
      <c r="F153" s="6" t="s">
        <v>2</v>
      </c>
    </row>
    <row r="154" customFormat="false" ht="15" hidden="false" customHeight="false" outlineLevel="0" collapsed="false">
      <c r="A154" s="6" t="s">
        <v>564</v>
      </c>
      <c r="B154" s="6" t="s">
        <v>566</v>
      </c>
      <c r="C154" s="6" t="n">
        <v>3</v>
      </c>
      <c r="D154" s="6" t="s">
        <v>637</v>
      </c>
      <c r="E154" s="6" t="s">
        <v>764</v>
      </c>
      <c r="F154" s="6" t="s">
        <v>2</v>
      </c>
    </row>
    <row r="155" customFormat="false" ht="15" hidden="false" customHeight="false" outlineLevel="0" collapsed="false">
      <c r="A155" s="6" t="s">
        <v>567</v>
      </c>
      <c r="B155" s="6" t="s">
        <v>568</v>
      </c>
      <c r="C155" s="6" t="n">
        <v>3</v>
      </c>
      <c r="D155" s="6" t="s">
        <v>637</v>
      </c>
      <c r="E155" s="6" t="s">
        <v>765</v>
      </c>
      <c r="F155" s="6" t="s">
        <v>2</v>
      </c>
    </row>
    <row r="156" customFormat="false" ht="15" hidden="false" customHeight="false" outlineLevel="0" collapsed="false">
      <c r="A156" s="6" t="s">
        <v>569</v>
      </c>
      <c r="B156" s="6" t="s">
        <v>570</v>
      </c>
      <c r="C156" s="6" t="n">
        <v>2</v>
      </c>
      <c r="D156" s="6" t="s">
        <v>637</v>
      </c>
      <c r="E156" s="6" t="s">
        <v>766</v>
      </c>
      <c r="F156" s="6" t="s">
        <v>2</v>
      </c>
    </row>
    <row r="157" customFormat="false" ht="15" hidden="false" customHeight="false" outlineLevel="0" collapsed="false">
      <c r="A157" s="6" t="s">
        <v>571</v>
      </c>
      <c r="B157" s="6" t="s">
        <v>572</v>
      </c>
      <c r="C157" s="6" t="n">
        <v>2</v>
      </c>
      <c r="D157" s="7" t="s">
        <v>617</v>
      </c>
      <c r="E157" s="6" t="s">
        <v>767</v>
      </c>
      <c r="F157" s="6" t="s">
        <v>2</v>
      </c>
    </row>
    <row r="158" customFormat="false" ht="15" hidden="false" customHeight="false" outlineLevel="0" collapsed="false">
      <c r="A158" s="6" t="s">
        <v>573</v>
      </c>
      <c r="B158" s="6" t="s">
        <v>574</v>
      </c>
      <c r="C158" s="6" t="n">
        <v>3</v>
      </c>
      <c r="D158" s="6" t="s">
        <v>637</v>
      </c>
      <c r="E158" s="6" t="s">
        <v>768</v>
      </c>
      <c r="F158" s="6" t="s">
        <v>2</v>
      </c>
    </row>
    <row r="159" customFormat="false" ht="15" hidden="false" customHeight="false" outlineLevel="0" collapsed="false">
      <c r="A159" s="6" t="s">
        <v>575</v>
      </c>
      <c r="B159" s="6" t="s">
        <v>576</v>
      </c>
      <c r="C159" s="6" t="n">
        <v>1</v>
      </c>
      <c r="D159" s="6" t="s">
        <v>637</v>
      </c>
      <c r="E159" s="6" t="s">
        <v>769</v>
      </c>
      <c r="F159" s="6" t="s">
        <v>2</v>
      </c>
    </row>
    <row r="160" customFormat="false" ht="15" hidden="false" customHeight="false" outlineLevel="0" collapsed="false">
      <c r="A160" s="6" t="s">
        <v>577</v>
      </c>
      <c r="B160" s="6" t="s">
        <v>578</v>
      </c>
      <c r="C160" s="6" t="n">
        <v>4</v>
      </c>
      <c r="D160" s="6" t="s">
        <v>637</v>
      </c>
      <c r="E160" s="6" t="s">
        <v>770</v>
      </c>
      <c r="F160" s="6" t="s">
        <v>2</v>
      </c>
    </row>
    <row r="161" customFormat="false" ht="15" hidden="false" customHeight="false" outlineLevel="0" collapsed="false">
      <c r="A161" s="6" t="s">
        <v>579</v>
      </c>
      <c r="B161" s="6" t="s">
        <v>581</v>
      </c>
      <c r="C161" s="6" t="n">
        <v>1</v>
      </c>
      <c r="D161" s="7" t="s">
        <v>617</v>
      </c>
      <c r="E161" s="6" t="s">
        <v>771</v>
      </c>
      <c r="F161" s="6" t="s">
        <v>2</v>
      </c>
    </row>
    <row r="162" customFormat="false" ht="15" hidden="false" customHeight="false" outlineLevel="0" collapsed="false">
      <c r="A162" s="6" t="s">
        <v>582</v>
      </c>
      <c r="B162" s="6" t="s">
        <v>583</v>
      </c>
      <c r="C162" s="6" t="n">
        <v>4</v>
      </c>
      <c r="D162" s="6" t="s">
        <v>637</v>
      </c>
      <c r="E162" s="6" t="s">
        <v>772</v>
      </c>
      <c r="F162" s="6" t="s">
        <v>2</v>
      </c>
    </row>
    <row r="163" customFormat="false" ht="15" hidden="false" customHeight="false" outlineLevel="0" collapsed="false">
      <c r="A163" s="6" t="s">
        <v>584</v>
      </c>
      <c r="B163" s="6" t="s">
        <v>585</v>
      </c>
      <c r="C163" s="6" t="n">
        <v>2</v>
      </c>
      <c r="D163" s="6" t="s">
        <v>637</v>
      </c>
      <c r="E163" s="6"/>
      <c r="F163" s="6" t="s">
        <v>2</v>
      </c>
    </row>
    <row r="164" customFormat="false" ht="15" hidden="false" customHeight="false" outlineLevel="0" collapsed="false">
      <c r="A164" s="6" t="s">
        <v>587</v>
      </c>
      <c r="B164" s="6" t="s">
        <v>588</v>
      </c>
      <c r="C164" s="6" t="n">
        <v>5</v>
      </c>
      <c r="D164" s="6" t="s">
        <v>637</v>
      </c>
      <c r="E164" s="6" t="s">
        <v>773</v>
      </c>
      <c r="F164" s="6" t="s">
        <v>2</v>
      </c>
    </row>
    <row r="165" customFormat="false" ht="15" hidden="false" customHeight="false" outlineLevel="0" collapsed="false">
      <c r="A165" s="6" t="s">
        <v>589</v>
      </c>
      <c r="B165" s="6" t="s">
        <v>590</v>
      </c>
      <c r="C165" s="6" t="n">
        <v>2</v>
      </c>
      <c r="D165" s="7" t="s">
        <v>617</v>
      </c>
      <c r="E165" s="6" t="s">
        <v>774</v>
      </c>
      <c r="F165" s="6" t="s">
        <v>2</v>
      </c>
    </row>
    <row r="166" customFormat="false" ht="15" hidden="false" customHeight="false" outlineLevel="0" collapsed="false">
      <c r="A166" s="6" t="s">
        <v>591</v>
      </c>
      <c r="B166" s="6" t="s">
        <v>592</v>
      </c>
      <c r="C166" s="6" t="n">
        <v>4</v>
      </c>
      <c r="D166" s="6" t="s">
        <v>637</v>
      </c>
      <c r="E166" s="6" t="s">
        <v>775</v>
      </c>
      <c r="F166" s="6" t="s">
        <v>2</v>
      </c>
    </row>
    <row r="167" customFormat="false" ht="15" hidden="false" customHeight="false" outlineLevel="0" collapsed="false">
      <c r="A167" s="6" t="s">
        <v>593</v>
      </c>
      <c r="B167" s="6" t="s">
        <v>594</v>
      </c>
      <c r="C167" s="6" t="n">
        <v>0</v>
      </c>
      <c r="D167" s="8" t="s">
        <v>628</v>
      </c>
      <c r="E167" s="6" t="s">
        <v>776</v>
      </c>
      <c r="F167" s="6" t="s">
        <v>2</v>
      </c>
    </row>
    <row r="168" customFormat="false" ht="15" hidden="false" customHeight="false" outlineLevel="0" collapsed="false">
      <c r="A168" s="6" t="s">
        <v>595</v>
      </c>
      <c r="B168" s="6" t="s">
        <v>598</v>
      </c>
      <c r="C168" s="6" t="n">
        <v>2</v>
      </c>
      <c r="D168" s="6" t="s">
        <v>637</v>
      </c>
      <c r="E168" s="6"/>
      <c r="F168" s="6" t="s">
        <v>2</v>
      </c>
    </row>
    <row r="169" customFormat="false" ht="23.85" hidden="false" customHeight="false" outlineLevel="0" collapsed="false">
      <c r="A169" s="6" t="s">
        <v>600</v>
      </c>
      <c r="B169" s="6" t="s">
        <v>601</v>
      </c>
      <c r="C169" s="6" t="n">
        <v>2</v>
      </c>
      <c r="D169" s="6" t="s">
        <v>637</v>
      </c>
      <c r="E169" s="6" t="s">
        <v>777</v>
      </c>
      <c r="F169" s="6" t="s">
        <v>2</v>
      </c>
    </row>
    <row r="170" customFormat="false" ht="15" hidden="false" customHeight="false" outlineLevel="0" collapsed="false">
      <c r="A170" s="6" t="s">
        <v>602</v>
      </c>
      <c r="B170" s="6" t="s">
        <v>603</v>
      </c>
      <c r="C170" s="6" t="n">
        <v>3</v>
      </c>
      <c r="D170" s="6" t="s">
        <v>637</v>
      </c>
      <c r="E170" s="6" t="s">
        <v>778</v>
      </c>
      <c r="F170" s="6" t="s">
        <v>2</v>
      </c>
    </row>
    <row r="171" customFormat="false" ht="15" hidden="false" customHeight="false" outlineLevel="0" collapsed="false">
      <c r="A171" s="6" t="s">
        <v>604</v>
      </c>
      <c r="B171" s="6" t="s">
        <v>605</v>
      </c>
      <c r="C171" s="6" t="n">
        <v>1</v>
      </c>
      <c r="D171" s="6" t="s">
        <v>637</v>
      </c>
      <c r="E171" s="6"/>
      <c r="F171" s="6" t="s">
        <v>2</v>
      </c>
    </row>
    <row r="172" customFormat="false" ht="15" hidden="false" customHeight="false" outlineLevel="0" collapsed="false">
      <c r="A172" s="6" t="s">
        <v>606</v>
      </c>
      <c r="B172" s="6" t="s">
        <v>607</v>
      </c>
      <c r="C172" s="6" t="n">
        <v>2</v>
      </c>
      <c r="D172" s="6" t="s">
        <v>637</v>
      </c>
      <c r="E172" s="6" t="s">
        <v>779</v>
      </c>
      <c r="F172" s="6" t="s">
        <v>2</v>
      </c>
    </row>
    <row r="173" customFormat="false" ht="15" hidden="false" customHeight="false" outlineLevel="0" collapsed="false">
      <c r="A173" s="6" t="s">
        <v>608</v>
      </c>
      <c r="B173" s="6" t="s">
        <v>609</v>
      </c>
      <c r="C173" s="6" t="n">
        <v>1</v>
      </c>
      <c r="D173" s="6" t="s">
        <v>637</v>
      </c>
      <c r="E173" s="6"/>
      <c r="F173" s="6" t="s">
        <v>2</v>
      </c>
    </row>
    <row r="174" customFormat="false" ht="15" hidden="false" customHeight="false" outlineLevel="0" collapsed="false">
      <c r="A174" s="6" t="s">
        <v>610</v>
      </c>
      <c r="B174" s="6" t="s">
        <v>611</v>
      </c>
      <c r="C174" s="6" t="n">
        <v>3</v>
      </c>
      <c r="D174" s="6" t="s">
        <v>637</v>
      </c>
      <c r="E174" s="6" t="s">
        <v>780</v>
      </c>
      <c r="F174" s="6" t="s">
        <v>2</v>
      </c>
    </row>
    <row r="175" customFormat="false" ht="15" hidden="false" customHeight="false" outlineLevel="0" collapsed="false">
      <c r="A175" s="6" t="s">
        <v>612</v>
      </c>
      <c r="B175" s="6" t="s">
        <v>613</v>
      </c>
      <c r="C175" s="6" t="n">
        <v>1</v>
      </c>
      <c r="D175" s="7" t="s">
        <v>617</v>
      </c>
      <c r="E175" s="6" t="s">
        <v>781</v>
      </c>
      <c r="F175" s="6" t="s">
        <v>2</v>
      </c>
    </row>
    <row r="177" customFormat="false" ht="15" hidden="false" customHeight="false" outlineLevel="0" collapsed="false">
      <c r="A177" s="9" t="s">
        <v>782</v>
      </c>
    </row>
    <row r="178" customFormat="false" ht="15" hidden="false" customHeight="false" outlineLevel="0" collapsed="false">
      <c r="A178" s="10" t="s">
        <v>35</v>
      </c>
      <c r="B178" s="10" t="s">
        <v>41</v>
      </c>
      <c r="C178" s="10" t="s">
        <v>783</v>
      </c>
    </row>
    <row r="179" customFormat="false" ht="79.85" hidden="false" customHeight="false" outlineLevel="0" collapsed="false">
      <c r="A179" s="6" t="s">
        <v>44</v>
      </c>
      <c r="B179" s="6" t="s">
        <v>784</v>
      </c>
      <c r="C179" s="6" t="s">
        <v>785</v>
      </c>
    </row>
    <row r="180" customFormat="false" ht="79.85" hidden="false" customHeight="false" outlineLevel="0" collapsed="false">
      <c r="A180" s="6" t="s">
        <v>132</v>
      </c>
      <c r="B180" s="6" t="s">
        <v>784</v>
      </c>
      <c r="C180" s="6" t="s">
        <v>786</v>
      </c>
    </row>
    <row r="181" customFormat="false" ht="68.65" hidden="false" customHeight="false" outlineLevel="0" collapsed="false">
      <c r="A181" s="6" t="s">
        <v>174</v>
      </c>
      <c r="B181" s="6" t="s">
        <v>784</v>
      </c>
      <c r="C181" s="6" t="s">
        <v>787</v>
      </c>
    </row>
    <row r="182" customFormat="false" ht="102.2" hidden="false" customHeight="false" outlineLevel="0" collapsed="false">
      <c r="A182" s="6" t="s">
        <v>271</v>
      </c>
      <c r="B182" s="6" t="s">
        <v>784</v>
      </c>
      <c r="C182" s="6" t="s">
        <v>788</v>
      </c>
    </row>
    <row r="183" customFormat="false" ht="102.2" hidden="false" customHeight="false" outlineLevel="0" collapsed="false">
      <c r="A183" s="6" t="s">
        <v>312</v>
      </c>
      <c r="B183" s="6" t="s">
        <v>784</v>
      </c>
      <c r="C183" s="6" t="s">
        <v>789</v>
      </c>
    </row>
    <row r="184" customFormat="false" ht="102.2" hidden="false" customHeight="false" outlineLevel="0" collapsed="false">
      <c r="A184" s="6" t="s">
        <v>385</v>
      </c>
      <c r="B184" s="6" t="s">
        <v>784</v>
      </c>
      <c r="C184" s="6" t="s">
        <v>790</v>
      </c>
    </row>
    <row r="185" customFormat="false" ht="57.45" hidden="false" customHeight="false" outlineLevel="0" collapsed="false">
      <c r="A185" s="6" t="s">
        <v>429</v>
      </c>
      <c r="B185" s="6" t="s">
        <v>784</v>
      </c>
      <c r="C185" s="6" t="s">
        <v>791</v>
      </c>
    </row>
    <row r="186" customFormat="false" ht="35.05" hidden="false" customHeight="false" outlineLevel="0" collapsed="false">
      <c r="A186" s="6" t="s">
        <v>451</v>
      </c>
      <c r="B186" s="6" t="s">
        <v>784</v>
      </c>
      <c r="C186" s="6" t="s">
        <v>791</v>
      </c>
    </row>
    <row r="187" customFormat="false" ht="102.2" hidden="false" customHeight="false" outlineLevel="0" collapsed="false">
      <c r="A187" s="6" t="s">
        <v>479</v>
      </c>
      <c r="B187" s="6" t="s">
        <v>784</v>
      </c>
      <c r="C187" s="6" t="s">
        <v>792</v>
      </c>
    </row>
    <row r="188" customFormat="false" ht="79.85" hidden="false" customHeight="false" outlineLevel="0" collapsed="false">
      <c r="A188" s="6" t="s">
        <v>503</v>
      </c>
      <c r="B188" s="6" t="s">
        <v>784</v>
      </c>
      <c r="C188" s="6" t="s">
        <v>793</v>
      </c>
    </row>
    <row r="189" customFormat="false" ht="79.85" hidden="false" customHeight="false" outlineLevel="0" collapsed="false">
      <c r="A189" s="6" t="s">
        <v>525</v>
      </c>
      <c r="B189" s="6" t="s">
        <v>784</v>
      </c>
      <c r="C189" s="6" t="s">
        <v>794</v>
      </c>
    </row>
    <row r="190" customFormat="false" ht="91" hidden="false" customHeight="false" outlineLevel="0" collapsed="false">
      <c r="A190" s="6" t="s">
        <v>545</v>
      </c>
      <c r="B190" s="6" t="s">
        <v>784</v>
      </c>
      <c r="C190" s="6" t="s">
        <v>795</v>
      </c>
    </row>
    <row r="191" customFormat="false" ht="79.85" hidden="false" customHeight="false" outlineLevel="0" collapsed="false">
      <c r="A191" s="6" t="s">
        <v>596</v>
      </c>
      <c r="B191" s="6" t="s">
        <v>784</v>
      </c>
      <c r="C191" s="6" t="s">
        <v>796</v>
      </c>
    </row>
  </sheetData>
  <autoFilter ref="A1:F1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31.5" hidden="false" customHeight="true" outlineLevel="0" collapsed="false">
      <c r="A1" s="5" t="s">
        <v>34</v>
      </c>
      <c r="B1" s="5" t="s">
        <v>797</v>
      </c>
      <c r="C1" s="5" t="s">
        <v>798</v>
      </c>
      <c r="D1" s="5" t="s">
        <v>799</v>
      </c>
      <c r="E1" s="5" t="s">
        <v>800</v>
      </c>
      <c r="F1" s="5" t="s">
        <v>41</v>
      </c>
    </row>
    <row r="2" customFormat="false" ht="23.85" hidden="false" customHeight="false" outlineLevel="0" collapsed="false">
      <c r="A2" s="6" t="s">
        <v>288</v>
      </c>
      <c r="B2" s="11" t="s">
        <v>801</v>
      </c>
      <c r="C2" s="6" t="s">
        <v>802</v>
      </c>
      <c r="D2" s="6" t="s">
        <v>803</v>
      </c>
      <c r="E2" s="6" t="s">
        <v>804</v>
      </c>
      <c r="F2" s="6" t="s">
        <v>805</v>
      </c>
    </row>
    <row r="3" customFormat="false" ht="23.85" hidden="false" customHeight="false" outlineLevel="0" collapsed="false">
      <c r="A3" s="6" t="s">
        <v>301</v>
      </c>
      <c r="B3" s="11" t="s">
        <v>806</v>
      </c>
      <c r="C3" s="6" t="s">
        <v>807</v>
      </c>
      <c r="D3" s="6" t="s">
        <v>808</v>
      </c>
      <c r="E3" s="6" t="s">
        <v>809</v>
      </c>
      <c r="F3" s="6" t="s">
        <v>805</v>
      </c>
    </row>
    <row r="4" customFormat="false" ht="23.85" hidden="false" customHeight="false" outlineLevel="0" collapsed="false">
      <c r="A4" s="6" t="s">
        <v>328</v>
      </c>
      <c r="B4" s="11" t="s">
        <v>810</v>
      </c>
      <c r="C4" s="6" t="s">
        <v>811</v>
      </c>
      <c r="D4" s="6" t="s">
        <v>812</v>
      </c>
      <c r="E4" s="6" t="s">
        <v>809</v>
      </c>
      <c r="F4" s="6" t="s">
        <v>805</v>
      </c>
    </row>
    <row r="5" customFormat="false" ht="23.85" hidden="false" customHeight="false" outlineLevel="0" collapsed="false">
      <c r="A5" s="6" t="s">
        <v>328</v>
      </c>
      <c r="B5" s="11" t="s">
        <v>813</v>
      </c>
      <c r="C5" s="6" t="s">
        <v>814</v>
      </c>
      <c r="D5" s="6" t="s">
        <v>815</v>
      </c>
      <c r="E5" s="6" t="s">
        <v>816</v>
      </c>
      <c r="F5" s="6" t="s">
        <v>805</v>
      </c>
    </row>
    <row r="6" customFormat="false" ht="23.85" hidden="false" customHeight="false" outlineLevel="0" collapsed="false">
      <c r="A6" s="6" t="s">
        <v>361</v>
      </c>
      <c r="B6" s="11" t="s">
        <v>817</v>
      </c>
      <c r="C6" s="6" t="s">
        <v>818</v>
      </c>
      <c r="D6" s="6" t="s">
        <v>819</v>
      </c>
      <c r="E6" s="6" t="s">
        <v>820</v>
      </c>
      <c r="F6" s="6" t="s">
        <v>805</v>
      </c>
    </row>
    <row r="7" customFormat="false" ht="23.85" hidden="false" customHeight="false" outlineLevel="0" collapsed="false">
      <c r="A7" s="6" t="s">
        <v>374</v>
      </c>
      <c r="B7" s="11" t="s">
        <v>821</v>
      </c>
      <c r="C7" s="6" t="s">
        <v>822</v>
      </c>
      <c r="D7" s="6" t="s">
        <v>823</v>
      </c>
      <c r="E7" s="6" t="s">
        <v>809</v>
      </c>
      <c r="F7" s="6" t="s">
        <v>805</v>
      </c>
    </row>
    <row r="8" customFormat="false" ht="23.85" hidden="false" customHeight="false" outlineLevel="0" collapsed="false">
      <c r="A8" s="6" t="s">
        <v>370</v>
      </c>
      <c r="B8" s="11" t="s">
        <v>824</v>
      </c>
      <c r="C8" s="6" t="s">
        <v>825</v>
      </c>
      <c r="D8" s="6" t="s">
        <v>826</v>
      </c>
      <c r="E8" s="6" t="s">
        <v>809</v>
      </c>
      <c r="F8" s="6" t="s">
        <v>805</v>
      </c>
    </row>
    <row r="9" customFormat="false" ht="23.85" hidden="false" customHeight="false" outlineLevel="0" collapsed="false">
      <c r="A9" s="6" t="s">
        <v>348</v>
      </c>
      <c r="B9" s="11" t="s">
        <v>827</v>
      </c>
      <c r="C9" s="6" t="s">
        <v>828</v>
      </c>
      <c r="D9" s="6" t="s">
        <v>829</v>
      </c>
      <c r="E9" s="6" t="s">
        <v>830</v>
      </c>
      <c r="F9" s="6" t="s">
        <v>805</v>
      </c>
    </row>
    <row r="10" customFormat="false" ht="23.85" hidden="false" customHeight="false" outlineLevel="0" collapsed="false">
      <c r="A10" s="6" t="s">
        <v>398</v>
      </c>
      <c r="B10" s="11" t="s">
        <v>831</v>
      </c>
      <c r="C10" s="6" t="s">
        <v>832</v>
      </c>
      <c r="D10" s="6" t="s">
        <v>833</v>
      </c>
      <c r="E10" s="6" t="s">
        <v>834</v>
      </c>
      <c r="F10" s="6" t="s">
        <v>805</v>
      </c>
    </row>
    <row r="11" customFormat="false" ht="23.85" hidden="false" customHeight="false" outlineLevel="0" collapsed="false">
      <c r="A11" s="6" t="s">
        <v>522</v>
      </c>
      <c r="B11" s="11" t="s">
        <v>835</v>
      </c>
      <c r="C11" s="6" t="s">
        <v>836</v>
      </c>
      <c r="D11" s="6" t="s">
        <v>837</v>
      </c>
      <c r="E11" s="6" t="s">
        <v>838</v>
      </c>
      <c r="F11" s="6" t="s">
        <v>805</v>
      </c>
    </row>
    <row r="12" customFormat="false" ht="23.85" hidden="false" customHeight="false" outlineLevel="0" collapsed="false">
      <c r="A12" s="6" t="s">
        <v>579</v>
      </c>
      <c r="B12" s="11" t="s">
        <v>839</v>
      </c>
      <c r="C12" s="6" t="s">
        <v>840</v>
      </c>
      <c r="D12" s="6" t="s">
        <v>833</v>
      </c>
      <c r="E12" s="6" t="s">
        <v>834</v>
      </c>
      <c r="F12" s="6" t="s">
        <v>805</v>
      </c>
    </row>
    <row r="13" customFormat="false" ht="23.85" hidden="false" customHeight="false" outlineLevel="0" collapsed="false">
      <c r="A13" s="6" t="s">
        <v>575</v>
      </c>
      <c r="B13" s="11" t="s">
        <v>841</v>
      </c>
      <c r="C13" s="6" t="s">
        <v>842</v>
      </c>
      <c r="D13" s="6" t="s">
        <v>843</v>
      </c>
      <c r="E13" s="6" t="s">
        <v>844</v>
      </c>
      <c r="F13" s="6" t="s">
        <v>805</v>
      </c>
    </row>
    <row r="14" customFormat="false" ht="23.85" hidden="false" customHeight="false" outlineLevel="0" collapsed="false">
      <c r="A14" s="6" t="s">
        <v>221</v>
      </c>
      <c r="B14" s="11" t="s">
        <v>845</v>
      </c>
      <c r="C14" s="6" t="s">
        <v>846</v>
      </c>
      <c r="D14" s="6" t="s">
        <v>847</v>
      </c>
      <c r="E14" s="6" t="s">
        <v>848</v>
      </c>
      <c r="F14" s="6" t="s">
        <v>805</v>
      </c>
    </row>
  </sheetData>
  <hyperlinks>
    <hyperlink ref="B2" r:id="rId1" display="https://www.youtube.com/watch?v=GgEFNTCF3hE"/>
    <hyperlink ref="B3" r:id="rId2" display="https://www.youtube.com/watch?v=oUO9OtDKkIo"/>
    <hyperlink ref="B4" r:id="rId3" display="https://www.youtube.com/watch?v=EHNIZ5YyVgw"/>
    <hyperlink ref="B5" r:id="rId4" display="https://www.youtube.com/watch?v=oQkzUPrnVt8"/>
    <hyperlink ref="B6" r:id="rId5" display="https://www.youtube.com/watch?v=mS5n2wNjuDs"/>
    <hyperlink ref="B7" r:id="rId6" display="https://www.youtube.com/watch?v=yGlP6mraFsI"/>
    <hyperlink ref="B8" r:id="rId7" display="https://www.youtube.com/watch?v=1RNmygm6Crs"/>
    <hyperlink ref="B9" r:id="rId8" display="https://www.youtube.com/watch?v=G-LbrNbOd-Y"/>
    <hyperlink ref="B10" r:id="rId9" display="https://www.youtube.com/watch?v=QiS7Xxya_2U"/>
    <hyperlink ref="B11" r:id="rId10" display="https://www.youtube.com/watch?v=cnDPPfMtdEk"/>
    <hyperlink ref="B12" r:id="rId11" display="https://www.youtube.com/watch?v=2SIZOqJiUt4"/>
    <hyperlink ref="B13" r:id="rId12" display="https://www.youtube.com/watch?v=2lgt7C4Ijf4"/>
    <hyperlink ref="B14" r:id="rId13" display="https://www.youtube.com/watch?v=tnXdSOkVJs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3" min="12" style="0" width="14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23" min="18" style="0" width="9"/>
    <col collapsed="false" customWidth="true" hidden="false" outlineLevel="0" max="24" min="24" style="0" width="12"/>
    <col collapsed="false" customWidth="true" hidden="false" outlineLevel="0" max="25" min="25" style="0" width="44"/>
  </cols>
  <sheetData>
    <row r="1" customFormat="false" ht="31.5" hidden="false" customHeight="true" outlineLevel="0" collapsed="false">
      <c r="A1" s="5" t="s">
        <v>7</v>
      </c>
      <c r="B1" s="5" t="s">
        <v>849</v>
      </c>
      <c r="C1" s="5" t="s">
        <v>850</v>
      </c>
      <c r="D1" s="5" t="s">
        <v>851</v>
      </c>
      <c r="E1" s="5" t="s">
        <v>852</v>
      </c>
      <c r="F1" s="5" t="s">
        <v>797</v>
      </c>
      <c r="G1" s="5" t="s">
        <v>853</v>
      </c>
      <c r="H1" s="5" t="s">
        <v>854</v>
      </c>
      <c r="I1" s="5" t="s">
        <v>855</v>
      </c>
      <c r="J1" s="5" t="s">
        <v>856</v>
      </c>
      <c r="K1" s="5" t="s">
        <v>857</v>
      </c>
      <c r="L1" s="5" t="s">
        <v>858</v>
      </c>
      <c r="M1" s="5" t="s">
        <v>859</v>
      </c>
      <c r="N1" s="5" t="s">
        <v>860</v>
      </c>
      <c r="O1" s="5" t="s">
        <v>861</v>
      </c>
      <c r="P1" s="5" t="s">
        <v>862</v>
      </c>
      <c r="Q1" s="5" t="s">
        <v>863</v>
      </c>
      <c r="R1" s="5" t="s">
        <v>864</v>
      </c>
      <c r="S1" s="5" t="s">
        <v>865</v>
      </c>
      <c r="T1" s="5" t="s">
        <v>866</v>
      </c>
      <c r="U1" s="5" t="s">
        <v>867</v>
      </c>
      <c r="V1" s="5" t="s">
        <v>868</v>
      </c>
      <c r="W1" s="5" t="s">
        <v>869</v>
      </c>
      <c r="X1" s="5" t="s">
        <v>870</v>
      </c>
      <c r="Y1" s="5" t="s">
        <v>783</v>
      </c>
    </row>
    <row r="2" customFormat="false" ht="23.85" hidden="false" customHeight="false" outlineLevel="0" collapsed="false">
      <c r="A2" s="6" t="s">
        <v>871</v>
      </c>
      <c r="B2" s="6" t="s">
        <v>173</v>
      </c>
      <c r="C2" s="6" t="s">
        <v>177</v>
      </c>
      <c r="D2" s="6" t="str">
        <f aca="false">IFERROR(INDEX(Mundarija!$D:$D,MATCH(B2,Mundarija!$A:$A,0)),"kod topilmadi")</f>
        <v>10.1. Jigar segmentlari, normal anatomiyasi va o‘lchamlari.</v>
      </c>
      <c r="E2" s="6" t="s">
        <v>872</v>
      </c>
      <c r="F2" s="11" t="s">
        <v>873</v>
      </c>
      <c r="G2" s="6" t="s">
        <v>874</v>
      </c>
      <c r="H2" s="6" t="s">
        <v>875</v>
      </c>
      <c r="I2" s="6" t="s">
        <v>876</v>
      </c>
      <c r="J2" s="6" t="s">
        <v>877</v>
      </c>
      <c r="K2" s="6" t="s">
        <v>878</v>
      </c>
      <c r="L2" s="6" t="s">
        <v>879</v>
      </c>
      <c r="M2" s="6" t="s">
        <v>880</v>
      </c>
      <c r="N2" s="12" t="s">
        <v>881</v>
      </c>
      <c r="O2" s="6" t="s">
        <v>882</v>
      </c>
      <c r="P2" s="6" t="s">
        <v>2</v>
      </c>
      <c r="Q2" s="6" t="s">
        <v>20</v>
      </c>
      <c r="R2" s="12"/>
      <c r="S2" s="12"/>
      <c r="T2" s="12"/>
      <c r="U2" s="12"/>
      <c r="V2" s="12"/>
      <c r="W2" s="12"/>
      <c r="X2" s="6" t="str">
        <f aca="false">IF(COUNT(R2:W2)=6,SUM(R2:W2),"ko‘rilmagan")</f>
        <v>ko‘rilmagan</v>
      </c>
      <c r="Y2" s="12" t="s">
        <v>883</v>
      </c>
    </row>
    <row r="3" customFormat="false" ht="23.85" hidden="false" customHeight="false" outlineLevel="0" collapsed="false">
      <c r="A3" s="6" t="s">
        <v>884</v>
      </c>
      <c r="B3" s="6" t="s">
        <v>173</v>
      </c>
      <c r="C3" s="6"/>
      <c r="D3" s="6" t="str">
        <f aca="false">IFERROR(INDEX(Mundarija!$D:$D,MATCH(B3,Mundarija!$A:$A,0)),"kod topilmadi")</f>
        <v>10.1. Jigar segmentlari, normal anatomiyasi va o‘lchamlari.</v>
      </c>
      <c r="E3" s="6" t="s">
        <v>885</v>
      </c>
      <c r="F3" s="11" t="s">
        <v>886</v>
      </c>
      <c r="G3" s="6" t="s">
        <v>887</v>
      </c>
      <c r="H3" s="6" t="s">
        <v>888</v>
      </c>
      <c r="I3" s="6" t="s">
        <v>889</v>
      </c>
      <c r="J3" s="6" t="s">
        <v>890</v>
      </c>
      <c r="K3" s="6" t="s">
        <v>878</v>
      </c>
      <c r="L3" s="6" t="s">
        <v>879</v>
      </c>
      <c r="M3" s="6" t="s">
        <v>891</v>
      </c>
      <c r="N3" s="12" t="s">
        <v>881</v>
      </c>
      <c r="O3" s="6" t="s">
        <v>882</v>
      </c>
      <c r="P3" s="6" t="s">
        <v>2</v>
      </c>
      <c r="Q3" s="6" t="s">
        <v>20</v>
      </c>
      <c r="R3" s="12"/>
      <c r="S3" s="12"/>
      <c r="T3" s="12"/>
      <c r="U3" s="12"/>
      <c r="V3" s="12"/>
      <c r="W3" s="12"/>
      <c r="X3" s="6" t="str">
        <f aca="false">IF(COUNT(R3:W3)=6,SUM(R3:W3),"ko‘rilmagan")</f>
        <v>ko‘rilmagan</v>
      </c>
      <c r="Y3" s="12" t="s">
        <v>883</v>
      </c>
    </row>
    <row r="4" customFormat="false" ht="23.85" hidden="false" customHeight="false" outlineLevel="0" collapsed="false">
      <c r="A4" s="6" t="s">
        <v>892</v>
      </c>
      <c r="B4" s="6" t="s">
        <v>177</v>
      </c>
      <c r="C4" s="6"/>
      <c r="D4" s="6" t="str">
        <f aca="false">IFERROR(INDEX(Mundarija!$D:$D,MATCH(B4,Mundarija!$A:$A,0)),"kod topilmadi")</f>
        <v>10.2. Jigarni standart tekshirish protokoli.</v>
      </c>
      <c r="E4" s="6" t="s">
        <v>893</v>
      </c>
      <c r="F4" s="11" t="s">
        <v>894</v>
      </c>
      <c r="G4" s="6" t="s">
        <v>887</v>
      </c>
      <c r="H4" s="6" t="s">
        <v>888</v>
      </c>
      <c r="I4" s="6" t="s">
        <v>895</v>
      </c>
      <c r="J4" s="6" t="s">
        <v>896</v>
      </c>
      <c r="K4" s="6" t="s">
        <v>878</v>
      </c>
      <c r="L4" s="6" t="s">
        <v>879</v>
      </c>
      <c r="M4" s="6" t="s">
        <v>891</v>
      </c>
      <c r="N4" s="12" t="s">
        <v>881</v>
      </c>
      <c r="O4" s="6" t="s">
        <v>882</v>
      </c>
      <c r="P4" s="6" t="s">
        <v>2</v>
      </c>
      <c r="Q4" s="6" t="s">
        <v>20</v>
      </c>
      <c r="R4" s="12"/>
      <c r="S4" s="12"/>
      <c r="T4" s="12"/>
      <c r="U4" s="12"/>
      <c r="V4" s="12"/>
      <c r="W4" s="12"/>
      <c r="X4" s="6" t="str">
        <f aca="false">IF(COUNT(R4:W4)=6,SUM(R4:W4),"ko‘rilmagan")</f>
        <v>ko‘rilmagan</v>
      </c>
      <c r="Y4" s="12" t="s">
        <v>897</v>
      </c>
    </row>
    <row r="5" customFormat="false" ht="23.85" hidden="false" customHeight="false" outlineLevel="0" collapsed="false">
      <c r="A5" s="6" t="s">
        <v>898</v>
      </c>
      <c r="B5" s="6" t="s">
        <v>206</v>
      </c>
      <c r="C5" s="6"/>
      <c r="D5" s="6" t="str">
        <f aca="false">IFERROR(INDEX(Mundarija!$D:$D,MATCH(B5,Mundarija!$A:$A,0)),"kod topilmadi")</f>
        <v>11.6. Umumiy o‘t yo‘li (CBD)ni turli kesimlarda topish va tekshirish.</v>
      </c>
      <c r="E5" s="6" t="s">
        <v>899</v>
      </c>
      <c r="F5" s="11" t="s">
        <v>900</v>
      </c>
      <c r="G5" s="6" t="s">
        <v>901</v>
      </c>
      <c r="H5" s="6" t="s">
        <v>902</v>
      </c>
      <c r="I5" s="6" t="s">
        <v>903</v>
      </c>
      <c r="J5" s="6" t="s">
        <v>877</v>
      </c>
      <c r="K5" s="6" t="s">
        <v>878</v>
      </c>
      <c r="L5" s="6" t="s">
        <v>904</v>
      </c>
      <c r="M5" s="6" t="s">
        <v>891</v>
      </c>
      <c r="N5" s="12" t="s">
        <v>881</v>
      </c>
      <c r="O5" s="6" t="s">
        <v>882</v>
      </c>
      <c r="P5" s="6" t="s">
        <v>2</v>
      </c>
      <c r="Q5" s="6" t="s">
        <v>20</v>
      </c>
      <c r="R5" s="12"/>
      <c r="S5" s="12"/>
      <c r="T5" s="12"/>
      <c r="U5" s="12"/>
      <c r="V5" s="12"/>
      <c r="W5" s="12"/>
      <c r="X5" s="6" t="str">
        <f aca="false">IF(COUNT(R5:W5)=6,SUM(R5:W5),"ko‘rilmagan")</f>
        <v>ko‘rilmagan</v>
      </c>
      <c r="Y5" s="12" t="s">
        <v>905</v>
      </c>
    </row>
    <row r="6" customFormat="false" ht="35.05" hidden="false" customHeight="false" outlineLevel="0" collapsed="false">
      <c r="A6" s="6" t="s">
        <v>906</v>
      </c>
      <c r="B6" s="6" t="s">
        <v>188</v>
      </c>
      <c r="C6" s="6" t="s">
        <v>557</v>
      </c>
      <c r="D6" s="6" t="str">
        <f aca="false">IFERROR(INDEX(Mundarija!$D:$D,MATCH(B6,Mundarija!$A:$A,0)),"kod topilmadi")</f>
        <v>10.7. Jigar elastografiyasi: ko‘rsatmalar, texnika va cheklovlar.</v>
      </c>
      <c r="E6" s="6" t="s">
        <v>907</v>
      </c>
      <c r="F6" s="11" t="s">
        <v>908</v>
      </c>
      <c r="G6" s="6" t="s">
        <v>909</v>
      </c>
      <c r="H6" s="6" t="s">
        <v>910</v>
      </c>
      <c r="I6" s="6" t="s">
        <v>877</v>
      </c>
      <c r="J6" s="6" t="s">
        <v>877</v>
      </c>
      <c r="K6" s="6" t="s">
        <v>878</v>
      </c>
      <c r="L6" s="6" t="s">
        <v>911</v>
      </c>
      <c r="M6" s="6" t="s">
        <v>912</v>
      </c>
      <c r="N6" s="12" t="s">
        <v>881</v>
      </c>
      <c r="O6" s="6" t="s">
        <v>882</v>
      </c>
      <c r="P6" s="6" t="s">
        <v>2</v>
      </c>
      <c r="Q6" s="6" t="s">
        <v>20</v>
      </c>
      <c r="R6" s="12"/>
      <c r="S6" s="12"/>
      <c r="T6" s="12"/>
      <c r="U6" s="12"/>
      <c r="V6" s="12"/>
      <c r="W6" s="12"/>
      <c r="X6" s="6" t="str">
        <f aca="false">IF(COUNT(R6:W6)=6,SUM(R6:W6),"ko‘rilmagan")</f>
        <v>ko‘rilmagan</v>
      </c>
      <c r="Y6" s="12" t="s">
        <v>913</v>
      </c>
    </row>
    <row r="7" customFormat="false" ht="23.85" hidden="false" customHeight="false" outlineLevel="0" collapsed="false">
      <c r="A7" s="6" t="s">
        <v>914</v>
      </c>
      <c r="B7" s="6" t="s">
        <v>148</v>
      </c>
      <c r="C7" s="6" t="s">
        <v>915</v>
      </c>
      <c r="D7" s="6" t="str">
        <f aca="false">IFERROR(INDEX(Mundarija!$D:$D,MATCH(B7,Mundarija!$A:$A,0)),"kod topilmadi")</f>
        <v>8.2. Bo‘ylama, ko‘ndalang va qiya tekisliklar.</v>
      </c>
      <c r="E7" s="6" t="s">
        <v>916</v>
      </c>
      <c r="F7" s="11" t="s">
        <v>917</v>
      </c>
      <c r="G7" s="6" t="s">
        <v>874</v>
      </c>
      <c r="H7" s="6" t="s">
        <v>875</v>
      </c>
      <c r="I7" s="6" t="s">
        <v>918</v>
      </c>
      <c r="J7" s="6" t="s">
        <v>877</v>
      </c>
      <c r="K7" s="6" t="s">
        <v>878</v>
      </c>
      <c r="L7" s="6" t="s">
        <v>879</v>
      </c>
      <c r="M7" s="6" t="s">
        <v>912</v>
      </c>
      <c r="N7" s="12" t="s">
        <v>881</v>
      </c>
      <c r="O7" s="6" t="s">
        <v>882</v>
      </c>
      <c r="P7" s="6" t="s">
        <v>2</v>
      </c>
      <c r="Q7" s="6" t="s">
        <v>20</v>
      </c>
      <c r="R7" s="12"/>
      <c r="S7" s="12"/>
      <c r="T7" s="12"/>
      <c r="U7" s="12"/>
      <c r="V7" s="12"/>
      <c r="W7" s="12"/>
      <c r="X7" s="6" t="str">
        <f aca="false">IF(COUNT(R7:W7)=6,SUM(R7:W7),"ko‘rilmagan")</f>
        <v>ko‘rilmagan</v>
      </c>
      <c r="Y7" s="12" t="s">
        <v>919</v>
      </c>
    </row>
    <row r="8" customFormat="false" ht="35.05" hidden="false" customHeight="false" outlineLevel="0" collapsed="false">
      <c r="A8" s="6" t="s">
        <v>920</v>
      </c>
      <c r="B8" s="6" t="s">
        <v>260</v>
      </c>
      <c r="C8" s="6"/>
      <c r="D8" s="6" t="str">
        <f aca="false">IFERROR(INDEX(Mundarija!$D:$D,MATCH(B8,Mundarija!$A:$A,0)),"kod topilmadi")</f>
        <v>15.4. Erkin suyuqlik, peritoneal va mezenterial o‘zgarishlar.</v>
      </c>
      <c r="E8" s="6" t="s">
        <v>921</v>
      </c>
      <c r="F8" s="11" t="s">
        <v>922</v>
      </c>
      <c r="G8" s="6" t="s">
        <v>874</v>
      </c>
      <c r="H8" s="6" t="s">
        <v>875</v>
      </c>
      <c r="I8" s="6" t="s">
        <v>923</v>
      </c>
      <c r="J8" s="6" t="s">
        <v>877</v>
      </c>
      <c r="K8" s="6" t="s">
        <v>878</v>
      </c>
      <c r="L8" s="6" t="s">
        <v>879</v>
      </c>
      <c r="M8" s="6" t="s">
        <v>912</v>
      </c>
      <c r="N8" s="12" t="s">
        <v>881</v>
      </c>
      <c r="O8" s="6" t="s">
        <v>882</v>
      </c>
      <c r="P8" s="6" t="s">
        <v>2</v>
      </c>
      <c r="Q8" s="6" t="s">
        <v>20</v>
      </c>
      <c r="R8" s="12"/>
      <c r="S8" s="12"/>
      <c r="T8" s="12"/>
      <c r="U8" s="12"/>
      <c r="V8" s="12"/>
      <c r="W8" s="12"/>
      <c r="X8" s="6" t="str">
        <f aca="false">IF(COUNT(R8:W8)=6,SUM(R8:W8),"ko‘rilmagan")</f>
        <v>ko‘rilmagan</v>
      </c>
      <c r="Y8" s="12" t="s">
        <v>924</v>
      </c>
    </row>
    <row r="9" customFormat="false" ht="23.85" hidden="false" customHeight="false" outlineLevel="0" collapsed="false">
      <c r="A9" s="6" t="s">
        <v>925</v>
      </c>
      <c r="B9" s="6" t="s">
        <v>152</v>
      </c>
      <c r="C9" s="6" t="s">
        <v>595</v>
      </c>
      <c r="D9" s="6" t="str">
        <f aca="false">IFERROR(INDEX(Mundarija!$D:$D,MATCH(B9,Mundarija!$A:$A,0)),"kod topilmadi")</f>
        <v>8.4. Standart kesimlar va to‘liq tekshiruv protokollari.</v>
      </c>
      <c r="E9" s="6" t="s">
        <v>926</v>
      </c>
      <c r="F9" s="11" t="s">
        <v>927</v>
      </c>
      <c r="G9" s="6" t="s">
        <v>887</v>
      </c>
      <c r="H9" s="6" t="s">
        <v>888</v>
      </c>
      <c r="I9" s="6" t="s">
        <v>928</v>
      </c>
      <c r="J9" s="6" t="s">
        <v>929</v>
      </c>
      <c r="K9" s="6" t="s">
        <v>878</v>
      </c>
      <c r="L9" s="6" t="s">
        <v>879</v>
      </c>
      <c r="M9" s="6" t="s">
        <v>891</v>
      </c>
      <c r="N9" s="12" t="s">
        <v>881</v>
      </c>
      <c r="O9" s="6" t="s">
        <v>882</v>
      </c>
      <c r="P9" s="6" t="s">
        <v>2</v>
      </c>
      <c r="Q9" s="6" t="s">
        <v>20</v>
      </c>
      <c r="R9" s="12"/>
      <c r="S9" s="12"/>
      <c r="T9" s="12"/>
      <c r="U9" s="12"/>
      <c r="V9" s="12"/>
      <c r="W9" s="12"/>
      <c r="X9" s="6" t="str">
        <f aca="false">IF(COUNT(R9:W9)=6,SUM(R9:W9),"ko‘rilmagan")</f>
        <v>ko‘rilmagan</v>
      </c>
      <c r="Y9" s="12" t="s">
        <v>930</v>
      </c>
    </row>
    <row r="10" customFormat="false" ht="23.85" hidden="false" customHeight="false" outlineLevel="0" collapsed="false">
      <c r="A10" s="6" t="s">
        <v>931</v>
      </c>
      <c r="B10" s="6" t="s">
        <v>181</v>
      </c>
      <c r="C10" s="6"/>
      <c r="D10" s="6" t="str">
        <f aca="false">IFERROR(INDEX(Mundarija!$D:$D,MATCH(B10,Mundarija!$A:$A,0)),"kod topilmadi")</f>
        <v>10.4. Portal gipertenziya, portal va jigar venalari.</v>
      </c>
      <c r="E10" s="6" t="s">
        <v>932</v>
      </c>
      <c r="F10" s="11" t="s">
        <v>933</v>
      </c>
      <c r="G10" s="6" t="s">
        <v>887</v>
      </c>
      <c r="H10" s="6" t="s">
        <v>888</v>
      </c>
      <c r="I10" s="6" t="s">
        <v>934</v>
      </c>
      <c r="J10" s="6" t="s">
        <v>935</v>
      </c>
      <c r="K10" s="6" t="s">
        <v>878</v>
      </c>
      <c r="L10" s="6" t="s">
        <v>904</v>
      </c>
      <c r="M10" s="6" t="s">
        <v>891</v>
      </c>
      <c r="N10" s="12" t="s">
        <v>881</v>
      </c>
      <c r="O10" s="6" t="s">
        <v>882</v>
      </c>
      <c r="P10" s="6" t="s">
        <v>2</v>
      </c>
      <c r="Q10" s="6" t="s">
        <v>20</v>
      </c>
      <c r="R10" s="12"/>
      <c r="S10" s="12"/>
      <c r="T10" s="12"/>
      <c r="U10" s="12"/>
      <c r="V10" s="12"/>
      <c r="W10" s="12"/>
      <c r="X10" s="6" t="str">
        <f aca="false">IF(COUNT(R10:W10)=6,SUM(R10:W10),"ko‘rilmagan")</f>
        <v>ko‘rilmagan</v>
      </c>
      <c r="Y10" s="12" t="s">
        <v>936</v>
      </c>
    </row>
    <row r="11" customFormat="false" ht="23.85" hidden="false" customHeight="false" outlineLevel="0" collapsed="false">
      <c r="A11" s="6" t="s">
        <v>937</v>
      </c>
      <c r="B11" s="6" t="s">
        <v>212</v>
      </c>
      <c r="C11" s="6"/>
      <c r="D11" s="6" t="str">
        <f aca="false">IFERROR(INDEX(Mundarija!$D:$D,MATCH(B11,Mundarija!$A:$A,0)),"kod topilmadi")</f>
        <v>12.1. Normal anatomiya va vizualizatsiya usullari.</v>
      </c>
      <c r="E11" s="6" t="s">
        <v>938</v>
      </c>
      <c r="F11" s="11" t="s">
        <v>939</v>
      </c>
      <c r="G11" s="6" t="s">
        <v>887</v>
      </c>
      <c r="H11" s="6" t="s">
        <v>888</v>
      </c>
      <c r="I11" s="6" t="s">
        <v>940</v>
      </c>
      <c r="J11" s="6" t="s">
        <v>941</v>
      </c>
      <c r="K11" s="6" t="s">
        <v>878</v>
      </c>
      <c r="L11" s="6" t="s">
        <v>879</v>
      </c>
      <c r="M11" s="6" t="s">
        <v>891</v>
      </c>
      <c r="N11" s="12" t="s">
        <v>881</v>
      </c>
      <c r="O11" s="6" t="s">
        <v>882</v>
      </c>
      <c r="P11" s="6" t="s">
        <v>2</v>
      </c>
      <c r="Q11" s="6" t="s">
        <v>20</v>
      </c>
      <c r="R11" s="12"/>
      <c r="S11" s="12"/>
      <c r="T11" s="12"/>
      <c r="U11" s="12"/>
      <c r="V11" s="12"/>
      <c r="W11" s="12"/>
      <c r="X11" s="6" t="str">
        <f aca="false">IF(COUNT(R11:W11)=6,SUM(R11:W11),"ko‘rilmagan")</f>
        <v>ko‘rilmagan</v>
      </c>
      <c r="Y11" s="12" t="s">
        <v>942</v>
      </c>
    </row>
    <row r="12" customFormat="false" ht="23.85" hidden="false" customHeight="false" outlineLevel="0" collapsed="false">
      <c r="A12" s="6" t="s">
        <v>943</v>
      </c>
      <c r="B12" s="6" t="s">
        <v>232</v>
      </c>
      <c r="C12" s="6"/>
      <c r="D12" s="6" t="str">
        <f aca="false">IFERROR(INDEX(Mundarija!$D:$D,MATCH(B12,Mundarija!$A:$A,0)),"kod topilmadi")</f>
        <v>14.1. Buyrak anatomiyasi, o‘lchamlari va normal parenxima.</v>
      </c>
      <c r="E12" s="6" t="s">
        <v>944</v>
      </c>
      <c r="F12" s="11" t="s">
        <v>945</v>
      </c>
      <c r="G12" s="6" t="s">
        <v>887</v>
      </c>
      <c r="H12" s="6" t="s">
        <v>888</v>
      </c>
      <c r="I12" s="6" t="s">
        <v>946</v>
      </c>
      <c r="J12" s="6" t="s">
        <v>947</v>
      </c>
      <c r="K12" s="6" t="s">
        <v>878</v>
      </c>
      <c r="L12" s="6" t="s">
        <v>879</v>
      </c>
      <c r="M12" s="6" t="s">
        <v>891</v>
      </c>
      <c r="N12" s="12" t="s">
        <v>881</v>
      </c>
      <c r="O12" s="6" t="s">
        <v>882</v>
      </c>
      <c r="P12" s="6" t="s">
        <v>2</v>
      </c>
      <c r="Q12" s="6" t="s">
        <v>20</v>
      </c>
      <c r="R12" s="12"/>
      <c r="S12" s="12"/>
      <c r="T12" s="12"/>
      <c r="U12" s="12"/>
      <c r="V12" s="12"/>
      <c r="W12" s="12"/>
      <c r="X12" s="6" t="str">
        <f aca="false">IF(COUNT(R12:W12)=6,SUM(R12:W12),"ko‘rilmagan")</f>
        <v>ko‘rilmagan</v>
      </c>
      <c r="Y12" s="12" t="s">
        <v>948</v>
      </c>
    </row>
    <row r="13" customFormat="false" ht="23.85" hidden="false" customHeight="false" outlineLevel="0" collapsed="false">
      <c r="A13" s="6" t="s">
        <v>949</v>
      </c>
      <c r="B13" s="6" t="s">
        <v>237</v>
      </c>
      <c r="C13" s="6" t="s">
        <v>950</v>
      </c>
      <c r="D13" s="6" t="str">
        <f aca="false">IFERROR(INDEX(Mundarija!$D:$D,MATCH(B13,Mundarija!$A:$A,0)),"kod topilmadi")</f>
        <v>14.3. Nefrolitiaz va gidronefroz.</v>
      </c>
      <c r="E13" s="6" t="s">
        <v>951</v>
      </c>
      <c r="F13" s="11" t="s">
        <v>952</v>
      </c>
      <c r="G13" s="6" t="s">
        <v>887</v>
      </c>
      <c r="H13" s="6" t="s">
        <v>888</v>
      </c>
      <c r="I13" s="6" t="s">
        <v>953</v>
      </c>
      <c r="J13" s="6" t="s">
        <v>877</v>
      </c>
      <c r="K13" s="6" t="s">
        <v>878</v>
      </c>
      <c r="L13" s="6" t="s">
        <v>904</v>
      </c>
      <c r="M13" s="6" t="s">
        <v>891</v>
      </c>
      <c r="N13" s="12" t="s">
        <v>881</v>
      </c>
      <c r="O13" s="6" t="s">
        <v>882</v>
      </c>
      <c r="P13" s="6" t="s">
        <v>2</v>
      </c>
      <c r="Q13" s="6" t="s">
        <v>20</v>
      </c>
      <c r="R13" s="12"/>
      <c r="S13" s="12"/>
      <c r="T13" s="12"/>
      <c r="U13" s="12"/>
      <c r="V13" s="12"/>
      <c r="W13" s="12"/>
      <c r="X13" s="6" t="str">
        <f aca="false">IF(COUNT(R13:W13)=6,SUM(R13:W13),"ko‘rilmagan")</f>
        <v>ko‘rilmagan</v>
      </c>
      <c r="Y13" s="12" t="s">
        <v>954</v>
      </c>
    </row>
    <row r="14" customFormat="false" ht="35.05" hidden="false" customHeight="false" outlineLevel="0" collapsed="false">
      <c r="A14" s="6" t="s">
        <v>955</v>
      </c>
      <c r="B14" s="6" t="s">
        <v>158</v>
      </c>
      <c r="C14" s="6" t="s">
        <v>956</v>
      </c>
      <c r="D14" s="6" t="str">
        <f aca="false">IFERROR(INDEX(Mundarija!$D:$D,MATCH(B14,Mundarija!$A:$A,0)),"kod topilmadi")</f>
        <v>9.1. Normal anatomiyani patologiyadan farqlash.</v>
      </c>
      <c r="E14" s="6" t="s">
        <v>957</v>
      </c>
      <c r="F14" s="11" t="s">
        <v>958</v>
      </c>
      <c r="G14" s="6" t="s">
        <v>959</v>
      </c>
      <c r="H14" s="6" t="s">
        <v>960</v>
      </c>
      <c r="I14" s="6" t="s">
        <v>961</v>
      </c>
      <c r="J14" s="6" t="s">
        <v>877</v>
      </c>
      <c r="K14" s="6" t="s">
        <v>878</v>
      </c>
      <c r="L14" s="6" t="s">
        <v>904</v>
      </c>
      <c r="M14" s="6" t="s">
        <v>962</v>
      </c>
      <c r="N14" s="12" t="s">
        <v>881</v>
      </c>
      <c r="O14" s="6" t="s">
        <v>882</v>
      </c>
      <c r="P14" s="6" t="s">
        <v>2</v>
      </c>
      <c r="Q14" s="6" t="s">
        <v>20</v>
      </c>
      <c r="R14" s="12"/>
      <c r="S14" s="12"/>
      <c r="T14" s="12"/>
      <c r="U14" s="12"/>
      <c r="V14" s="12"/>
      <c r="W14" s="12"/>
      <c r="X14" s="6" t="str">
        <f aca="false">IF(COUNT(R14:W14)=6,SUM(R14:W14),"ko‘rilmagan")</f>
        <v>ko‘rilmagan</v>
      </c>
      <c r="Y14" s="12" t="s">
        <v>963</v>
      </c>
    </row>
    <row r="15" customFormat="false" ht="35.05" hidden="false" customHeight="false" outlineLevel="0" collapsed="false">
      <c r="A15" s="6" t="s">
        <v>964</v>
      </c>
      <c r="B15" s="6" t="s">
        <v>43</v>
      </c>
      <c r="C15" s="6"/>
      <c r="D15" s="6" t="str">
        <f aca="false">IFERROR(INDEX(Mundarija!$D:$D,MATCH(B15,Mundarija!$A:$A,0)),"kod topilmadi")</f>
        <v>1.1. Tovush va ultratovushning tabiati, chastota, davr, amplituda va to‘lqin uzunligi.</v>
      </c>
      <c r="E15" s="6" t="s">
        <v>965</v>
      </c>
      <c r="F15" s="11" t="s">
        <v>966</v>
      </c>
      <c r="G15" s="6" t="s">
        <v>874</v>
      </c>
      <c r="H15" s="6" t="s">
        <v>967</v>
      </c>
      <c r="I15" s="6" t="s">
        <v>968</v>
      </c>
      <c r="J15" s="6" t="s">
        <v>969</v>
      </c>
      <c r="K15" s="6" t="s">
        <v>878</v>
      </c>
      <c r="L15" s="6" t="s">
        <v>879</v>
      </c>
      <c r="M15" s="6" t="s">
        <v>912</v>
      </c>
      <c r="N15" s="12" t="s">
        <v>881</v>
      </c>
      <c r="O15" s="6" t="s">
        <v>882</v>
      </c>
      <c r="P15" s="6" t="s">
        <v>2</v>
      </c>
      <c r="Q15" s="6" t="s">
        <v>20</v>
      </c>
      <c r="R15" s="12"/>
      <c r="S15" s="12"/>
      <c r="T15" s="12"/>
      <c r="U15" s="12"/>
      <c r="V15" s="12"/>
      <c r="W15" s="12"/>
      <c r="X15" s="6" t="str">
        <f aca="false">IF(COUNT(R15:W15)=6,SUM(R15:W15),"ko‘rilmagan")</f>
        <v>ko‘rilmagan</v>
      </c>
      <c r="Y15" s="12" t="s">
        <v>970</v>
      </c>
    </row>
    <row r="16" customFormat="false" ht="35.05" hidden="false" customHeight="false" outlineLevel="0" collapsed="false">
      <c r="A16" s="6" t="s">
        <v>971</v>
      </c>
      <c r="B16" s="6" t="s">
        <v>43</v>
      </c>
      <c r="C16" s="6"/>
      <c r="D16" s="6" t="str">
        <f aca="false">IFERROR(INDEX(Mundarija!$D:$D,MATCH(B16,Mundarija!$A:$A,0)),"kod topilmadi")</f>
        <v>1.1. Tovush va ultratovushning tabiati, chastota, davr, amplituda va to‘lqin uzunligi.</v>
      </c>
      <c r="E16" s="6" t="s">
        <v>972</v>
      </c>
      <c r="F16" s="11" t="s">
        <v>973</v>
      </c>
      <c r="G16" s="6" t="s">
        <v>874</v>
      </c>
      <c r="H16" s="6" t="s">
        <v>967</v>
      </c>
      <c r="I16" s="6" t="s">
        <v>974</v>
      </c>
      <c r="J16" s="6" t="s">
        <v>969</v>
      </c>
      <c r="K16" s="6" t="s">
        <v>878</v>
      </c>
      <c r="L16" s="6" t="s">
        <v>879</v>
      </c>
      <c r="M16" s="6" t="s">
        <v>912</v>
      </c>
      <c r="N16" s="12" t="s">
        <v>881</v>
      </c>
      <c r="O16" s="6" t="s">
        <v>882</v>
      </c>
      <c r="P16" s="6" t="s">
        <v>2</v>
      </c>
      <c r="Q16" s="6" t="s">
        <v>20</v>
      </c>
      <c r="R16" s="12"/>
      <c r="S16" s="12"/>
      <c r="T16" s="12"/>
      <c r="U16" s="12"/>
      <c r="V16" s="12"/>
      <c r="W16" s="12"/>
      <c r="X16" s="6" t="str">
        <f aca="false">IF(COUNT(R16:W16)=6,SUM(R16:W16),"ko‘rilmagan")</f>
        <v>ko‘rilmagan</v>
      </c>
      <c r="Y16" s="12" t="s">
        <v>975</v>
      </c>
    </row>
    <row r="17" customFormat="false" ht="23.85" hidden="false" customHeight="false" outlineLevel="0" collapsed="false">
      <c r="A17" s="6" t="s">
        <v>976</v>
      </c>
      <c r="B17" s="6" t="s">
        <v>43</v>
      </c>
      <c r="C17" s="6"/>
      <c r="D17" s="6" t="str">
        <f aca="false">IFERROR(INDEX(Mundarija!$D:$D,MATCH(B17,Mundarija!$A:$A,0)),"kod topilmadi")</f>
        <v>1.1. Tovush va ultratovushning tabiati, chastota, davr, amplituda va to‘lqin uzunligi.</v>
      </c>
      <c r="E17" s="6" t="s">
        <v>977</v>
      </c>
      <c r="F17" s="11" t="s">
        <v>978</v>
      </c>
      <c r="G17" s="6" t="s">
        <v>979</v>
      </c>
      <c r="H17" s="6" t="s">
        <v>980</v>
      </c>
      <c r="I17" s="6" t="s">
        <v>981</v>
      </c>
      <c r="J17" s="6" t="s">
        <v>982</v>
      </c>
      <c r="K17" s="6" t="s">
        <v>878</v>
      </c>
      <c r="L17" s="6" t="s">
        <v>879</v>
      </c>
      <c r="M17" s="6" t="s">
        <v>912</v>
      </c>
      <c r="N17" s="12" t="s">
        <v>881</v>
      </c>
      <c r="O17" s="6" t="s">
        <v>882</v>
      </c>
      <c r="P17" s="6" t="s">
        <v>2</v>
      </c>
      <c r="Q17" s="6" t="s">
        <v>20</v>
      </c>
      <c r="R17" s="12"/>
      <c r="S17" s="12"/>
      <c r="T17" s="12"/>
      <c r="U17" s="12"/>
      <c r="V17" s="12"/>
      <c r="W17" s="12"/>
      <c r="X17" s="6" t="str">
        <f aca="false">IF(COUNT(R17:W17)=6,SUM(R17:W17),"ko‘rilmagan")</f>
        <v>ko‘rilmagan</v>
      </c>
      <c r="Y17" s="12" t="s">
        <v>983</v>
      </c>
    </row>
    <row r="18" customFormat="false" ht="35.05" hidden="false" customHeight="false" outlineLevel="0" collapsed="false">
      <c r="A18" s="6" t="s">
        <v>984</v>
      </c>
      <c r="B18" s="6" t="s">
        <v>47</v>
      </c>
      <c r="C18" s="6" t="s">
        <v>49</v>
      </c>
      <c r="D18" s="6" t="str">
        <f aca="false">IFERROR(INDEX(Mundarija!$D:$D,MATCH(B18,Mundarija!$A:$A,0)),"kod topilmadi")</f>
        <v>1.2. Tovush tezligi, akustik impedans va to‘qimalar chegarasida aks etish.</v>
      </c>
      <c r="E18" s="6" t="s">
        <v>985</v>
      </c>
      <c r="F18" s="11" t="s">
        <v>986</v>
      </c>
      <c r="G18" s="6" t="s">
        <v>874</v>
      </c>
      <c r="H18" s="6" t="s">
        <v>967</v>
      </c>
      <c r="I18" s="6" t="s">
        <v>987</v>
      </c>
      <c r="J18" s="6" t="s">
        <v>988</v>
      </c>
      <c r="K18" s="6" t="s">
        <v>878</v>
      </c>
      <c r="L18" s="6" t="s">
        <v>989</v>
      </c>
      <c r="M18" s="6" t="s">
        <v>912</v>
      </c>
      <c r="N18" s="12" t="s">
        <v>881</v>
      </c>
      <c r="O18" s="6" t="s">
        <v>882</v>
      </c>
      <c r="P18" s="6" t="s">
        <v>2</v>
      </c>
      <c r="Q18" s="6" t="s">
        <v>20</v>
      </c>
      <c r="R18" s="12"/>
      <c r="S18" s="12"/>
      <c r="T18" s="12"/>
      <c r="U18" s="12"/>
      <c r="V18" s="12"/>
      <c r="W18" s="12"/>
      <c r="X18" s="6" t="str">
        <f aca="false">IF(COUNT(R18:W18)=6,SUM(R18:W18),"ko‘rilmagan")</f>
        <v>ko‘rilmagan</v>
      </c>
      <c r="Y18" s="12" t="s">
        <v>990</v>
      </c>
    </row>
    <row r="19" customFormat="false" ht="23.85" hidden="false" customHeight="false" outlineLevel="0" collapsed="false">
      <c r="A19" s="6" t="s">
        <v>991</v>
      </c>
      <c r="B19" s="6" t="s">
        <v>47</v>
      </c>
      <c r="C19" s="6"/>
      <c r="D19" s="6" t="str">
        <f aca="false">IFERROR(INDEX(Mundarija!$D:$D,MATCH(B19,Mundarija!$A:$A,0)),"kod topilmadi")</f>
        <v>1.2. Tovush tezligi, akustik impedans va to‘qimalar chegarasida aks etish.</v>
      </c>
      <c r="E19" s="6" t="s">
        <v>992</v>
      </c>
      <c r="F19" s="11" t="s">
        <v>993</v>
      </c>
      <c r="G19" s="6" t="s">
        <v>994</v>
      </c>
      <c r="H19" s="6" t="s">
        <v>995</v>
      </c>
      <c r="I19" s="6" t="s">
        <v>877</v>
      </c>
      <c r="J19" s="6" t="s">
        <v>996</v>
      </c>
      <c r="K19" s="6" t="s">
        <v>878</v>
      </c>
      <c r="L19" s="6" t="s">
        <v>879</v>
      </c>
      <c r="M19" s="6" t="s">
        <v>912</v>
      </c>
      <c r="N19" s="12" t="s">
        <v>881</v>
      </c>
      <c r="O19" s="6" t="s">
        <v>882</v>
      </c>
      <c r="P19" s="6" t="s">
        <v>2</v>
      </c>
      <c r="Q19" s="6" t="s">
        <v>20</v>
      </c>
      <c r="R19" s="12"/>
      <c r="S19" s="12"/>
      <c r="T19" s="12"/>
      <c r="U19" s="12"/>
      <c r="V19" s="12"/>
      <c r="W19" s="12"/>
      <c r="X19" s="6" t="str">
        <f aca="false">IF(COUNT(R19:W19)=6,SUM(R19:W19),"ko‘rilmagan")</f>
        <v>ko‘rilmagan</v>
      </c>
      <c r="Y19" s="12" t="s">
        <v>997</v>
      </c>
    </row>
    <row r="20" customFormat="false" ht="35.05" hidden="false" customHeight="false" outlineLevel="0" collapsed="false">
      <c r="A20" s="6" t="s">
        <v>998</v>
      </c>
      <c r="B20" s="6" t="s">
        <v>49</v>
      </c>
      <c r="C20" s="6" t="s">
        <v>47</v>
      </c>
      <c r="D20" s="6" t="str">
        <f aca="false">IFERROR(INDEX(Mundarija!$D:$D,MATCH(B20,Mundarija!$A:$A,0)),"kod topilmadi")</f>
        <v>1.3. Refleksiya, refraksiya, sochilish, diffraksiya va absorbsiya.</v>
      </c>
      <c r="E20" s="6" t="s">
        <v>999</v>
      </c>
      <c r="F20" s="11" t="s">
        <v>1000</v>
      </c>
      <c r="G20" s="6" t="s">
        <v>979</v>
      </c>
      <c r="H20" s="6" t="s">
        <v>980</v>
      </c>
      <c r="I20" s="6" t="s">
        <v>877</v>
      </c>
      <c r="J20" s="6" t="s">
        <v>982</v>
      </c>
      <c r="K20" s="6" t="s">
        <v>878</v>
      </c>
      <c r="L20" s="6" t="s">
        <v>879</v>
      </c>
      <c r="M20" s="6" t="s">
        <v>912</v>
      </c>
      <c r="N20" s="12" t="s">
        <v>881</v>
      </c>
      <c r="O20" s="6" t="s">
        <v>882</v>
      </c>
      <c r="P20" s="6" t="s">
        <v>2</v>
      </c>
      <c r="Q20" s="6" t="s">
        <v>20</v>
      </c>
      <c r="R20" s="12"/>
      <c r="S20" s="12"/>
      <c r="T20" s="12"/>
      <c r="U20" s="12"/>
      <c r="V20" s="12"/>
      <c r="W20" s="12"/>
      <c r="X20" s="6" t="str">
        <f aca="false">IF(COUNT(R20:W20)=6,SUM(R20:W20),"ko‘rilmagan")</f>
        <v>ko‘rilmagan</v>
      </c>
      <c r="Y20" s="12" t="s">
        <v>1001</v>
      </c>
    </row>
    <row r="21" customFormat="false" ht="35.05" hidden="false" customHeight="false" outlineLevel="0" collapsed="false">
      <c r="A21" s="6" t="s">
        <v>1002</v>
      </c>
      <c r="B21" s="6" t="s">
        <v>51</v>
      </c>
      <c r="C21" s="6"/>
      <c r="D21" s="6" t="str">
        <f aca="false">IFERROR(INDEX(Mundarija!$D:$D,MATCH(B21,Mundarija!$A:$A,0)),"kod topilmadi")</f>
        <v>1.4. Attenuatsiya, chuqurlik va chastota o‘rtasidagi bog‘liqlik.</v>
      </c>
      <c r="E21" s="6" t="s">
        <v>1003</v>
      </c>
      <c r="F21" s="11" t="s">
        <v>1004</v>
      </c>
      <c r="G21" s="6" t="s">
        <v>874</v>
      </c>
      <c r="H21" s="6" t="s">
        <v>967</v>
      </c>
      <c r="I21" s="6" t="s">
        <v>1005</v>
      </c>
      <c r="J21" s="6" t="s">
        <v>1006</v>
      </c>
      <c r="K21" s="6" t="s">
        <v>878</v>
      </c>
      <c r="L21" s="6" t="s">
        <v>904</v>
      </c>
      <c r="M21" s="6" t="s">
        <v>912</v>
      </c>
      <c r="N21" s="12" t="s">
        <v>881</v>
      </c>
      <c r="O21" s="6" t="s">
        <v>882</v>
      </c>
      <c r="P21" s="6" t="s">
        <v>2</v>
      </c>
      <c r="Q21" s="6" t="s">
        <v>20</v>
      </c>
      <c r="R21" s="12"/>
      <c r="S21" s="12"/>
      <c r="T21" s="12"/>
      <c r="U21" s="12"/>
      <c r="V21" s="12"/>
      <c r="W21" s="12"/>
      <c r="X21" s="6" t="str">
        <f aca="false">IF(COUNT(R21:W21)=6,SUM(R21:W21),"ko‘rilmagan")</f>
        <v>ko‘rilmagan</v>
      </c>
      <c r="Y21" s="12" t="s">
        <v>1007</v>
      </c>
    </row>
    <row r="22" customFormat="false" ht="23.85" hidden="false" customHeight="false" outlineLevel="0" collapsed="false">
      <c r="A22" s="6" t="s">
        <v>1008</v>
      </c>
      <c r="B22" s="6" t="s">
        <v>66</v>
      </c>
      <c r="C22" s="6" t="s">
        <v>53</v>
      </c>
      <c r="D22" s="6" t="str">
        <f aca="false">IFERROR(INDEX(Mundarija!$D:$D,MATCH(B22,Mundarija!$A:$A,0)),"kod topilmadi")</f>
        <v>2.5. B-rejim, M-rejim va tasvirni qayta ishlash.</v>
      </c>
      <c r="E22" s="6" t="s">
        <v>1009</v>
      </c>
      <c r="F22" s="11" t="s">
        <v>1010</v>
      </c>
      <c r="G22" s="6" t="s">
        <v>874</v>
      </c>
      <c r="H22" s="6" t="s">
        <v>967</v>
      </c>
      <c r="I22" s="6" t="s">
        <v>1011</v>
      </c>
      <c r="J22" s="6" t="s">
        <v>1012</v>
      </c>
      <c r="K22" s="6" t="s">
        <v>878</v>
      </c>
      <c r="L22" s="6" t="s">
        <v>879</v>
      </c>
      <c r="M22" s="6" t="s">
        <v>912</v>
      </c>
      <c r="N22" s="12" t="s">
        <v>881</v>
      </c>
      <c r="O22" s="6" t="s">
        <v>882</v>
      </c>
      <c r="P22" s="6" t="s">
        <v>2</v>
      </c>
      <c r="Q22" s="6" t="s">
        <v>20</v>
      </c>
      <c r="R22" s="12"/>
      <c r="S22" s="12"/>
      <c r="T22" s="12"/>
      <c r="U22" s="12"/>
      <c r="V22" s="12"/>
      <c r="W22" s="12"/>
      <c r="X22" s="6" t="str">
        <f aca="false">IF(COUNT(R22:W22)=6,SUM(R22:W22),"ko‘rilmagan")</f>
        <v>ko‘rilmagan</v>
      </c>
      <c r="Y22" s="12" t="s">
        <v>1013</v>
      </c>
    </row>
    <row r="23" customFormat="false" ht="35.05" hidden="false" customHeight="false" outlineLevel="0" collapsed="false">
      <c r="A23" s="6" t="s">
        <v>1014</v>
      </c>
      <c r="B23" s="6" t="s">
        <v>56</v>
      </c>
      <c r="C23" s="6" t="s">
        <v>71</v>
      </c>
      <c r="D23" s="6" t="str">
        <f aca="false">IFERROR(INDEX(Mundarija!$D:$D,MATCH(B23,Mundarija!$A:$A,0)),"kod topilmadi")</f>
        <v>2.1. Pyezoelektrik effekt va transduserning ishlash prinsipi.</v>
      </c>
      <c r="E23" s="6" t="s">
        <v>1015</v>
      </c>
      <c r="F23" s="11" t="s">
        <v>1016</v>
      </c>
      <c r="G23" s="6" t="s">
        <v>874</v>
      </c>
      <c r="H23" s="6" t="s">
        <v>967</v>
      </c>
      <c r="I23" s="6" t="s">
        <v>1017</v>
      </c>
      <c r="J23" s="6" t="s">
        <v>1018</v>
      </c>
      <c r="K23" s="6" t="s">
        <v>878</v>
      </c>
      <c r="L23" s="6" t="s">
        <v>989</v>
      </c>
      <c r="M23" s="6" t="s">
        <v>912</v>
      </c>
      <c r="N23" s="12" t="s">
        <v>881</v>
      </c>
      <c r="O23" s="6" t="s">
        <v>882</v>
      </c>
      <c r="P23" s="6" t="s">
        <v>2</v>
      </c>
      <c r="Q23" s="6" t="s">
        <v>20</v>
      </c>
      <c r="R23" s="12"/>
      <c r="S23" s="12"/>
      <c r="T23" s="12"/>
      <c r="U23" s="12"/>
      <c r="V23" s="12"/>
      <c r="W23" s="12"/>
      <c r="X23" s="6" t="str">
        <f aca="false">IF(COUNT(R23:W23)=6,SUM(R23:W23),"ko‘rilmagan")</f>
        <v>ko‘rilmagan</v>
      </c>
      <c r="Y23" s="12" t="s">
        <v>1019</v>
      </c>
    </row>
    <row r="24" customFormat="false" ht="35.05" hidden="false" customHeight="false" outlineLevel="0" collapsed="false">
      <c r="A24" s="6" t="s">
        <v>1020</v>
      </c>
      <c r="B24" s="6" t="s">
        <v>59</v>
      </c>
      <c r="C24" s="6" t="s">
        <v>61</v>
      </c>
      <c r="D24" s="6" t="str">
        <f aca="false">IFERROR(INDEX(Mundarija!$D:$D,MATCH(B24,Mundarija!$A:$A,0)),"kod topilmadi")</f>
        <v>2.2. Konveks, chiziqli, sektor/fazalangan va endokavitar datchiklar.</v>
      </c>
      <c r="E24" s="6" t="s">
        <v>1021</v>
      </c>
      <c r="F24" s="11" t="s">
        <v>1022</v>
      </c>
      <c r="G24" s="6" t="s">
        <v>874</v>
      </c>
      <c r="H24" s="6" t="s">
        <v>967</v>
      </c>
      <c r="I24" s="6" t="s">
        <v>1023</v>
      </c>
      <c r="J24" s="6" t="s">
        <v>1024</v>
      </c>
      <c r="K24" s="6" t="s">
        <v>878</v>
      </c>
      <c r="L24" s="6" t="s">
        <v>904</v>
      </c>
      <c r="M24" s="6" t="s">
        <v>912</v>
      </c>
      <c r="N24" s="12" t="s">
        <v>881</v>
      </c>
      <c r="O24" s="6" t="s">
        <v>882</v>
      </c>
      <c r="P24" s="6" t="s">
        <v>2</v>
      </c>
      <c r="Q24" s="6" t="s">
        <v>20</v>
      </c>
      <c r="R24" s="12"/>
      <c r="S24" s="12"/>
      <c r="T24" s="12"/>
      <c r="U24" s="12"/>
      <c r="V24" s="12"/>
      <c r="W24" s="12"/>
      <c r="X24" s="6" t="str">
        <f aca="false">IF(COUNT(R24:W24)=6,SUM(R24:W24),"ko‘rilmagan")</f>
        <v>ko‘rilmagan</v>
      </c>
      <c r="Y24" s="12" t="s">
        <v>1025</v>
      </c>
    </row>
    <row r="25" customFormat="false" ht="23.85" hidden="false" customHeight="false" outlineLevel="0" collapsed="false">
      <c r="A25" s="6" t="s">
        <v>1026</v>
      </c>
      <c r="B25" s="6" t="s">
        <v>59</v>
      </c>
      <c r="C25" s="6"/>
      <c r="D25" s="6" t="str">
        <f aca="false">IFERROR(INDEX(Mundarija!$D:$D,MATCH(B25,Mundarija!$A:$A,0)),"kod topilmadi")</f>
        <v>2.2. Konveks, chiziqli, sektor/fazalangan va endokavitar datchiklar.</v>
      </c>
      <c r="E25" s="6" t="s">
        <v>1027</v>
      </c>
      <c r="F25" s="11" t="s">
        <v>1028</v>
      </c>
      <c r="G25" s="6" t="s">
        <v>1029</v>
      </c>
      <c r="H25" s="6" t="s">
        <v>1030</v>
      </c>
      <c r="I25" s="6" t="s">
        <v>877</v>
      </c>
      <c r="J25" s="6" t="s">
        <v>1031</v>
      </c>
      <c r="K25" s="6" t="s">
        <v>878</v>
      </c>
      <c r="L25" s="6" t="s">
        <v>879</v>
      </c>
      <c r="M25" s="6" t="s">
        <v>912</v>
      </c>
      <c r="N25" s="12" t="s">
        <v>881</v>
      </c>
      <c r="O25" s="6" t="s">
        <v>882</v>
      </c>
      <c r="P25" s="6" t="s">
        <v>2</v>
      </c>
      <c r="Q25" s="6" t="s">
        <v>1032</v>
      </c>
      <c r="R25" s="12"/>
      <c r="S25" s="12"/>
      <c r="T25" s="12"/>
      <c r="U25" s="12"/>
      <c r="V25" s="12"/>
      <c r="W25" s="12"/>
      <c r="X25" s="6" t="str">
        <f aca="false">IF(COUNT(R25:W25)=6,SUM(R25:W25),"ko‘rilmagan")</f>
        <v>ko‘rilmagan</v>
      </c>
      <c r="Y25" s="12" t="s">
        <v>1033</v>
      </c>
    </row>
    <row r="26" customFormat="false" ht="35.05" hidden="false" customHeight="false" outlineLevel="0" collapsed="false">
      <c r="A26" s="6" t="s">
        <v>1034</v>
      </c>
      <c r="B26" s="6" t="s">
        <v>63</v>
      </c>
      <c r="C26" s="6" t="s">
        <v>76</v>
      </c>
      <c r="D26" s="6" t="str">
        <f aca="false">IFERROR(INDEX(Mundarija!$D:$D,MATCH(B26,Mundarija!$A:$A,0)),"kod topilmadi")</f>
        <v>2.4. Eksenel, lateral va elevatsion rezolyutsiya.</v>
      </c>
      <c r="E26" s="6" t="s">
        <v>1035</v>
      </c>
      <c r="F26" s="11" t="s">
        <v>1036</v>
      </c>
      <c r="G26" s="6" t="s">
        <v>874</v>
      </c>
      <c r="H26" s="6" t="s">
        <v>967</v>
      </c>
      <c r="I26" s="6" t="s">
        <v>1037</v>
      </c>
      <c r="J26" s="6" t="s">
        <v>1038</v>
      </c>
      <c r="K26" s="6" t="s">
        <v>878</v>
      </c>
      <c r="L26" s="6" t="s">
        <v>904</v>
      </c>
      <c r="M26" s="6" t="s">
        <v>912</v>
      </c>
      <c r="N26" s="12" t="s">
        <v>881</v>
      </c>
      <c r="O26" s="6" t="s">
        <v>882</v>
      </c>
      <c r="P26" s="6" t="s">
        <v>2</v>
      </c>
      <c r="Q26" s="6" t="s">
        <v>20</v>
      </c>
      <c r="R26" s="12"/>
      <c r="S26" s="12"/>
      <c r="T26" s="12"/>
      <c r="U26" s="12"/>
      <c r="V26" s="12"/>
      <c r="W26" s="12"/>
      <c r="X26" s="6" t="str">
        <f aca="false">IF(COUNT(R26:W26)=6,SUM(R26:W26),"ko‘rilmagan")</f>
        <v>ko‘rilmagan</v>
      </c>
      <c r="Y26" s="12" t="s">
        <v>1039</v>
      </c>
    </row>
    <row r="27" customFormat="false" ht="35.05" hidden="false" customHeight="false" outlineLevel="0" collapsed="false">
      <c r="A27" s="6" t="s">
        <v>1040</v>
      </c>
      <c r="B27" s="6" t="s">
        <v>63</v>
      </c>
      <c r="C27" s="6" t="s">
        <v>93</v>
      </c>
      <c r="D27" s="6" t="str">
        <f aca="false">IFERROR(INDEX(Mundarija!$D:$D,MATCH(B27,Mundarija!$A:$A,0)),"kod topilmadi")</f>
        <v>2.4. Eksenel, lateral va elevatsion rezolyutsiya.</v>
      </c>
      <c r="E27" s="6" t="s">
        <v>1041</v>
      </c>
      <c r="F27" s="11" t="s">
        <v>1042</v>
      </c>
      <c r="G27" s="6" t="s">
        <v>874</v>
      </c>
      <c r="H27" s="6" t="s">
        <v>967</v>
      </c>
      <c r="I27" s="6" t="s">
        <v>1043</v>
      </c>
      <c r="J27" s="6" t="s">
        <v>1044</v>
      </c>
      <c r="K27" s="6" t="s">
        <v>878</v>
      </c>
      <c r="L27" s="6" t="s">
        <v>904</v>
      </c>
      <c r="M27" s="6" t="s">
        <v>912</v>
      </c>
      <c r="N27" s="12" t="s">
        <v>881</v>
      </c>
      <c r="O27" s="6" t="s">
        <v>882</v>
      </c>
      <c r="P27" s="6" t="s">
        <v>2</v>
      </c>
      <c r="Q27" s="6" t="s">
        <v>20</v>
      </c>
      <c r="R27" s="12"/>
      <c r="S27" s="12"/>
      <c r="T27" s="12"/>
      <c r="U27" s="12"/>
      <c r="V27" s="12"/>
      <c r="W27" s="12"/>
      <c r="X27" s="6" t="str">
        <f aca="false">IF(COUNT(R27:W27)=6,SUM(R27:W27),"ko‘rilmagan")</f>
        <v>ko‘rilmagan</v>
      </c>
      <c r="Y27" s="12" t="s">
        <v>1045</v>
      </c>
    </row>
    <row r="28" customFormat="false" ht="35.05" hidden="false" customHeight="false" outlineLevel="0" collapsed="false">
      <c r="A28" s="6" t="s">
        <v>1046</v>
      </c>
      <c r="B28" s="6" t="s">
        <v>63</v>
      </c>
      <c r="C28" s="6"/>
      <c r="D28" s="6" t="str">
        <f aca="false">IFERROR(INDEX(Mundarija!$D:$D,MATCH(B28,Mundarija!$A:$A,0)),"kod topilmadi")</f>
        <v>2.4. Eksenel, lateral va elevatsion rezolyutsiya.</v>
      </c>
      <c r="E28" s="6" t="s">
        <v>1047</v>
      </c>
      <c r="F28" s="11" t="s">
        <v>1048</v>
      </c>
      <c r="G28" s="6" t="s">
        <v>874</v>
      </c>
      <c r="H28" s="6" t="s">
        <v>967</v>
      </c>
      <c r="I28" s="6" t="s">
        <v>877</v>
      </c>
      <c r="J28" s="6" t="s">
        <v>1049</v>
      </c>
      <c r="K28" s="6" t="s">
        <v>878</v>
      </c>
      <c r="L28" s="6" t="s">
        <v>904</v>
      </c>
      <c r="M28" s="6" t="s">
        <v>912</v>
      </c>
      <c r="N28" s="12" t="s">
        <v>881</v>
      </c>
      <c r="O28" s="6" t="s">
        <v>882</v>
      </c>
      <c r="P28" s="6" t="s">
        <v>2</v>
      </c>
      <c r="Q28" s="6" t="s">
        <v>20</v>
      </c>
      <c r="R28" s="12"/>
      <c r="S28" s="12"/>
      <c r="T28" s="12"/>
      <c r="U28" s="12"/>
      <c r="V28" s="12"/>
      <c r="W28" s="12"/>
      <c r="X28" s="6" t="str">
        <f aca="false">IF(COUNT(R28:W28)=6,SUM(R28:W28),"ko‘rilmagan")</f>
        <v>ko‘rilmagan</v>
      </c>
      <c r="Y28" s="12" t="s">
        <v>1050</v>
      </c>
    </row>
    <row r="29" customFormat="false" ht="46.25" hidden="false" customHeight="false" outlineLevel="0" collapsed="false">
      <c r="A29" s="6" t="s">
        <v>1051</v>
      </c>
      <c r="B29" s="6" t="s">
        <v>66</v>
      </c>
      <c r="C29" s="6" t="s">
        <v>1052</v>
      </c>
      <c r="D29" s="6" t="str">
        <f aca="false">IFERROR(INDEX(Mundarija!$D:$D,MATCH(B29,Mundarija!$A:$A,0)),"kod topilmadi")</f>
        <v>2.5. B-rejim, M-rejim va tasvirni qayta ishlash.</v>
      </c>
      <c r="E29" s="6" t="s">
        <v>1053</v>
      </c>
      <c r="F29" s="11" t="s">
        <v>1054</v>
      </c>
      <c r="G29" s="6" t="s">
        <v>874</v>
      </c>
      <c r="H29" s="6" t="s">
        <v>967</v>
      </c>
      <c r="I29" s="6" t="s">
        <v>1055</v>
      </c>
      <c r="J29" s="6" t="s">
        <v>1056</v>
      </c>
      <c r="K29" s="6" t="s">
        <v>878</v>
      </c>
      <c r="L29" s="6" t="s">
        <v>904</v>
      </c>
      <c r="M29" s="6" t="s">
        <v>912</v>
      </c>
      <c r="N29" s="12" t="s">
        <v>881</v>
      </c>
      <c r="O29" s="6" t="s">
        <v>882</v>
      </c>
      <c r="P29" s="6" t="s">
        <v>2</v>
      </c>
      <c r="Q29" s="6" t="s">
        <v>20</v>
      </c>
      <c r="R29" s="12"/>
      <c r="S29" s="12"/>
      <c r="T29" s="12"/>
      <c r="U29" s="12"/>
      <c r="V29" s="12"/>
      <c r="W29" s="12"/>
      <c r="X29" s="6" t="str">
        <f aca="false">IF(COUNT(R29:W29)=6,SUM(R29:W29),"ko‘rilmagan")</f>
        <v>ko‘rilmagan</v>
      </c>
      <c r="Y29" s="12" t="s">
        <v>1057</v>
      </c>
    </row>
    <row r="30" customFormat="false" ht="35.05" hidden="false" customHeight="false" outlineLevel="0" collapsed="false">
      <c r="A30" s="6" t="s">
        <v>1058</v>
      </c>
      <c r="B30" s="6" t="s">
        <v>78</v>
      </c>
      <c r="C30" s="6" t="s">
        <v>66</v>
      </c>
      <c r="D30" s="6" t="str">
        <f aca="false">IFERROR(INDEX(Mundarija!$D:$D,MATCH(B30,Mundarija!$A:$A,0)),"kod topilmadi")</f>
        <v>3.3. Dynamic range, chastota, frame rate va tasvir tezligi.</v>
      </c>
      <c r="E30" s="6" t="s">
        <v>1059</v>
      </c>
      <c r="F30" s="11" t="s">
        <v>1060</v>
      </c>
      <c r="G30" s="6" t="s">
        <v>874</v>
      </c>
      <c r="H30" s="6" t="s">
        <v>967</v>
      </c>
      <c r="I30" s="6" t="s">
        <v>1061</v>
      </c>
      <c r="J30" s="6" t="s">
        <v>1062</v>
      </c>
      <c r="K30" s="6" t="s">
        <v>878</v>
      </c>
      <c r="L30" s="6" t="s">
        <v>904</v>
      </c>
      <c r="M30" s="6" t="s">
        <v>912</v>
      </c>
      <c r="N30" s="12" t="s">
        <v>881</v>
      </c>
      <c r="O30" s="6" t="s">
        <v>882</v>
      </c>
      <c r="P30" s="6" t="s">
        <v>2</v>
      </c>
      <c r="Q30" s="6" t="s">
        <v>20</v>
      </c>
      <c r="R30" s="12"/>
      <c r="S30" s="12"/>
      <c r="T30" s="12"/>
      <c r="U30" s="12"/>
      <c r="V30" s="12"/>
      <c r="W30" s="12"/>
      <c r="X30" s="6" t="str">
        <f aca="false">IF(COUNT(R30:W30)=6,SUM(R30:W30),"ko‘rilmagan")</f>
        <v>ko‘rilmagan</v>
      </c>
      <c r="Y30" s="12" t="s">
        <v>1063</v>
      </c>
    </row>
    <row r="31" customFormat="false" ht="35.05" hidden="false" customHeight="false" outlineLevel="0" collapsed="false">
      <c r="A31" s="6" t="s">
        <v>1064</v>
      </c>
      <c r="B31" s="6" t="s">
        <v>68</v>
      </c>
      <c r="C31" s="6"/>
      <c r="D31" s="6" t="str">
        <f aca="false">IFERROR(INDEX(Mundarija!$D:$D,MATCH(B31,Mundarija!$A:$A,0)),"kod topilmadi")</f>
        <v>2.6. Panoramik tasvir, compound imaging, harmonic imaging va speklni kamaytirish.</v>
      </c>
      <c r="E31" s="6" t="s">
        <v>1065</v>
      </c>
      <c r="F31" s="11" t="s">
        <v>1066</v>
      </c>
      <c r="G31" s="6" t="s">
        <v>874</v>
      </c>
      <c r="H31" s="6" t="s">
        <v>967</v>
      </c>
      <c r="I31" s="6" t="s">
        <v>1067</v>
      </c>
      <c r="J31" s="6" t="s">
        <v>1062</v>
      </c>
      <c r="K31" s="6" t="s">
        <v>878</v>
      </c>
      <c r="L31" s="6" t="s">
        <v>904</v>
      </c>
      <c r="M31" s="6" t="s">
        <v>912</v>
      </c>
      <c r="N31" s="12" t="s">
        <v>881</v>
      </c>
      <c r="O31" s="6" t="s">
        <v>882</v>
      </c>
      <c r="P31" s="6" t="s">
        <v>2</v>
      </c>
      <c r="Q31" s="6" t="s">
        <v>20</v>
      </c>
      <c r="R31" s="12"/>
      <c r="S31" s="12"/>
      <c r="T31" s="12"/>
      <c r="U31" s="12"/>
      <c r="V31" s="12"/>
      <c r="W31" s="12"/>
      <c r="X31" s="6" t="str">
        <f aca="false">IF(COUNT(R31:W31)=6,SUM(R31:W31),"ko‘rilmagan")</f>
        <v>ko‘rilmagan</v>
      </c>
      <c r="Y31" s="12" t="s">
        <v>1068</v>
      </c>
    </row>
    <row r="32" customFormat="false" ht="35.05" hidden="false" customHeight="false" outlineLevel="0" collapsed="false">
      <c r="A32" s="6" t="s">
        <v>1069</v>
      </c>
      <c r="B32" s="6" t="s">
        <v>71</v>
      </c>
      <c r="C32" s="6" t="s">
        <v>125</v>
      </c>
      <c r="D32" s="6" t="str">
        <f aca="false">IFERROR(INDEX(Mundarija!$D:$D,MATCH(B32,Mundarija!$A:$A,0)),"kod topilmadi")</f>
        <v>2.7. Datchiklarni tozalash, dezinfeksiya va infeksiya nazorati.</v>
      </c>
      <c r="E32" s="6" t="s">
        <v>1070</v>
      </c>
      <c r="F32" s="11" t="s">
        <v>1071</v>
      </c>
      <c r="G32" s="6" t="s">
        <v>1072</v>
      </c>
      <c r="H32" s="6" t="s">
        <v>1073</v>
      </c>
      <c r="I32" s="6" t="s">
        <v>1074</v>
      </c>
      <c r="J32" s="6" t="s">
        <v>1075</v>
      </c>
      <c r="K32" s="6" t="s">
        <v>878</v>
      </c>
      <c r="L32" s="6" t="s">
        <v>879</v>
      </c>
      <c r="M32" s="6" t="s">
        <v>891</v>
      </c>
      <c r="N32" s="12" t="s">
        <v>881</v>
      </c>
      <c r="O32" s="6" t="s">
        <v>882</v>
      </c>
      <c r="P32" s="6" t="s">
        <v>2</v>
      </c>
      <c r="Q32" s="6" t="s">
        <v>20</v>
      </c>
      <c r="R32" s="12"/>
      <c r="S32" s="12"/>
      <c r="T32" s="12"/>
      <c r="U32" s="12"/>
      <c r="V32" s="12"/>
      <c r="W32" s="12"/>
      <c r="X32" s="6" t="str">
        <f aca="false">IF(COUNT(R32:W32)=6,SUM(R32:W32),"ko‘rilmagan")</f>
        <v>ko‘rilmagan</v>
      </c>
      <c r="Y32" s="12" t="s">
        <v>1076</v>
      </c>
    </row>
    <row r="33" customFormat="false" ht="23.85" hidden="false" customHeight="false" outlineLevel="0" collapsed="false">
      <c r="A33" s="6" t="s">
        <v>1077</v>
      </c>
      <c r="B33" s="6" t="s">
        <v>73</v>
      </c>
      <c r="C33" s="6"/>
      <c r="D33" s="6" t="str">
        <f aca="false">IFERROR(INDEX(Mundarija!$D:$D,MATCH(B33,Mundarija!$A:$A,0)),"kod topilmadi")</f>
        <v>3.1. Gain va TGC.</v>
      </c>
      <c r="E33" s="6" t="s">
        <v>1078</v>
      </c>
      <c r="F33" s="11" t="s">
        <v>1079</v>
      </c>
      <c r="G33" s="6" t="s">
        <v>979</v>
      </c>
      <c r="H33" s="6" t="s">
        <v>980</v>
      </c>
      <c r="I33" s="6" t="s">
        <v>877</v>
      </c>
      <c r="J33" s="6" t="s">
        <v>1080</v>
      </c>
      <c r="K33" s="6" t="s">
        <v>878</v>
      </c>
      <c r="L33" s="6" t="s">
        <v>879</v>
      </c>
      <c r="M33" s="6" t="s">
        <v>891</v>
      </c>
      <c r="N33" s="12" t="s">
        <v>881</v>
      </c>
      <c r="O33" s="6" t="s">
        <v>882</v>
      </c>
      <c r="P33" s="6" t="s">
        <v>2</v>
      </c>
      <c r="Q33" s="6" t="s">
        <v>20</v>
      </c>
      <c r="R33" s="12"/>
      <c r="S33" s="12"/>
      <c r="T33" s="12"/>
      <c r="U33" s="12"/>
      <c r="V33" s="12"/>
      <c r="W33" s="12"/>
      <c r="X33" s="6" t="str">
        <f aca="false">IF(COUNT(R33:W33)=6,SUM(R33:W33),"ko‘rilmagan")</f>
        <v>ko‘rilmagan</v>
      </c>
      <c r="Y33" s="12" t="s">
        <v>1081</v>
      </c>
    </row>
    <row r="34" customFormat="false" ht="23.85" hidden="false" customHeight="false" outlineLevel="0" collapsed="false">
      <c r="A34" s="6" t="s">
        <v>1082</v>
      </c>
      <c r="B34" s="6" t="s">
        <v>73</v>
      </c>
      <c r="C34" s="6" t="s">
        <v>76</v>
      </c>
      <c r="D34" s="6" t="str">
        <f aca="false">IFERROR(INDEX(Mundarija!$D:$D,MATCH(B34,Mundarija!$A:$A,0)),"kod topilmadi")</f>
        <v>3.1. Gain va TGC.</v>
      </c>
      <c r="E34" s="6" t="s">
        <v>1083</v>
      </c>
      <c r="F34" s="11" t="s">
        <v>1084</v>
      </c>
      <c r="G34" s="6" t="s">
        <v>1085</v>
      </c>
      <c r="H34" s="6" t="s">
        <v>1086</v>
      </c>
      <c r="I34" s="6" t="s">
        <v>1087</v>
      </c>
      <c r="J34" s="6" t="s">
        <v>1088</v>
      </c>
      <c r="K34" s="6" t="s">
        <v>878</v>
      </c>
      <c r="L34" s="6" t="s">
        <v>879</v>
      </c>
      <c r="M34" s="6" t="s">
        <v>891</v>
      </c>
      <c r="N34" s="12" t="s">
        <v>881</v>
      </c>
      <c r="O34" s="6" t="s">
        <v>882</v>
      </c>
      <c r="P34" s="6" t="s">
        <v>2</v>
      </c>
      <c r="Q34" s="6" t="s">
        <v>20</v>
      </c>
      <c r="R34" s="12"/>
      <c r="S34" s="12"/>
      <c r="T34" s="12"/>
      <c r="U34" s="12"/>
      <c r="V34" s="12"/>
      <c r="W34" s="12"/>
      <c r="X34" s="6" t="str">
        <f aca="false">IF(COUNT(R34:W34)=6,SUM(R34:W34),"ko‘rilmagan")</f>
        <v>ko‘rilmagan</v>
      </c>
      <c r="Y34" s="12" t="s">
        <v>1081</v>
      </c>
    </row>
    <row r="35" customFormat="false" ht="23.85" hidden="false" customHeight="false" outlineLevel="0" collapsed="false">
      <c r="A35" s="6" t="s">
        <v>1089</v>
      </c>
      <c r="B35" s="6" t="s">
        <v>76</v>
      </c>
      <c r="C35" s="6" t="s">
        <v>78</v>
      </c>
      <c r="D35" s="6" t="str">
        <f aca="false">IFERROR(INDEX(Mundarija!$D:$D,MATCH(B35,Mundarija!$A:$A,0)),"kod topilmadi")</f>
        <v>3.2. Depth, fokus va ko‘rish maydoni.</v>
      </c>
      <c r="E35" s="6" t="s">
        <v>1090</v>
      </c>
      <c r="F35" s="11" t="s">
        <v>1091</v>
      </c>
      <c r="G35" s="6" t="s">
        <v>979</v>
      </c>
      <c r="H35" s="6" t="s">
        <v>980</v>
      </c>
      <c r="I35" s="6" t="s">
        <v>1092</v>
      </c>
      <c r="J35" s="6" t="s">
        <v>1093</v>
      </c>
      <c r="K35" s="6" t="s">
        <v>878</v>
      </c>
      <c r="L35" s="6" t="s">
        <v>879</v>
      </c>
      <c r="M35" s="6" t="s">
        <v>891</v>
      </c>
      <c r="N35" s="12" t="s">
        <v>881</v>
      </c>
      <c r="O35" s="6" t="s">
        <v>882</v>
      </c>
      <c r="P35" s="6" t="s">
        <v>2</v>
      </c>
      <c r="Q35" s="6" t="s">
        <v>20</v>
      </c>
      <c r="R35" s="12"/>
      <c r="S35" s="12"/>
      <c r="T35" s="12"/>
      <c r="U35" s="12"/>
      <c r="V35" s="12"/>
      <c r="W35" s="12"/>
      <c r="X35" s="6" t="str">
        <f aca="false">IF(COUNT(R35:W35)=6,SUM(R35:W35),"ko‘rilmagan")</f>
        <v>ko‘rilmagan</v>
      </c>
      <c r="Y35" s="12" t="s">
        <v>1094</v>
      </c>
    </row>
    <row r="36" customFormat="false" ht="23.85" hidden="false" customHeight="false" outlineLevel="0" collapsed="false">
      <c r="A36" s="6" t="s">
        <v>1095</v>
      </c>
      <c r="B36" s="6" t="s">
        <v>76</v>
      </c>
      <c r="C36" s="6" t="s">
        <v>63</v>
      </c>
      <c r="D36" s="6" t="str">
        <f aca="false">IFERROR(INDEX(Mundarija!$D:$D,MATCH(B36,Mundarija!$A:$A,0)),"kod topilmadi")</f>
        <v>3.2. Depth, fokus va ko‘rish maydoni.</v>
      </c>
      <c r="E36" s="6" t="s">
        <v>1096</v>
      </c>
      <c r="F36" s="11" t="s">
        <v>1097</v>
      </c>
      <c r="G36" s="6" t="s">
        <v>874</v>
      </c>
      <c r="H36" s="6" t="s">
        <v>967</v>
      </c>
      <c r="I36" s="6" t="s">
        <v>1098</v>
      </c>
      <c r="J36" s="6" t="s">
        <v>1099</v>
      </c>
      <c r="K36" s="6" t="s">
        <v>878</v>
      </c>
      <c r="L36" s="6" t="s">
        <v>904</v>
      </c>
      <c r="M36" s="6" t="s">
        <v>912</v>
      </c>
      <c r="N36" s="12" t="s">
        <v>881</v>
      </c>
      <c r="O36" s="6" t="s">
        <v>882</v>
      </c>
      <c r="P36" s="6" t="s">
        <v>2</v>
      </c>
      <c r="Q36" s="6" t="s">
        <v>20</v>
      </c>
      <c r="R36" s="12"/>
      <c r="S36" s="12"/>
      <c r="T36" s="12"/>
      <c r="U36" s="12"/>
      <c r="V36" s="12"/>
      <c r="W36" s="12"/>
      <c r="X36" s="6" t="str">
        <f aca="false">IF(COUNT(R36:W36)=6,SUM(R36:W36),"ko‘rilmagan")</f>
        <v>ko‘rilmagan</v>
      </c>
      <c r="Y36" s="12" t="s">
        <v>1100</v>
      </c>
    </row>
    <row r="37" customFormat="false" ht="23.85" hidden="false" customHeight="false" outlineLevel="0" collapsed="false">
      <c r="A37" s="6" t="s">
        <v>1101</v>
      </c>
      <c r="B37" s="6" t="s">
        <v>76</v>
      </c>
      <c r="C37" s="6"/>
      <c r="D37" s="6" t="str">
        <f aca="false">IFERROR(INDEX(Mundarija!$D:$D,MATCH(B37,Mundarija!$A:$A,0)),"kod topilmadi")</f>
        <v>3.2. Depth, fokus va ko‘rish maydoni.</v>
      </c>
      <c r="E37" s="6" t="s">
        <v>1102</v>
      </c>
      <c r="F37" s="11" t="s">
        <v>1103</v>
      </c>
      <c r="G37" s="6" t="s">
        <v>979</v>
      </c>
      <c r="H37" s="6" t="s">
        <v>980</v>
      </c>
      <c r="I37" s="6" t="s">
        <v>877</v>
      </c>
      <c r="J37" s="6" t="s">
        <v>1080</v>
      </c>
      <c r="K37" s="6" t="s">
        <v>878</v>
      </c>
      <c r="L37" s="6" t="s">
        <v>879</v>
      </c>
      <c r="M37" s="6" t="s">
        <v>912</v>
      </c>
      <c r="N37" s="12" t="s">
        <v>881</v>
      </c>
      <c r="O37" s="6" t="s">
        <v>882</v>
      </c>
      <c r="P37" s="6" t="s">
        <v>2</v>
      </c>
      <c r="Q37" s="6" t="s">
        <v>20</v>
      </c>
      <c r="R37" s="12"/>
      <c r="S37" s="12"/>
      <c r="T37" s="12"/>
      <c r="U37" s="12"/>
      <c r="V37" s="12"/>
      <c r="W37" s="12"/>
      <c r="X37" s="6" t="str">
        <f aca="false">IF(COUNT(R37:W37)=6,SUM(R37:W37),"ko‘rilmagan")</f>
        <v>ko‘rilmagan</v>
      </c>
      <c r="Y37" s="12" t="s">
        <v>1104</v>
      </c>
    </row>
    <row r="38" customFormat="false" ht="35.05" hidden="false" customHeight="false" outlineLevel="0" collapsed="false">
      <c r="A38" s="6" t="s">
        <v>1105</v>
      </c>
      <c r="B38" s="6" t="s">
        <v>78</v>
      </c>
      <c r="C38" s="6"/>
      <c r="D38" s="6" t="str">
        <f aca="false">IFERROR(INDEX(Mundarija!$D:$D,MATCH(B38,Mundarija!$A:$A,0)),"kod topilmadi")</f>
        <v>3.3. Dynamic range, chastota, frame rate va tasvir tezligi.</v>
      </c>
      <c r="E38" s="6" t="s">
        <v>1106</v>
      </c>
      <c r="F38" s="11" t="s">
        <v>1107</v>
      </c>
      <c r="G38" s="6" t="s">
        <v>874</v>
      </c>
      <c r="H38" s="6" t="s">
        <v>967</v>
      </c>
      <c r="I38" s="6" t="s">
        <v>1108</v>
      </c>
      <c r="J38" s="6" t="s">
        <v>1109</v>
      </c>
      <c r="K38" s="6" t="s">
        <v>878</v>
      </c>
      <c r="L38" s="6" t="s">
        <v>904</v>
      </c>
      <c r="M38" s="6" t="s">
        <v>912</v>
      </c>
      <c r="N38" s="12" t="s">
        <v>881</v>
      </c>
      <c r="O38" s="6" t="s">
        <v>882</v>
      </c>
      <c r="P38" s="6" t="s">
        <v>2</v>
      </c>
      <c r="Q38" s="6" t="s">
        <v>20</v>
      </c>
      <c r="R38" s="12"/>
      <c r="S38" s="12"/>
      <c r="T38" s="12"/>
      <c r="U38" s="12"/>
      <c r="V38" s="12"/>
      <c r="W38" s="12"/>
      <c r="X38" s="6" t="str">
        <f aca="false">IF(COUNT(R38:W38)=6,SUM(R38:W38),"ko‘rilmagan")</f>
        <v>ko‘rilmagan</v>
      </c>
      <c r="Y38" s="12" t="s">
        <v>1110</v>
      </c>
    </row>
    <row r="39" customFormat="false" ht="23.85" hidden="false" customHeight="false" outlineLevel="0" collapsed="false">
      <c r="A39" s="6" t="s">
        <v>1111</v>
      </c>
      <c r="B39" s="6" t="s">
        <v>84</v>
      </c>
      <c r="C39" s="6" t="s">
        <v>1112</v>
      </c>
      <c r="D39" s="6" t="str">
        <f aca="false">IFERROR(INDEX(Mundarija!$D:$D,MATCH(B39,Mundarija!$A:$A,0)),"kod topilmadi")</f>
        <v>3.6. Texnik xatolar va tasvir sifatini nazorat qilish.</v>
      </c>
      <c r="E39" s="6" t="s">
        <v>1113</v>
      </c>
      <c r="F39" s="11" t="s">
        <v>1114</v>
      </c>
      <c r="G39" s="6" t="s">
        <v>874</v>
      </c>
      <c r="H39" s="6" t="s">
        <v>967</v>
      </c>
      <c r="I39" s="6" t="s">
        <v>1115</v>
      </c>
      <c r="J39" s="6" t="s">
        <v>1116</v>
      </c>
      <c r="K39" s="6" t="s">
        <v>878</v>
      </c>
      <c r="L39" s="6" t="s">
        <v>904</v>
      </c>
      <c r="M39" s="6" t="s">
        <v>912</v>
      </c>
      <c r="N39" s="12" t="s">
        <v>881</v>
      </c>
      <c r="O39" s="6" t="s">
        <v>882</v>
      </c>
      <c r="P39" s="6" t="s">
        <v>2</v>
      </c>
      <c r="Q39" s="6" t="s">
        <v>20</v>
      </c>
      <c r="R39" s="12"/>
      <c r="S39" s="12"/>
      <c r="T39" s="12"/>
      <c r="U39" s="12"/>
      <c r="V39" s="12"/>
      <c r="W39" s="12"/>
      <c r="X39" s="6" t="str">
        <f aca="false">IF(COUNT(R39:W39)=6,SUM(R39:W39),"ko‘rilmagan")</f>
        <v>ko‘rilmagan</v>
      </c>
      <c r="Y39" s="12" t="s">
        <v>1117</v>
      </c>
    </row>
    <row r="40" customFormat="false" ht="23.85" hidden="false" customHeight="false" outlineLevel="0" collapsed="false">
      <c r="A40" s="6" t="s">
        <v>1118</v>
      </c>
      <c r="B40" s="6" t="s">
        <v>86</v>
      </c>
      <c r="C40" s="6"/>
      <c r="D40" s="6" t="str">
        <f aca="false">IFERROR(INDEX(Mundarija!$D:$D,MATCH(B40,Mundarija!$A:$A,0)),"kod topilmadi")</f>
        <v>4.1. Akustik soya va posterior akustik kuchayish.</v>
      </c>
      <c r="E40" s="6" t="s">
        <v>1119</v>
      </c>
      <c r="F40" s="11" t="s">
        <v>1120</v>
      </c>
      <c r="G40" s="6" t="s">
        <v>1121</v>
      </c>
      <c r="H40" s="6" t="s">
        <v>1122</v>
      </c>
      <c r="I40" s="6" t="s">
        <v>877</v>
      </c>
      <c r="J40" s="6" t="s">
        <v>1123</v>
      </c>
      <c r="K40" s="6" t="s">
        <v>878</v>
      </c>
      <c r="L40" s="6" t="s">
        <v>879</v>
      </c>
      <c r="M40" s="6" t="s">
        <v>891</v>
      </c>
      <c r="N40" s="12" t="s">
        <v>881</v>
      </c>
      <c r="O40" s="6" t="s">
        <v>882</v>
      </c>
      <c r="P40" s="6" t="s">
        <v>2</v>
      </c>
      <c r="Q40" s="6" t="s">
        <v>1032</v>
      </c>
      <c r="R40" s="12"/>
      <c r="S40" s="12"/>
      <c r="T40" s="12"/>
      <c r="U40" s="12"/>
      <c r="V40" s="12"/>
      <c r="W40" s="12"/>
      <c r="X40" s="6" t="str">
        <f aca="false">IF(COUNT(R40:W40)=6,SUM(R40:W40),"ko‘rilmagan")</f>
        <v>ko‘rilmagan</v>
      </c>
      <c r="Y40" s="12" t="s">
        <v>1033</v>
      </c>
    </row>
    <row r="41" customFormat="false" ht="23.85" hidden="false" customHeight="false" outlineLevel="0" collapsed="false">
      <c r="A41" s="6" t="s">
        <v>1124</v>
      </c>
      <c r="B41" s="6" t="s">
        <v>89</v>
      </c>
      <c r="C41" s="6"/>
      <c r="D41" s="6" t="str">
        <f aca="false">IFERROR(INDEX(Mundarija!$D:$D,MATCH(B41,Mundarija!$A:$A,0)),"kod topilmadi")</f>
        <v>4.2. Reverberatsiya, kometa dumi va ring-down.</v>
      </c>
      <c r="E41" s="6" t="s">
        <v>1125</v>
      </c>
      <c r="F41" s="11" t="s">
        <v>1126</v>
      </c>
      <c r="G41" s="6" t="s">
        <v>1121</v>
      </c>
      <c r="H41" s="6" t="s">
        <v>1122</v>
      </c>
      <c r="I41" s="6" t="s">
        <v>877</v>
      </c>
      <c r="J41" s="6" t="s">
        <v>1127</v>
      </c>
      <c r="K41" s="6" t="s">
        <v>878</v>
      </c>
      <c r="L41" s="6" t="s">
        <v>879</v>
      </c>
      <c r="M41" s="6" t="s">
        <v>891</v>
      </c>
      <c r="N41" s="12" t="s">
        <v>881</v>
      </c>
      <c r="O41" s="6" t="s">
        <v>882</v>
      </c>
      <c r="P41" s="6" t="s">
        <v>2</v>
      </c>
      <c r="Q41" s="6" t="s">
        <v>1032</v>
      </c>
      <c r="R41" s="12"/>
      <c r="S41" s="12"/>
      <c r="T41" s="12"/>
      <c r="U41" s="12"/>
      <c r="V41" s="12"/>
      <c r="W41" s="12"/>
      <c r="X41" s="6" t="str">
        <f aca="false">IF(COUNT(R41:W41)=6,SUM(R41:W41),"ko‘rilmagan")</f>
        <v>ko‘rilmagan</v>
      </c>
      <c r="Y41" s="12" t="s">
        <v>1033</v>
      </c>
    </row>
    <row r="42" customFormat="false" ht="23.85" hidden="false" customHeight="false" outlineLevel="0" collapsed="false">
      <c r="A42" s="6" t="s">
        <v>1128</v>
      </c>
      <c r="B42" s="6" t="s">
        <v>98</v>
      </c>
      <c r="C42" s="6" t="s">
        <v>91</v>
      </c>
      <c r="D42" s="6" t="str">
        <f aca="false">IFERROR(INDEX(Mundarija!$D:$D,MATCH(B42,Mundarija!$A:$A,0)),"kod topilmadi")</f>
        <v>4.6. Artefaktlarni patologiyadan farqlash va diagnostik ahamiyati.</v>
      </c>
      <c r="E42" s="6" t="s">
        <v>1129</v>
      </c>
      <c r="F42" s="11" t="s">
        <v>1130</v>
      </c>
      <c r="G42" s="6" t="s">
        <v>1131</v>
      </c>
      <c r="H42" s="6" t="s">
        <v>1132</v>
      </c>
      <c r="I42" s="6" t="s">
        <v>877</v>
      </c>
      <c r="J42" s="6" t="s">
        <v>1133</v>
      </c>
      <c r="K42" s="6" t="s">
        <v>878</v>
      </c>
      <c r="L42" s="6" t="s">
        <v>904</v>
      </c>
      <c r="M42" s="6" t="s">
        <v>912</v>
      </c>
      <c r="N42" s="12" t="s">
        <v>881</v>
      </c>
      <c r="O42" s="6" t="s">
        <v>882</v>
      </c>
      <c r="P42" s="6" t="s">
        <v>2</v>
      </c>
      <c r="Q42" s="6" t="s">
        <v>20</v>
      </c>
      <c r="R42" s="12"/>
      <c r="S42" s="12"/>
      <c r="T42" s="12"/>
      <c r="U42" s="12"/>
      <c r="V42" s="12"/>
      <c r="W42" s="12"/>
      <c r="X42" s="6" t="str">
        <f aca="false">IF(COUNT(R42:W42)=6,SUM(R42:W42),"ko‘rilmagan")</f>
        <v>ko‘rilmagan</v>
      </c>
      <c r="Y42" s="12" t="s">
        <v>1134</v>
      </c>
    </row>
    <row r="43" customFormat="false" ht="23.85" hidden="false" customHeight="false" outlineLevel="0" collapsed="false">
      <c r="A43" s="6" t="s">
        <v>1135</v>
      </c>
      <c r="B43" s="6" t="s">
        <v>95</v>
      </c>
      <c r="C43" s="6"/>
      <c r="D43" s="6" t="str">
        <f aca="false">IFERROR(INDEX(Mundarija!$D:$D,MATCH(B43,Mundarija!$A:$A,0)),"kod topilmadi")</f>
        <v>4.5. Doppler aliasing va boshqa Doppler artefaktlari.</v>
      </c>
      <c r="E43" s="6" t="s">
        <v>1136</v>
      </c>
      <c r="F43" s="11" t="s">
        <v>1137</v>
      </c>
      <c r="G43" s="6" t="s">
        <v>1138</v>
      </c>
      <c r="H43" s="6" t="s">
        <v>910</v>
      </c>
      <c r="I43" s="6" t="s">
        <v>877</v>
      </c>
      <c r="J43" s="6" t="s">
        <v>1139</v>
      </c>
      <c r="K43" s="6" t="s">
        <v>878</v>
      </c>
      <c r="L43" s="6" t="s">
        <v>904</v>
      </c>
      <c r="M43" s="6" t="s">
        <v>891</v>
      </c>
      <c r="N43" s="12" t="s">
        <v>881</v>
      </c>
      <c r="O43" s="6" t="s">
        <v>882</v>
      </c>
      <c r="P43" s="6" t="s">
        <v>2</v>
      </c>
      <c r="Q43" s="6" t="s">
        <v>20</v>
      </c>
      <c r="R43" s="12"/>
      <c r="S43" s="12"/>
      <c r="T43" s="12"/>
      <c r="U43" s="12"/>
      <c r="V43" s="12"/>
      <c r="W43" s="12"/>
      <c r="X43" s="6" t="str">
        <f aca="false">IF(COUNT(R43:W43)=6,SUM(R43:W43),"ko‘rilmagan")</f>
        <v>ko‘rilmagan</v>
      </c>
      <c r="Y43" s="12" t="s">
        <v>1140</v>
      </c>
    </row>
    <row r="44" customFormat="false" ht="35.05" hidden="false" customHeight="false" outlineLevel="0" collapsed="false">
      <c r="A44" s="6" t="s">
        <v>1141</v>
      </c>
      <c r="B44" s="6" t="s">
        <v>107</v>
      </c>
      <c r="C44" s="6" t="s">
        <v>1142</v>
      </c>
      <c r="D44" s="6" t="str">
        <f aca="false">IFERROR(INDEX(Mundarija!$D:$D,MATCH(B44,Mundarija!$A:$A,0)),"kod topilmadi")</f>
        <v>5.4. PRF, scale, wall filter, gain va sample volume.</v>
      </c>
      <c r="E44" s="6" t="s">
        <v>1143</v>
      </c>
      <c r="F44" s="11" t="s">
        <v>1144</v>
      </c>
      <c r="G44" s="6" t="s">
        <v>874</v>
      </c>
      <c r="H44" s="6" t="s">
        <v>967</v>
      </c>
      <c r="I44" s="6" t="s">
        <v>1145</v>
      </c>
      <c r="J44" s="6" t="s">
        <v>1146</v>
      </c>
      <c r="K44" s="6" t="s">
        <v>878</v>
      </c>
      <c r="L44" s="6" t="s">
        <v>904</v>
      </c>
      <c r="M44" s="6" t="s">
        <v>891</v>
      </c>
      <c r="N44" s="12" t="s">
        <v>881</v>
      </c>
      <c r="O44" s="6" t="s">
        <v>882</v>
      </c>
      <c r="P44" s="6" t="s">
        <v>2</v>
      </c>
      <c r="Q44" s="6" t="s">
        <v>20</v>
      </c>
      <c r="R44" s="12"/>
      <c r="S44" s="12"/>
      <c r="T44" s="12"/>
      <c r="U44" s="12"/>
      <c r="V44" s="12"/>
      <c r="W44" s="12"/>
      <c r="X44" s="6" t="str">
        <f aca="false">IF(COUNT(R44:W44)=6,SUM(R44:W44),"ko‘rilmagan")</f>
        <v>ko‘rilmagan</v>
      </c>
      <c r="Y44" s="12" t="s">
        <v>1147</v>
      </c>
    </row>
    <row r="45" customFormat="false" ht="35.05" hidden="false" customHeight="false" outlineLevel="0" collapsed="false">
      <c r="A45" s="6" t="s">
        <v>1148</v>
      </c>
      <c r="B45" s="6" t="s">
        <v>100</v>
      </c>
      <c r="C45" s="6" t="s">
        <v>1149</v>
      </c>
      <c r="D45" s="6" t="str">
        <f aca="false">IFERROR(INDEX(Mundarija!$D:$D,MATCH(B45,Mundarija!$A:$A,0)),"kod topilmadi")</f>
        <v>5.1. Doppler effekti va Doppler tenglamasi.</v>
      </c>
      <c r="E45" s="6" t="s">
        <v>1150</v>
      </c>
      <c r="F45" s="11" t="s">
        <v>1151</v>
      </c>
      <c r="G45" s="6" t="s">
        <v>874</v>
      </c>
      <c r="H45" s="6" t="s">
        <v>967</v>
      </c>
      <c r="I45" s="6" t="s">
        <v>1152</v>
      </c>
      <c r="J45" s="6" t="s">
        <v>1153</v>
      </c>
      <c r="K45" s="6" t="s">
        <v>878</v>
      </c>
      <c r="L45" s="6" t="s">
        <v>904</v>
      </c>
      <c r="M45" s="6" t="s">
        <v>912</v>
      </c>
      <c r="N45" s="12" t="s">
        <v>881</v>
      </c>
      <c r="O45" s="6" t="s">
        <v>882</v>
      </c>
      <c r="P45" s="6" t="s">
        <v>2</v>
      </c>
      <c r="Q45" s="6" t="s">
        <v>20</v>
      </c>
      <c r="R45" s="12"/>
      <c r="S45" s="12"/>
      <c r="T45" s="12"/>
      <c r="U45" s="12"/>
      <c r="V45" s="12"/>
      <c r="W45" s="12"/>
      <c r="X45" s="6" t="str">
        <f aca="false">IF(COUNT(R45:W45)=6,SUM(R45:W45),"ko‘rilmagan")</f>
        <v>ko‘rilmagan</v>
      </c>
      <c r="Y45" s="12" t="s">
        <v>1154</v>
      </c>
    </row>
    <row r="46" customFormat="false" ht="35.05" hidden="false" customHeight="false" outlineLevel="0" collapsed="false">
      <c r="A46" s="6" t="s">
        <v>1155</v>
      </c>
      <c r="B46" s="6" t="s">
        <v>103</v>
      </c>
      <c r="C46" s="6"/>
      <c r="D46" s="6" t="str">
        <f aca="false">IFERROR(INDEX(Mundarija!$D:$D,MATCH(B46,Mundarija!$A:$A,0)),"kod topilmadi")</f>
        <v>5.2. Color Doppler va Power Doppler.</v>
      </c>
      <c r="E46" s="6" t="s">
        <v>1156</v>
      </c>
      <c r="F46" s="11" t="s">
        <v>1157</v>
      </c>
      <c r="G46" s="6" t="s">
        <v>1158</v>
      </c>
      <c r="H46" s="6" t="s">
        <v>1159</v>
      </c>
      <c r="I46" s="6" t="s">
        <v>877</v>
      </c>
      <c r="J46" s="6" t="s">
        <v>1160</v>
      </c>
      <c r="K46" s="6" t="s">
        <v>878</v>
      </c>
      <c r="L46" s="6" t="s">
        <v>879</v>
      </c>
      <c r="M46" s="6" t="s">
        <v>891</v>
      </c>
      <c r="N46" s="12" t="s">
        <v>881</v>
      </c>
      <c r="O46" s="6" t="s">
        <v>882</v>
      </c>
      <c r="P46" s="6" t="s">
        <v>2</v>
      </c>
      <c r="Q46" s="6" t="s">
        <v>20</v>
      </c>
      <c r="R46" s="12"/>
      <c r="S46" s="12"/>
      <c r="T46" s="12"/>
      <c r="U46" s="12"/>
      <c r="V46" s="12"/>
      <c r="W46" s="12"/>
      <c r="X46" s="6" t="str">
        <f aca="false">IF(COUNT(R46:W46)=6,SUM(R46:W46),"ko‘rilmagan")</f>
        <v>ko‘rilmagan</v>
      </c>
      <c r="Y46" s="12" t="s">
        <v>1161</v>
      </c>
    </row>
    <row r="47" customFormat="false" ht="23.85" hidden="false" customHeight="false" outlineLevel="0" collapsed="false">
      <c r="A47" s="6" t="s">
        <v>1162</v>
      </c>
      <c r="B47" s="6" t="s">
        <v>111</v>
      </c>
      <c r="C47" s="6"/>
      <c r="D47" s="6" t="str">
        <f aca="false">IFERROR(INDEX(Mundarija!$D:$D,MATCH(B47,Mundarija!$A:$A,0)),"kod topilmadi")</f>
        <v>5.6. Tezlik, RI, PI va boshqa gemodinamik ko‘rsatkichlar.</v>
      </c>
      <c r="E47" s="6" t="s">
        <v>1163</v>
      </c>
      <c r="F47" s="11" t="s">
        <v>1164</v>
      </c>
      <c r="G47" s="6" t="s">
        <v>1165</v>
      </c>
      <c r="H47" s="6" t="s">
        <v>888</v>
      </c>
      <c r="I47" s="6" t="s">
        <v>1166</v>
      </c>
      <c r="J47" s="6" t="s">
        <v>1167</v>
      </c>
      <c r="K47" s="6" t="s">
        <v>878</v>
      </c>
      <c r="L47" s="6" t="s">
        <v>879</v>
      </c>
      <c r="M47" s="6" t="s">
        <v>912</v>
      </c>
      <c r="N47" s="12" t="s">
        <v>881</v>
      </c>
      <c r="O47" s="6" t="s">
        <v>882</v>
      </c>
      <c r="P47" s="6" t="s">
        <v>2</v>
      </c>
      <c r="Q47" s="6" t="s">
        <v>20</v>
      </c>
      <c r="R47" s="12"/>
      <c r="S47" s="12"/>
      <c r="T47" s="12"/>
      <c r="U47" s="12"/>
      <c r="V47" s="12"/>
      <c r="W47" s="12"/>
      <c r="X47" s="6" t="str">
        <f aca="false">IF(COUNT(R47:W47)=6,SUM(R47:W47),"ko‘rilmagan")</f>
        <v>ko‘rilmagan</v>
      </c>
      <c r="Y47" s="12" t="s">
        <v>1168</v>
      </c>
    </row>
    <row r="48" customFormat="false" ht="23.85" hidden="false" customHeight="false" outlineLevel="0" collapsed="false">
      <c r="A48" s="6" t="s">
        <v>1169</v>
      </c>
      <c r="B48" s="6" t="s">
        <v>111</v>
      </c>
      <c r="C48" s="6"/>
      <c r="D48" s="6" t="str">
        <f aca="false">IFERROR(INDEX(Mundarija!$D:$D,MATCH(B48,Mundarija!$A:$A,0)),"kod topilmadi")</f>
        <v>5.6. Tezlik, RI, PI va boshqa gemodinamik ko‘rsatkichlar.</v>
      </c>
      <c r="E48" s="6" t="s">
        <v>1170</v>
      </c>
      <c r="F48" s="11" t="s">
        <v>1171</v>
      </c>
      <c r="G48" s="6" t="s">
        <v>874</v>
      </c>
      <c r="H48" s="6" t="s">
        <v>967</v>
      </c>
      <c r="I48" s="6" t="s">
        <v>1172</v>
      </c>
      <c r="J48" s="6" t="s">
        <v>1173</v>
      </c>
      <c r="K48" s="6" t="s">
        <v>878</v>
      </c>
      <c r="L48" s="6" t="s">
        <v>904</v>
      </c>
      <c r="M48" s="6" t="s">
        <v>912</v>
      </c>
      <c r="N48" s="12" t="s">
        <v>881</v>
      </c>
      <c r="O48" s="6" t="s">
        <v>882</v>
      </c>
      <c r="P48" s="6" t="s">
        <v>2</v>
      </c>
      <c r="Q48" s="6" t="s">
        <v>20</v>
      </c>
      <c r="R48" s="12"/>
      <c r="S48" s="12"/>
      <c r="T48" s="12"/>
      <c r="U48" s="12"/>
      <c r="V48" s="12"/>
      <c r="W48" s="12"/>
      <c r="X48" s="6" t="str">
        <f aca="false">IF(COUNT(R48:W48)=6,SUM(R48:W48),"ko‘rilmagan")</f>
        <v>ko‘rilmagan</v>
      </c>
      <c r="Y48" s="12" t="s">
        <v>1174</v>
      </c>
    </row>
    <row r="49" customFormat="false" ht="35.05" hidden="false" customHeight="false" outlineLevel="0" collapsed="false">
      <c r="A49" s="6" t="s">
        <v>1175</v>
      </c>
      <c r="B49" s="6" t="s">
        <v>116</v>
      </c>
      <c r="C49" s="6" t="s">
        <v>1176</v>
      </c>
      <c r="D49" s="6" t="str">
        <f aca="false">IFERROR(INDEX(Mundarija!$D:$D,MATCH(B49,Mundarija!$A:$A,0)),"kod topilmadi")</f>
        <v>6.1. Ultratovushning termal va mexanik bioeffektlari.</v>
      </c>
      <c r="E49" s="6" t="s">
        <v>1177</v>
      </c>
      <c r="F49" s="11" t="s">
        <v>1178</v>
      </c>
      <c r="G49" s="6" t="s">
        <v>1179</v>
      </c>
      <c r="H49" s="6" t="s">
        <v>1180</v>
      </c>
      <c r="I49" s="6" t="s">
        <v>877</v>
      </c>
      <c r="J49" s="6" t="s">
        <v>1181</v>
      </c>
      <c r="K49" s="6" t="s">
        <v>878</v>
      </c>
      <c r="L49" s="6" t="s">
        <v>904</v>
      </c>
      <c r="M49" s="6" t="s">
        <v>912</v>
      </c>
      <c r="N49" s="12" t="s">
        <v>881</v>
      </c>
      <c r="O49" s="6" t="s">
        <v>882</v>
      </c>
      <c r="P49" s="6" t="s">
        <v>2</v>
      </c>
      <c r="Q49" s="6" t="s">
        <v>20</v>
      </c>
      <c r="R49" s="12"/>
      <c r="S49" s="12"/>
      <c r="T49" s="12"/>
      <c r="U49" s="12"/>
      <c r="V49" s="12"/>
      <c r="W49" s="12"/>
      <c r="X49" s="6" t="str">
        <f aca="false">IF(COUNT(R49:W49)=6,SUM(R49:W49),"ko‘rilmagan")</f>
        <v>ko‘rilmagan</v>
      </c>
      <c r="Y49" s="12" t="s">
        <v>1182</v>
      </c>
    </row>
    <row r="50" customFormat="false" ht="35.05" hidden="false" customHeight="false" outlineLevel="0" collapsed="false">
      <c r="A50" s="6" t="s">
        <v>1183</v>
      </c>
      <c r="B50" s="6" t="s">
        <v>119</v>
      </c>
      <c r="C50" s="6"/>
      <c r="D50" s="6" t="str">
        <f aca="false">IFERROR(INDEX(Mundarija!$D:$D,MATCH(B50,Mundarija!$A:$A,0)),"kod topilmadi")</f>
        <v>6.2. Thermal Index (TI) va Mechanical Index (MI).</v>
      </c>
      <c r="E50" s="6" t="s">
        <v>1184</v>
      </c>
      <c r="F50" s="11" t="s">
        <v>1185</v>
      </c>
      <c r="G50" s="6" t="s">
        <v>1138</v>
      </c>
      <c r="H50" s="6" t="s">
        <v>910</v>
      </c>
      <c r="I50" s="6" t="s">
        <v>877</v>
      </c>
      <c r="J50" s="6" t="s">
        <v>1186</v>
      </c>
      <c r="K50" s="6" t="s">
        <v>878</v>
      </c>
      <c r="L50" s="6" t="s">
        <v>879</v>
      </c>
      <c r="M50" s="6" t="s">
        <v>891</v>
      </c>
      <c r="N50" s="12" t="s">
        <v>881</v>
      </c>
      <c r="O50" s="6" t="s">
        <v>882</v>
      </c>
      <c r="P50" s="6" t="s">
        <v>2</v>
      </c>
      <c r="Q50" s="6" t="s">
        <v>20</v>
      </c>
      <c r="R50" s="12"/>
      <c r="S50" s="12"/>
      <c r="T50" s="12"/>
      <c r="U50" s="12"/>
      <c r="V50" s="12"/>
      <c r="W50" s="12"/>
      <c r="X50" s="6" t="str">
        <f aca="false">IF(COUNT(R50:W50)=6,SUM(R50:W50),"ko‘rilmagan")</f>
        <v>ko‘rilmagan</v>
      </c>
      <c r="Y50" s="12" t="s">
        <v>1187</v>
      </c>
    </row>
    <row r="51" customFormat="false" ht="35.05" hidden="false" customHeight="false" outlineLevel="0" collapsed="false">
      <c r="A51" s="6" t="s">
        <v>1188</v>
      </c>
      <c r="B51" s="6" t="s">
        <v>128</v>
      </c>
      <c r="C51" s="6" t="s">
        <v>119</v>
      </c>
      <c r="D51" s="6" t="str">
        <f aca="false">IFERROR(INDEX(Mundarija!$D:$D,MATCH(B51,Mundarija!$A:$A,0)),"kod topilmadi")</f>
        <v>6.6. Kontrastli UZI xavfsizligi va maxsus tayyorgarlik talablari.</v>
      </c>
      <c r="E51" s="6" t="s">
        <v>1189</v>
      </c>
      <c r="F51" s="11" t="s">
        <v>1190</v>
      </c>
      <c r="G51" s="6" t="s">
        <v>874</v>
      </c>
      <c r="H51" s="6" t="s">
        <v>967</v>
      </c>
      <c r="I51" s="6" t="s">
        <v>1191</v>
      </c>
      <c r="J51" s="6" t="s">
        <v>1062</v>
      </c>
      <c r="K51" s="6" t="s">
        <v>878</v>
      </c>
      <c r="L51" s="6" t="s">
        <v>904</v>
      </c>
      <c r="M51" s="6" t="s">
        <v>912</v>
      </c>
      <c r="N51" s="12" t="s">
        <v>881</v>
      </c>
      <c r="O51" s="6" t="s">
        <v>882</v>
      </c>
      <c r="P51" s="6" t="s">
        <v>2</v>
      </c>
      <c r="Q51" s="6" t="s">
        <v>20</v>
      </c>
      <c r="R51" s="12"/>
      <c r="S51" s="12"/>
      <c r="T51" s="12"/>
      <c r="U51" s="12"/>
      <c r="V51" s="12"/>
      <c r="W51" s="12"/>
      <c r="X51" s="6" t="str">
        <f aca="false">IF(COUNT(R51:W51)=6,SUM(R51:W51),"ko‘rilmagan")</f>
        <v>ko‘rilmagan</v>
      </c>
      <c r="Y51" s="12" t="s">
        <v>1192</v>
      </c>
    </row>
    <row r="52" customFormat="false" ht="23.85" hidden="false" customHeight="false" outlineLevel="0" collapsed="false">
      <c r="A52" s="6" t="s">
        <v>1193</v>
      </c>
      <c r="B52" s="6" t="s">
        <v>86</v>
      </c>
      <c r="C52" s="6"/>
      <c r="D52" s="6" t="str">
        <f aca="false">IFERROR(INDEX(Mundarija!$D:$D,MATCH(B52,Mundarija!$A:$A,0)),"kod topilmadi")</f>
        <v>4.1. Akustik soya va posterior akustik kuchayish.</v>
      </c>
      <c r="E52" s="6" t="s">
        <v>1194</v>
      </c>
      <c r="F52" s="11" t="s">
        <v>1195</v>
      </c>
      <c r="G52" s="6" t="s">
        <v>1138</v>
      </c>
      <c r="H52" s="6" t="s">
        <v>910</v>
      </c>
      <c r="I52" s="6" t="s">
        <v>877</v>
      </c>
      <c r="J52" s="6" t="s">
        <v>877</v>
      </c>
      <c r="K52" s="6" t="s">
        <v>878</v>
      </c>
      <c r="L52" s="6" t="s">
        <v>879</v>
      </c>
      <c r="M52" s="6" t="s">
        <v>891</v>
      </c>
      <c r="N52" s="12" t="s">
        <v>881</v>
      </c>
      <c r="O52" s="6" t="s">
        <v>882</v>
      </c>
      <c r="P52" s="6" t="s">
        <v>2</v>
      </c>
      <c r="Q52" s="6" t="s">
        <v>20</v>
      </c>
      <c r="R52" s="12"/>
      <c r="S52" s="12"/>
      <c r="T52" s="12"/>
      <c r="U52" s="12"/>
      <c r="V52" s="12"/>
      <c r="W52" s="12"/>
      <c r="X52" s="6" t="str">
        <f aca="false">IF(COUNT(R52:W52)=6,SUM(R52:W52),"ko‘rilmagan")</f>
        <v>ko‘rilmagan</v>
      </c>
      <c r="Y52" s="12" t="s">
        <v>1196</v>
      </c>
    </row>
    <row r="53" customFormat="false" ht="23.85" hidden="false" customHeight="false" outlineLevel="0" collapsed="false">
      <c r="A53" s="6" t="s">
        <v>1197</v>
      </c>
      <c r="B53" s="6" t="s">
        <v>86</v>
      </c>
      <c r="C53" s="6"/>
      <c r="D53" s="6" t="str">
        <f aca="false">IFERROR(INDEX(Mundarija!$D:$D,MATCH(B53,Mundarija!$A:$A,0)),"kod topilmadi")</f>
        <v>4.1. Akustik soya va posterior akustik kuchayish.</v>
      </c>
      <c r="E53" s="6" t="s">
        <v>1198</v>
      </c>
      <c r="F53" s="11" t="s">
        <v>1199</v>
      </c>
      <c r="G53" s="6" t="s">
        <v>1138</v>
      </c>
      <c r="H53" s="6" t="s">
        <v>910</v>
      </c>
      <c r="I53" s="6" t="s">
        <v>877</v>
      </c>
      <c r="J53" s="6" t="s">
        <v>877</v>
      </c>
      <c r="K53" s="6" t="s">
        <v>878</v>
      </c>
      <c r="L53" s="6" t="s">
        <v>879</v>
      </c>
      <c r="M53" s="6" t="s">
        <v>891</v>
      </c>
      <c r="N53" s="12" t="s">
        <v>881</v>
      </c>
      <c r="O53" s="6" t="s">
        <v>882</v>
      </c>
      <c r="P53" s="6" t="s">
        <v>2</v>
      </c>
      <c r="Q53" s="6" t="s">
        <v>20</v>
      </c>
      <c r="R53" s="12"/>
      <c r="S53" s="12"/>
      <c r="T53" s="12"/>
      <c r="U53" s="12"/>
      <c r="V53" s="12"/>
      <c r="W53" s="12"/>
      <c r="X53" s="6" t="str">
        <f aca="false">IF(COUNT(R53:W53)=6,SUM(R53:W53),"ko‘rilmagan")</f>
        <v>ko‘rilmagan</v>
      </c>
      <c r="Y53" s="12" t="s">
        <v>1196</v>
      </c>
    </row>
    <row r="54" customFormat="false" ht="23.85" hidden="false" customHeight="false" outlineLevel="0" collapsed="false">
      <c r="A54" s="6" t="s">
        <v>1200</v>
      </c>
      <c r="B54" s="6" t="s">
        <v>89</v>
      </c>
      <c r="C54" s="6"/>
      <c r="D54" s="6" t="str">
        <f aca="false">IFERROR(INDEX(Mundarija!$D:$D,MATCH(B54,Mundarija!$A:$A,0)),"kod topilmadi")</f>
        <v>4.2. Reverberatsiya, kometa dumi va ring-down.</v>
      </c>
      <c r="E54" s="6" t="s">
        <v>1201</v>
      </c>
      <c r="F54" s="11" t="s">
        <v>1202</v>
      </c>
      <c r="G54" s="6" t="s">
        <v>1203</v>
      </c>
      <c r="H54" s="6" t="s">
        <v>1204</v>
      </c>
      <c r="I54" s="6" t="s">
        <v>877</v>
      </c>
      <c r="J54" s="6" t="s">
        <v>877</v>
      </c>
      <c r="K54" s="6" t="s">
        <v>878</v>
      </c>
      <c r="L54" s="6" t="s">
        <v>879</v>
      </c>
      <c r="M54" s="6" t="s">
        <v>891</v>
      </c>
      <c r="N54" s="12" t="s">
        <v>881</v>
      </c>
      <c r="O54" s="6" t="s">
        <v>882</v>
      </c>
      <c r="P54" s="6" t="s">
        <v>2</v>
      </c>
      <c r="Q54" s="6" t="s">
        <v>20</v>
      </c>
      <c r="R54" s="12"/>
      <c r="S54" s="12"/>
      <c r="T54" s="12"/>
      <c r="U54" s="12"/>
      <c r="V54" s="12"/>
      <c r="W54" s="12"/>
      <c r="X54" s="6" t="str">
        <f aca="false">IF(COUNT(R54:W54)=6,SUM(R54:W54),"ko‘rilmagan")</f>
        <v>ko‘rilmagan</v>
      </c>
      <c r="Y54" s="12" t="s">
        <v>1205</v>
      </c>
    </row>
    <row r="55" customFormat="false" ht="23.85" hidden="false" customHeight="false" outlineLevel="0" collapsed="false">
      <c r="A55" s="6" t="s">
        <v>1206</v>
      </c>
      <c r="B55" s="6" t="s">
        <v>98</v>
      </c>
      <c r="C55" s="6" t="s">
        <v>1207</v>
      </c>
      <c r="D55" s="6" t="str">
        <f aca="false">IFERROR(INDEX(Mundarija!$D:$D,MATCH(B55,Mundarija!$A:$A,0)),"kod topilmadi")</f>
        <v>4.6. Artefaktlarni patologiyadan farqlash va diagnostik ahamiyati.</v>
      </c>
      <c r="E55" s="6" t="s">
        <v>1208</v>
      </c>
      <c r="F55" s="11" t="s">
        <v>1209</v>
      </c>
      <c r="G55" s="6" t="s">
        <v>1210</v>
      </c>
      <c r="H55" s="6" t="s">
        <v>910</v>
      </c>
      <c r="I55" s="6" t="s">
        <v>877</v>
      </c>
      <c r="J55" s="6" t="s">
        <v>877</v>
      </c>
      <c r="K55" s="6" t="s">
        <v>878</v>
      </c>
      <c r="L55" s="6" t="s">
        <v>879</v>
      </c>
      <c r="M55" s="6" t="s">
        <v>912</v>
      </c>
      <c r="N55" s="12" t="s">
        <v>881</v>
      </c>
      <c r="O55" s="6" t="s">
        <v>882</v>
      </c>
      <c r="P55" s="6" t="s">
        <v>2</v>
      </c>
      <c r="Q55" s="6" t="s">
        <v>20</v>
      </c>
      <c r="R55" s="12"/>
      <c r="S55" s="12"/>
      <c r="T55" s="12"/>
      <c r="U55" s="12"/>
      <c r="V55" s="12"/>
      <c r="W55" s="12"/>
      <c r="X55" s="6" t="str">
        <f aca="false">IF(COUNT(R55:W55)=6,SUM(R55:W55),"ko‘rilmagan")</f>
        <v>ko‘rilmagan</v>
      </c>
      <c r="Y55" s="12" t="s">
        <v>1134</v>
      </c>
    </row>
    <row r="56" customFormat="false" ht="35.05" hidden="false" customHeight="false" outlineLevel="0" collapsed="false">
      <c r="A56" s="6" t="s">
        <v>1211</v>
      </c>
      <c r="B56" s="6" t="s">
        <v>98</v>
      </c>
      <c r="C56" s="6"/>
      <c r="D56" s="6" t="str">
        <f aca="false">IFERROR(INDEX(Mundarija!$D:$D,MATCH(B56,Mundarija!$A:$A,0)),"kod topilmadi")</f>
        <v>4.6. Artefaktlarni patologiyadan farqlash va diagnostik ahamiyati.</v>
      </c>
      <c r="E56" s="6" t="s">
        <v>1212</v>
      </c>
      <c r="F56" s="11" t="s">
        <v>1213</v>
      </c>
      <c r="G56" s="6" t="s">
        <v>1214</v>
      </c>
      <c r="H56" s="6" t="s">
        <v>980</v>
      </c>
      <c r="I56" s="6" t="s">
        <v>877</v>
      </c>
      <c r="J56" s="6" t="s">
        <v>877</v>
      </c>
      <c r="K56" s="6" t="s">
        <v>878</v>
      </c>
      <c r="L56" s="6" t="s">
        <v>904</v>
      </c>
      <c r="M56" s="6" t="s">
        <v>912</v>
      </c>
      <c r="N56" s="12" t="s">
        <v>881</v>
      </c>
      <c r="O56" s="6" t="s">
        <v>882</v>
      </c>
      <c r="P56" s="6" t="s">
        <v>2</v>
      </c>
      <c r="Q56" s="6" t="s">
        <v>20</v>
      </c>
      <c r="R56" s="12"/>
      <c r="S56" s="12"/>
      <c r="T56" s="12"/>
      <c r="U56" s="12"/>
      <c r="V56" s="12"/>
      <c r="W56" s="12"/>
      <c r="X56" s="6" t="str">
        <f aca="false">IF(COUNT(R56:W56)=6,SUM(R56:W56),"ko‘rilmagan")</f>
        <v>ko‘rilmagan</v>
      </c>
      <c r="Y56" s="12" t="s">
        <v>1134</v>
      </c>
    </row>
    <row r="57" customFormat="false" ht="23.85" hidden="false" customHeight="false" outlineLevel="0" collapsed="false">
      <c r="A57" s="6" t="s">
        <v>1215</v>
      </c>
      <c r="B57" s="6" t="s">
        <v>59</v>
      </c>
      <c r="C57" s="6"/>
      <c r="D57" s="6" t="str">
        <f aca="false">IFERROR(INDEX(Mundarija!$D:$D,MATCH(B57,Mundarija!$A:$A,0)),"kod topilmadi")</f>
        <v>2.2. Konveks, chiziqli, sektor/fazalangan va endokavitar datchiklar.</v>
      </c>
      <c r="E57" s="6" t="s">
        <v>1216</v>
      </c>
      <c r="F57" s="11" t="s">
        <v>1217</v>
      </c>
      <c r="G57" s="6" t="s">
        <v>1218</v>
      </c>
      <c r="H57" s="6" t="s">
        <v>910</v>
      </c>
      <c r="I57" s="6" t="s">
        <v>877</v>
      </c>
      <c r="J57" s="6" t="s">
        <v>877</v>
      </c>
      <c r="K57" s="6" t="s">
        <v>878</v>
      </c>
      <c r="L57" s="6" t="s">
        <v>879</v>
      </c>
      <c r="M57" s="6" t="s">
        <v>912</v>
      </c>
      <c r="N57" s="12" t="s">
        <v>881</v>
      </c>
      <c r="O57" s="6" t="s">
        <v>882</v>
      </c>
      <c r="P57" s="6" t="s">
        <v>2</v>
      </c>
      <c r="Q57" s="6" t="s">
        <v>20</v>
      </c>
      <c r="R57" s="12"/>
      <c r="S57" s="12"/>
      <c r="T57" s="12"/>
      <c r="U57" s="12"/>
      <c r="V57" s="12"/>
      <c r="W57" s="12"/>
      <c r="X57" s="6" t="str">
        <f aca="false">IF(COUNT(R57:W57)=6,SUM(R57:W57),"ko‘rilmagan")</f>
        <v>ko‘rilmagan</v>
      </c>
      <c r="Y57" s="12" t="s">
        <v>1219</v>
      </c>
    </row>
    <row r="58" customFormat="false" ht="23.85" hidden="false" customHeight="false" outlineLevel="0" collapsed="false">
      <c r="A58" s="6" t="s">
        <v>1220</v>
      </c>
      <c r="B58" s="6" t="s">
        <v>177</v>
      </c>
      <c r="C58" s="6"/>
      <c r="D58" s="6" t="str">
        <f aca="false">IFERROR(INDEX(Mundarija!$D:$D,MATCH(B58,Mundarija!$A:$A,0)),"kod topilmadi")</f>
        <v>10.2. Jigarni standart tekshirish protokoli.</v>
      </c>
      <c r="E58" s="6" t="s">
        <v>1221</v>
      </c>
      <c r="F58" s="11" t="s">
        <v>1222</v>
      </c>
      <c r="G58" s="6" t="s">
        <v>1223</v>
      </c>
      <c r="H58" s="6" t="s">
        <v>910</v>
      </c>
      <c r="I58" s="6" t="s">
        <v>877</v>
      </c>
      <c r="J58" s="6" t="s">
        <v>877</v>
      </c>
      <c r="K58" s="6" t="s">
        <v>878</v>
      </c>
      <c r="L58" s="6" t="s">
        <v>1224</v>
      </c>
      <c r="M58" s="6" t="s">
        <v>1224</v>
      </c>
      <c r="N58" s="12" t="s">
        <v>881</v>
      </c>
      <c r="O58" s="6" t="s">
        <v>882</v>
      </c>
      <c r="P58" s="6" t="s">
        <v>2</v>
      </c>
      <c r="Q58" s="6" t="s">
        <v>20</v>
      </c>
      <c r="R58" s="12"/>
      <c r="S58" s="12"/>
      <c r="T58" s="12"/>
      <c r="U58" s="12"/>
      <c r="V58" s="12"/>
      <c r="W58" s="12"/>
      <c r="X58" s="6" t="str">
        <f aca="false">IF(COUNT(R58:W58)=6,SUM(R58:W58),"ko‘rilmagan")</f>
        <v>ko‘rilmagan</v>
      </c>
      <c r="Y58" s="12" t="s">
        <v>1225</v>
      </c>
    </row>
    <row r="59" customFormat="false" ht="35.05" hidden="false" customHeight="false" outlineLevel="0" collapsed="false">
      <c r="A59" s="6" t="s">
        <v>1226</v>
      </c>
      <c r="B59" s="6" t="s">
        <v>179</v>
      </c>
      <c r="C59" s="6"/>
      <c r="D59" s="6" t="str">
        <f aca="false">IFERROR(INDEX(Mundarija!$D:$D,MATCH(B59,Mundarija!$A:$A,0)),"kod topilmadi")</f>
        <v>10.3. Diffuz kasalliklar: steatoz, gepatit va sirroz.</v>
      </c>
      <c r="E59" s="6" t="s">
        <v>1227</v>
      </c>
      <c r="F59" s="11" t="s">
        <v>1228</v>
      </c>
      <c r="G59" s="6" t="s">
        <v>1229</v>
      </c>
      <c r="H59" s="6" t="s">
        <v>910</v>
      </c>
      <c r="I59" s="6" t="s">
        <v>877</v>
      </c>
      <c r="J59" s="6" t="s">
        <v>877</v>
      </c>
      <c r="K59" s="6" t="s">
        <v>878</v>
      </c>
      <c r="L59" s="6" t="s">
        <v>1224</v>
      </c>
      <c r="M59" s="6" t="s">
        <v>1224</v>
      </c>
      <c r="N59" s="12" t="s">
        <v>881</v>
      </c>
      <c r="O59" s="6" t="s">
        <v>882</v>
      </c>
      <c r="P59" s="6" t="s">
        <v>2</v>
      </c>
      <c r="Q59" s="6" t="s">
        <v>20</v>
      </c>
      <c r="R59" s="12"/>
      <c r="S59" s="12"/>
      <c r="T59" s="12"/>
      <c r="U59" s="12"/>
      <c r="V59" s="12"/>
      <c r="W59" s="12"/>
      <c r="X59" s="6" t="str">
        <f aca="false">IF(COUNT(R59:W59)=6,SUM(R59:W59),"ko‘rilmagan")</f>
        <v>ko‘rilmagan</v>
      </c>
      <c r="Y59" s="12" t="s">
        <v>1230</v>
      </c>
    </row>
    <row r="60" customFormat="false" ht="23.85" hidden="false" customHeight="false" outlineLevel="0" collapsed="false">
      <c r="A60" s="6" t="s">
        <v>1231</v>
      </c>
      <c r="B60" s="6" t="s">
        <v>183</v>
      </c>
      <c r="C60" s="6" t="s">
        <v>1232</v>
      </c>
      <c r="D60" s="6" t="str">
        <f aca="false">IFERROR(INDEX(Mundarija!$D:$D,MATCH(B60,Mundarija!$A:$A,0)),"kod topilmadi")</f>
        <v>10.5. Fokal hosilalar: kista, gemangioma va boshqa benign o‘zgarishlar.</v>
      </c>
      <c r="E60" s="6" t="s">
        <v>1233</v>
      </c>
      <c r="F60" s="11" t="s">
        <v>1234</v>
      </c>
      <c r="G60" s="6" t="s">
        <v>1235</v>
      </c>
      <c r="H60" s="6" t="s">
        <v>910</v>
      </c>
      <c r="I60" s="6" t="s">
        <v>877</v>
      </c>
      <c r="J60" s="6" t="s">
        <v>877</v>
      </c>
      <c r="K60" s="6" t="s">
        <v>878</v>
      </c>
      <c r="L60" s="6" t="s">
        <v>1224</v>
      </c>
      <c r="M60" s="6" t="s">
        <v>1224</v>
      </c>
      <c r="N60" s="12" t="s">
        <v>881</v>
      </c>
      <c r="O60" s="6" t="s">
        <v>882</v>
      </c>
      <c r="P60" s="6" t="s">
        <v>2</v>
      </c>
      <c r="Q60" s="6" t="s">
        <v>20</v>
      </c>
      <c r="R60" s="12"/>
      <c r="S60" s="12"/>
      <c r="T60" s="12"/>
      <c r="U60" s="12"/>
      <c r="V60" s="12"/>
      <c r="W60" s="12"/>
      <c r="X60" s="6" t="str">
        <f aca="false">IF(COUNT(R60:W60)=6,SUM(R60:W60),"ko‘rilmagan")</f>
        <v>ko‘rilmagan</v>
      </c>
      <c r="Y60" s="12" t="s">
        <v>1236</v>
      </c>
    </row>
    <row r="61" customFormat="false" ht="23.85" hidden="false" customHeight="false" outlineLevel="0" collapsed="false">
      <c r="A61" s="6" t="s">
        <v>1237</v>
      </c>
      <c r="B61" s="6" t="s">
        <v>194</v>
      </c>
      <c r="C61" s="6"/>
      <c r="D61" s="6" t="str">
        <f aca="false">IFERROR(INDEX(Mundarija!$D:$D,MATCH(B61,Mundarija!$A:$A,0)),"kod topilmadi")</f>
        <v>11.1. Normal anatomiya va tekshiruv texnikasi.</v>
      </c>
      <c r="E61" s="6" t="s">
        <v>1238</v>
      </c>
      <c r="F61" s="11" t="s">
        <v>1239</v>
      </c>
      <c r="G61" s="6" t="s">
        <v>1229</v>
      </c>
      <c r="H61" s="6" t="s">
        <v>910</v>
      </c>
      <c r="I61" s="6" t="s">
        <v>877</v>
      </c>
      <c r="J61" s="6" t="s">
        <v>877</v>
      </c>
      <c r="K61" s="6" t="s">
        <v>878</v>
      </c>
      <c r="L61" s="6" t="s">
        <v>1224</v>
      </c>
      <c r="M61" s="6" t="s">
        <v>1224</v>
      </c>
      <c r="N61" s="12" t="s">
        <v>881</v>
      </c>
      <c r="O61" s="6" t="s">
        <v>882</v>
      </c>
      <c r="P61" s="6" t="s">
        <v>2</v>
      </c>
      <c r="Q61" s="6" t="s">
        <v>20</v>
      </c>
      <c r="R61" s="12"/>
      <c r="S61" s="12"/>
      <c r="T61" s="12"/>
      <c r="U61" s="12"/>
      <c r="V61" s="12"/>
      <c r="W61" s="12"/>
      <c r="X61" s="6" t="str">
        <f aca="false">IF(COUNT(R61:W61)=6,SUM(R61:W61),"ko‘rilmagan")</f>
        <v>ko‘rilmagan</v>
      </c>
      <c r="Y61" s="12" t="s">
        <v>1240</v>
      </c>
    </row>
    <row r="62" customFormat="false" ht="23.85" hidden="false" customHeight="false" outlineLevel="0" collapsed="false">
      <c r="A62" s="6" t="s">
        <v>1241</v>
      </c>
      <c r="B62" s="6" t="s">
        <v>197</v>
      </c>
      <c r="C62" s="6" t="s">
        <v>1242</v>
      </c>
      <c r="D62" s="6" t="str">
        <f aca="false">IFERROR(INDEX(Mundarija!$D:$D,MATCH(B62,Mundarija!$A:$A,0)),"kod topilmadi")</f>
        <v>11.2. Xolelitiaz va xoledoxolitiaz.</v>
      </c>
      <c r="E62" s="6" t="s">
        <v>1243</v>
      </c>
      <c r="F62" s="11" t="s">
        <v>1244</v>
      </c>
      <c r="G62" s="6" t="s">
        <v>1245</v>
      </c>
      <c r="H62" s="6" t="s">
        <v>910</v>
      </c>
      <c r="I62" s="6" t="s">
        <v>877</v>
      </c>
      <c r="J62" s="6" t="s">
        <v>877</v>
      </c>
      <c r="K62" s="6" t="s">
        <v>878</v>
      </c>
      <c r="L62" s="6" t="s">
        <v>1224</v>
      </c>
      <c r="M62" s="6" t="s">
        <v>1224</v>
      </c>
      <c r="N62" s="12" t="s">
        <v>881</v>
      </c>
      <c r="O62" s="6" t="s">
        <v>882</v>
      </c>
      <c r="P62" s="6" t="s">
        <v>2</v>
      </c>
      <c r="Q62" s="6" t="s">
        <v>20</v>
      </c>
      <c r="R62" s="12"/>
      <c r="S62" s="12"/>
      <c r="T62" s="12"/>
      <c r="U62" s="12"/>
      <c r="V62" s="12"/>
      <c r="W62" s="12"/>
      <c r="X62" s="6" t="str">
        <f aca="false">IF(COUNT(R62:W62)=6,SUM(R62:W62),"ko‘rilmagan")</f>
        <v>ko‘rilmagan</v>
      </c>
      <c r="Y62" s="12" t="s">
        <v>1246</v>
      </c>
    </row>
    <row r="63" customFormat="false" ht="35.05" hidden="false" customHeight="false" outlineLevel="0" collapsed="false">
      <c r="A63" s="6" t="s">
        <v>1247</v>
      </c>
      <c r="B63" s="6" t="s">
        <v>212</v>
      </c>
      <c r="C63" s="6"/>
      <c r="D63" s="6" t="str">
        <f aca="false">IFERROR(INDEX(Mundarija!$D:$D,MATCH(B63,Mundarija!$A:$A,0)),"kod topilmadi")</f>
        <v>12.1. Normal anatomiya va vizualizatsiya usullari.</v>
      </c>
      <c r="E63" s="6" t="s">
        <v>1248</v>
      </c>
      <c r="F63" s="11" t="s">
        <v>1249</v>
      </c>
      <c r="G63" s="6" t="s">
        <v>1223</v>
      </c>
      <c r="H63" s="6" t="s">
        <v>910</v>
      </c>
      <c r="I63" s="6" t="s">
        <v>877</v>
      </c>
      <c r="J63" s="6" t="s">
        <v>877</v>
      </c>
      <c r="K63" s="6" t="s">
        <v>878</v>
      </c>
      <c r="L63" s="6" t="s">
        <v>1224</v>
      </c>
      <c r="M63" s="6" t="s">
        <v>1224</v>
      </c>
      <c r="N63" s="12" t="s">
        <v>881</v>
      </c>
      <c r="O63" s="6" t="s">
        <v>882</v>
      </c>
      <c r="P63" s="6" t="s">
        <v>2</v>
      </c>
      <c r="Q63" s="6" t="s">
        <v>20</v>
      </c>
      <c r="R63" s="12"/>
      <c r="S63" s="12"/>
      <c r="T63" s="12"/>
      <c r="U63" s="12"/>
      <c r="V63" s="12"/>
      <c r="W63" s="12"/>
      <c r="X63" s="6" t="str">
        <f aca="false">IF(COUNT(R63:W63)=6,SUM(R63:W63),"ko‘rilmagan")</f>
        <v>ko‘rilmagan</v>
      </c>
      <c r="Y63" s="12" t="s">
        <v>1250</v>
      </c>
    </row>
    <row r="64" customFormat="false" ht="23.85" hidden="false" customHeight="false" outlineLevel="0" collapsed="false">
      <c r="A64" s="6" t="s">
        <v>1251</v>
      </c>
      <c r="B64" s="6" t="s">
        <v>215</v>
      </c>
      <c r="C64" s="6"/>
      <c r="D64" s="6" t="str">
        <f aca="false">IFERROR(INDEX(Mundarija!$D:$D,MATCH(B64,Mundarija!$A:$A,0)),"kod topilmadi")</f>
        <v>12.2. O‘tkir va surunkali pankreatit.</v>
      </c>
      <c r="E64" s="6" t="s">
        <v>1252</v>
      </c>
      <c r="F64" s="11" t="s">
        <v>1253</v>
      </c>
      <c r="G64" s="6" t="s">
        <v>1223</v>
      </c>
      <c r="H64" s="6" t="s">
        <v>910</v>
      </c>
      <c r="I64" s="6" t="s">
        <v>877</v>
      </c>
      <c r="J64" s="6" t="s">
        <v>877</v>
      </c>
      <c r="K64" s="6" t="s">
        <v>878</v>
      </c>
      <c r="L64" s="6" t="s">
        <v>1224</v>
      </c>
      <c r="M64" s="6" t="s">
        <v>1224</v>
      </c>
      <c r="N64" s="12" t="s">
        <v>881</v>
      </c>
      <c r="O64" s="6" t="s">
        <v>882</v>
      </c>
      <c r="P64" s="6" t="s">
        <v>2</v>
      </c>
      <c r="Q64" s="6" t="s">
        <v>20</v>
      </c>
      <c r="R64" s="12"/>
      <c r="S64" s="12"/>
      <c r="T64" s="12"/>
      <c r="U64" s="12"/>
      <c r="V64" s="12"/>
      <c r="W64" s="12"/>
      <c r="X64" s="6" t="str">
        <f aca="false">IF(COUNT(R64:W64)=6,SUM(R64:W64),"ko‘rilmagan")</f>
        <v>ko‘rilmagan</v>
      </c>
      <c r="Y64" s="12" t="s">
        <v>1254</v>
      </c>
    </row>
    <row r="65" customFormat="false" ht="23.85" hidden="false" customHeight="false" outlineLevel="0" collapsed="false">
      <c r="A65" s="6" t="s">
        <v>1255</v>
      </c>
      <c r="B65" s="6" t="s">
        <v>223</v>
      </c>
      <c r="C65" s="6" t="s">
        <v>1256</v>
      </c>
      <c r="D65" s="6" t="str">
        <f aca="false">IFERROR(INDEX(Mundarija!$D:$D,MATCH(B65,Mundarija!$A:$A,0)),"kod topilmadi")</f>
        <v>13.1. Normal anatomiya va o‘lchamlari.</v>
      </c>
      <c r="E65" s="6" t="s">
        <v>1257</v>
      </c>
      <c r="F65" s="11" t="s">
        <v>1258</v>
      </c>
      <c r="G65" s="6" t="s">
        <v>1259</v>
      </c>
      <c r="H65" s="6" t="s">
        <v>910</v>
      </c>
      <c r="I65" s="6" t="s">
        <v>877</v>
      </c>
      <c r="J65" s="6" t="s">
        <v>877</v>
      </c>
      <c r="K65" s="6" t="s">
        <v>878</v>
      </c>
      <c r="L65" s="6" t="s">
        <v>1224</v>
      </c>
      <c r="M65" s="6" t="s">
        <v>1224</v>
      </c>
      <c r="N65" s="12" t="s">
        <v>881</v>
      </c>
      <c r="O65" s="6" t="s">
        <v>882</v>
      </c>
      <c r="P65" s="6" t="s">
        <v>2</v>
      </c>
      <c r="Q65" s="6" t="s">
        <v>20</v>
      </c>
      <c r="R65" s="12"/>
      <c r="S65" s="12"/>
      <c r="T65" s="12"/>
      <c r="U65" s="12"/>
      <c r="V65" s="12"/>
      <c r="W65" s="12"/>
      <c r="X65" s="6" t="str">
        <f aca="false">IF(COUNT(R65:W65)=6,SUM(R65:W65),"ko‘rilmagan")</f>
        <v>ko‘rilmagan</v>
      </c>
      <c r="Y65" s="12" t="s">
        <v>1260</v>
      </c>
    </row>
    <row r="66" customFormat="false" ht="23.85" hidden="false" customHeight="false" outlineLevel="0" collapsed="false">
      <c r="A66" s="6" t="s">
        <v>1261</v>
      </c>
      <c r="B66" s="6" t="s">
        <v>251</v>
      </c>
      <c r="C66" s="6"/>
      <c r="D66" s="6" t="str">
        <f aca="false">IFERROR(INDEX(Mundarija!$D:$D,MATCH(B66,Mundarija!$A:$A,0)),"kod topilmadi")</f>
        <v>15.1. Qorin aortasi: diametr, anevrizma va stenoz.</v>
      </c>
      <c r="E66" s="6" t="s">
        <v>1262</v>
      </c>
      <c r="F66" s="11" t="s">
        <v>1263</v>
      </c>
      <c r="G66" s="6" t="s">
        <v>1264</v>
      </c>
      <c r="H66" s="6" t="s">
        <v>910</v>
      </c>
      <c r="I66" s="6" t="s">
        <v>877</v>
      </c>
      <c r="J66" s="6" t="s">
        <v>877</v>
      </c>
      <c r="K66" s="6" t="s">
        <v>878</v>
      </c>
      <c r="L66" s="6" t="s">
        <v>1224</v>
      </c>
      <c r="M66" s="6" t="s">
        <v>1224</v>
      </c>
      <c r="N66" s="12" t="s">
        <v>881</v>
      </c>
      <c r="O66" s="6" t="s">
        <v>882</v>
      </c>
      <c r="P66" s="6" t="s">
        <v>2</v>
      </c>
      <c r="Q66" s="6" t="s">
        <v>20</v>
      </c>
      <c r="R66" s="12"/>
      <c r="S66" s="12"/>
      <c r="T66" s="12"/>
      <c r="U66" s="12"/>
      <c r="V66" s="12"/>
      <c r="W66" s="12"/>
      <c r="X66" s="6" t="str">
        <f aca="false">IF(COUNT(R66:W66)=6,SUM(R66:W66),"ko‘rilmagan")</f>
        <v>ko‘rilmagan</v>
      </c>
      <c r="Y66" s="12" t="s">
        <v>1265</v>
      </c>
    </row>
    <row r="67" customFormat="false" ht="23.85" hidden="false" customHeight="false" outlineLevel="0" collapsed="false">
      <c r="A67" s="6" t="s">
        <v>1266</v>
      </c>
      <c r="B67" s="6" t="s">
        <v>266</v>
      </c>
      <c r="C67" s="6"/>
      <c r="D67" s="6" t="str">
        <f aca="false">IFERROR(INDEX(Mundarija!$D:$D,MATCH(B67,Mundarija!$A:$A,0)),"kod topilmadi")</f>
        <v>15.7. Appenditsit, ichak tutilishi va ichak yallig‘lanishlari.</v>
      </c>
      <c r="E67" s="6" t="s">
        <v>1267</v>
      </c>
      <c r="F67" s="11" t="s">
        <v>1268</v>
      </c>
      <c r="G67" s="6" t="s">
        <v>1269</v>
      </c>
      <c r="H67" s="6" t="s">
        <v>910</v>
      </c>
      <c r="I67" s="6" t="s">
        <v>877</v>
      </c>
      <c r="J67" s="6" t="s">
        <v>877</v>
      </c>
      <c r="K67" s="6" t="s">
        <v>878</v>
      </c>
      <c r="L67" s="6" t="s">
        <v>1224</v>
      </c>
      <c r="M67" s="6" t="s">
        <v>1224</v>
      </c>
      <c r="N67" s="12" t="s">
        <v>881</v>
      </c>
      <c r="O67" s="6" t="s">
        <v>882</v>
      </c>
      <c r="P67" s="6" t="s">
        <v>2</v>
      </c>
      <c r="Q67" s="6" t="s">
        <v>20</v>
      </c>
      <c r="R67" s="12"/>
      <c r="S67" s="12"/>
      <c r="T67" s="12"/>
      <c r="U67" s="12"/>
      <c r="V67" s="12"/>
      <c r="W67" s="12"/>
      <c r="X67" s="6" t="str">
        <f aca="false">IF(COUNT(R67:W67)=6,SUM(R67:W67),"ko‘rilmagan")</f>
        <v>ko‘rilmagan</v>
      </c>
      <c r="Y67" s="12" t="s">
        <v>1270</v>
      </c>
    </row>
    <row r="68" customFormat="false" ht="23.85" hidden="false" customHeight="false" outlineLevel="0" collapsed="false">
      <c r="A68" s="6" t="s">
        <v>1271</v>
      </c>
      <c r="B68" s="6" t="s">
        <v>266</v>
      </c>
      <c r="C68" s="6"/>
      <c r="D68" s="6" t="str">
        <f aca="false">IFERROR(INDEX(Mundarija!$D:$D,MATCH(B68,Mundarija!$A:$A,0)),"kod topilmadi")</f>
        <v>15.7. Appenditsit, ichak tutilishi va ichak yallig‘lanishlari.</v>
      </c>
      <c r="E68" s="6" t="s">
        <v>1272</v>
      </c>
      <c r="F68" s="11" t="s">
        <v>1273</v>
      </c>
      <c r="G68" s="6" t="s">
        <v>1229</v>
      </c>
      <c r="H68" s="6" t="s">
        <v>910</v>
      </c>
      <c r="I68" s="6" t="s">
        <v>877</v>
      </c>
      <c r="J68" s="6" t="s">
        <v>877</v>
      </c>
      <c r="K68" s="6" t="s">
        <v>878</v>
      </c>
      <c r="L68" s="6" t="s">
        <v>1224</v>
      </c>
      <c r="M68" s="6" t="s">
        <v>1224</v>
      </c>
      <c r="N68" s="12" t="s">
        <v>881</v>
      </c>
      <c r="O68" s="6" t="s">
        <v>882</v>
      </c>
      <c r="P68" s="6" t="s">
        <v>2</v>
      </c>
      <c r="Q68" s="6" t="s">
        <v>20</v>
      </c>
      <c r="R68" s="12"/>
      <c r="S68" s="12"/>
      <c r="T68" s="12"/>
      <c r="U68" s="12"/>
      <c r="V68" s="12"/>
      <c r="W68" s="12"/>
      <c r="X68" s="6" t="str">
        <f aca="false">IF(COUNT(R68:W68)=6,SUM(R68:W68),"ko‘rilmagan")</f>
        <v>ko‘rilmagan</v>
      </c>
      <c r="Y68" s="12" t="s">
        <v>1274</v>
      </c>
    </row>
    <row r="69" customFormat="false" ht="23.85" hidden="false" customHeight="false" outlineLevel="0" collapsed="false">
      <c r="A69" s="6" t="s">
        <v>1275</v>
      </c>
      <c r="B69" s="6" t="s">
        <v>270</v>
      </c>
      <c r="C69" s="6"/>
      <c r="D69" s="6" t="str">
        <f aca="false">IFERROR(INDEX(Mundarija!$D:$D,MATCH(B69,Mundarija!$A:$A,0)),"kod topilmadi")</f>
        <v>16.1. Bachadon, endometriy va tuxumdonlarning normal anatomiyasi.</v>
      </c>
      <c r="E69" s="6" t="s">
        <v>1276</v>
      </c>
      <c r="F69" s="11" t="s">
        <v>1277</v>
      </c>
      <c r="G69" s="6" t="s">
        <v>1278</v>
      </c>
      <c r="H69" s="6" t="s">
        <v>910</v>
      </c>
      <c r="I69" s="6" t="s">
        <v>877</v>
      </c>
      <c r="J69" s="6" t="s">
        <v>877</v>
      </c>
      <c r="K69" s="6" t="s">
        <v>878</v>
      </c>
      <c r="L69" s="6" t="s">
        <v>1224</v>
      </c>
      <c r="M69" s="6" t="s">
        <v>1224</v>
      </c>
      <c r="N69" s="12" t="s">
        <v>881</v>
      </c>
      <c r="O69" s="6" t="s">
        <v>882</v>
      </c>
      <c r="P69" s="6" t="s">
        <v>2</v>
      </c>
      <c r="Q69" s="6" t="s">
        <v>20</v>
      </c>
      <c r="R69" s="12"/>
      <c r="S69" s="12"/>
      <c r="T69" s="12"/>
      <c r="U69" s="12"/>
      <c r="V69" s="12"/>
      <c r="W69" s="12"/>
      <c r="X69" s="6" t="str">
        <f aca="false">IF(COUNT(R69:W69)=6,SUM(R69:W69),"ko‘rilmagan")</f>
        <v>ko‘rilmagan</v>
      </c>
      <c r="Y69" s="12" t="s">
        <v>1279</v>
      </c>
    </row>
    <row r="70" customFormat="false" ht="23.85" hidden="false" customHeight="false" outlineLevel="0" collapsed="false">
      <c r="A70" s="6" t="s">
        <v>1280</v>
      </c>
      <c r="B70" s="6" t="s">
        <v>274</v>
      </c>
      <c r="C70" s="6" t="s">
        <v>139</v>
      </c>
      <c r="D70" s="6" t="str">
        <f aca="false">IFERROR(INDEX(Mundarija!$D:$D,MATCH(B70,Mundarija!$A:$A,0)),"kod topilmadi")</f>
        <v>16.2. Transabdominal va transvaginal tekshiruv protokoli.</v>
      </c>
      <c r="E70" s="6" t="s">
        <v>1281</v>
      </c>
      <c r="F70" s="11" t="s">
        <v>1282</v>
      </c>
      <c r="G70" s="6" t="s">
        <v>1245</v>
      </c>
      <c r="H70" s="6" t="s">
        <v>910</v>
      </c>
      <c r="I70" s="6" t="s">
        <v>877</v>
      </c>
      <c r="J70" s="6" t="s">
        <v>877</v>
      </c>
      <c r="K70" s="6" t="s">
        <v>878</v>
      </c>
      <c r="L70" s="6" t="s">
        <v>1224</v>
      </c>
      <c r="M70" s="6" t="s">
        <v>1224</v>
      </c>
      <c r="N70" s="12" t="s">
        <v>881</v>
      </c>
      <c r="O70" s="6" t="s">
        <v>882</v>
      </c>
      <c r="P70" s="6" t="s">
        <v>2</v>
      </c>
      <c r="Q70" s="6" t="s">
        <v>20</v>
      </c>
      <c r="R70" s="12"/>
      <c r="S70" s="12"/>
      <c r="T70" s="12"/>
      <c r="U70" s="12"/>
      <c r="V70" s="12"/>
      <c r="W70" s="12"/>
      <c r="X70" s="6" t="str">
        <f aca="false">IF(COUNT(R70:W70)=6,SUM(R70:W70),"ko‘rilmagan")</f>
        <v>ko‘rilmagan</v>
      </c>
      <c r="Y70" s="12" t="s">
        <v>1283</v>
      </c>
    </row>
    <row r="71" customFormat="false" ht="23.85" hidden="false" customHeight="false" outlineLevel="0" collapsed="false">
      <c r="A71" s="6" t="s">
        <v>1284</v>
      </c>
      <c r="B71" s="6" t="s">
        <v>278</v>
      </c>
      <c r="C71" s="6"/>
      <c r="D71" s="6" t="str">
        <f aca="false">IFERROR(INDEX(Mundarija!$D:$D,MATCH(B71,Mundarija!$A:$A,0)),"kod topilmadi")</f>
        <v>16.4. Mioma, adenomioz va endometrial patologiyalar.</v>
      </c>
      <c r="E71" s="6" t="s">
        <v>1285</v>
      </c>
      <c r="F71" s="11" t="s">
        <v>1286</v>
      </c>
      <c r="G71" s="6" t="s">
        <v>1287</v>
      </c>
      <c r="H71" s="6" t="s">
        <v>910</v>
      </c>
      <c r="I71" s="6" t="s">
        <v>877</v>
      </c>
      <c r="J71" s="6" t="s">
        <v>877</v>
      </c>
      <c r="K71" s="6" t="s">
        <v>878</v>
      </c>
      <c r="L71" s="6" t="s">
        <v>1224</v>
      </c>
      <c r="M71" s="6" t="s">
        <v>1224</v>
      </c>
      <c r="N71" s="12" t="s">
        <v>881</v>
      </c>
      <c r="O71" s="6" t="s">
        <v>882</v>
      </c>
      <c r="P71" s="6" t="s">
        <v>2</v>
      </c>
      <c r="Q71" s="6" t="s">
        <v>20</v>
      </c>
      <c r="R71" s="12"/>
      <c r="S71" s="12"/>
      <c r="T71" s="12"/>
      <c r="U71" s="12"/>
      <c r="V71" s="12"/>
      <c r="W71" s="12"/>
      <c r="X71" s="6" t="str">
        <f aca="false">IF(COUNT(R71:W71)=6,SUM(R71:W71),"ko‘rilmagan")</f>
        <v>ko‘rilmagan</v>
      </c>
      <c r="Y71" s="12" t="s">
        <v>1288</v>
      </c>
    </row>
    <row r="72" customFormat="false" ht="23.85" hidden="false" customHeight="false" outlineLevel="0" collapsed="false">
      <c r="A72" s="6" t="s">
        <v>1289</v>
      </c>
      <c r="B72" s="6" t="s">
        <v>278</v>
      </c>
      <c r="C72" s="6"/>
      <c r="D72" s="6" t="str">
        <f aca="false">IFERROR(INDEX(Mundarija!$D:$D,MATCH(B72,Mundarija!$A:$A,0)),"kod topilmadi")</f>
        <v>16.4. Mioma, adenomioz va endometrial patologiyalar.</v>
      </c>
      <c r="E72" s="6" t="s">
        <v>1290</v>
      </c>
      <c r="F72" s="11" t="s">
        <v>1291</v>
      </c>
      <c r="G72" s="6" t="s">
        <v>1269</v>
      </c>
      <c r="H72" s="6" t="s">
        <v>910</v>
      </c>
      <c r="I72" s="6" t="s">
        <v>877</v>
      </c>
      <c r="J72" s="6" t="s">
        <v>877</v>
      </c>
      <c r="K72" s="6" t="s">
        <v>878</v>
      </c>
      <c r="L72" s="6" t="s">
        <v>1224</v>
      </c>
      <c r="M72" s="6" t="s">
        <v>1224</v>
      </c>
      <c r="N72" s="12" t="s">
        <v>881</v>
      </c>
      <c r="O72" s="6" t="s">
        <v>882</v>
      </c>
      <c r="P72" s="6" t="s">
        <v>2</v>
      </c>
      <c r="Q72" s="6" t="s">
        <v>20</v>
      </c>
      <c r="R72" s="12"/>
      <c r="S72" s="12"/>
      <c r="T72" s="12"/>
      <c r="U72" s="12"/>
      <c r="V72" s="12"/>
      <c r="W72" s="12"/>
      <c r="X72" s="6" t="str">
        <f aca="false">IF(COUNT(R72:W72)=6,SUM(R72:W72),"ko‘rilmagan")</f>
        <v>ko‘rilmagan</v>
      </c>
      <c r="Y72" s="12" t="s">
        <v>1292</v>
      </c>
    </row>
    <row r="73" customFormat="false" ht="23.85" hidden="false" customHeight="false" outlineLevel="0" collapsed="false">
      <c r="A73" s="6" t="s">
        <v>1293</v>
      </c>
      <c r="B73" s="6" t="s">
        <v>280</v>
      </c>
      <c r="C73" s="6"/>
      <c r="D73" s="6" t="str">
        <f aca="false">IFERROR(INDEX(Mundarija!$D:$D,MATCH(B73,Mundarija!$A:$A,0)),"kod topilmadi")</f>
        <v>16.5. Tuxumdon kistalari va adneksal hosilalar.</v>
      </c>
      <c r="E73" s="6" t="s">
        <v>1294</v>
      </c>
      <c r="F73" s="11" t="s">
        <v>1295</v>
      </c>
      <c r="G73" s="6" t="s">
        <v>1229</v>
      </c>
      <c r="H73" s="6" t="s">
        <v>910</v>
      </c>
      <c r="I73" s="6" t="s">
        <v>877</v>
      </c>
      <c r="J73" s="6" t="s">
        <v>877</v>
      </c>
      <c r="K73" s="6" t="s">
        <v>878</v>
      </c>
      <c r="L73" s="6" t="s">
        <v>1224</v>
      </c>
      <c r="M73" s="6" t="s">
        <v>1224</v>
      </c>
      <c r="N73" s="12" t="s">
        <v>881</v>
      </c>
      <c r="O73" s="6" t="s">
        <v>882</v>
      </c>
      <c r="P73" s="6" t="s">
        <v>2</v>
      </c>
      <c r="Q73" s="6" t="s">
        <v>20</v>
      </c>
      <c r="R73" s="12"/>
      <c r="S73" s="12"/>
      <c r="T73" s="12"/>
      <c r="U73" s="12"/>
      <c r="V73" s="12"/>
      <c r="W73" s="12"/>
      <c r="X73" s="6" t="str">
        <f aca="false">IF(COUNT(R73:W73)=6,SUM(R73:W73),"ko‘rilmagan")</f>
        <v>ko‘rilmagan</v>
      </c>
      <c r="Y73" s="12" t="s">
        <v>1296</v>
      </c>
    </row>
    <row r="74" customFormat="false" ht="23.85" hidden="false" customHeight="false" outlineLevel="0" collapsed="false">
      <c r="A74" s="6" t="s">
        <v>1297</v>
      </c>
      <c r="B74" s="6" t="s">
        <v>282</v>
      </c>
      <c r="C74" s="6"/>
      <c r="D74" s="6" t="str">
        <f aca="false">IFERROR(INDEX(Mundarija!$D:$D,MATCH(B74,Mundarija!$A:$A,0)),"kod topilmadi")</f>
        <v>16.6. O-RADS US va IOTA asoslari.</v>
      </c>
      <c r="E74" s="6" t="s">
        <v>1298</v>
      </c>
      <c r="F74" s="11" t="s">
        <v>1299</v>
      </c>
      <c r="G74" s="6" t="s">
        <v>1300</v>
      </c>
      <c r="H74" s="6" t="s">
        <v>910</v>
      </c>
      <c r="I74" s="6" t="s">
        <v>877</v>
      </c>
      <c r="J74" s="6" t="s">
        <v>877</v>
      </c>
      <c r="K74" s="6" t="s">
        <v>878</v>
      </c>
      <c r="L74" s="6" t="s">
        <v>1224</v>
      </c>
      <c r="M74" s="6" t="s">
        <v>1224</v>
      </c>
      <c r="N74" s="12" t="s">
        <v>881</v>
      </c>
      <c r="O74" s="6" t="s">
        <v>882</v>
      </c>
      <c r="P74" s="6" t="s">
        <v>2</v>
      </c>
      <c r="Q74" s="6" t="s">
        <v>20</v>
      </c>
      <c r="R74" s="12"/>
      <c r="S74" s="12"/>
      <c r="T74" s="12"/>
      <c r="U74" s="12"/>
      <c r="V74" s="12"/>
      <c r="W74" s="12"/>
      <c r="X74" s="6" t="str">
        <f aca="false">IF(COUNT(R74:W74)=6,SUM(R74:W74),"ko‘rilmagan")</f>
        <v>ko‘rilmagan</v>
      </c>
      <c r="Y74" s="12" t="s">
        <v>1301</v>
      </c>
    </row>
    <row r="75" customFormat="false" ht="23.85" hidden="false" customHeight="false" outlineLevel="0" collapsed="false">
      <c r="A75" s="6" t="s">
        <v>1302</v>
      </c>
      <c r="B75" s="6" t="s">
        <v>321</v>
      </c>
      <c r="C75" s="6" t="s">
        <v>323</v>
      </c>
      <c r="D75" s="6" t="str">
        <f aca="false">IFERROR(INDEX(Mundarija!$D:$D,MATCH(B75,Mundarija!$A:$A,0)),"kod topilmadi")</f>
        <v>18.5. Homila tushishi va rivojlanmay qolgan homiladorlik mezonlari.</v>
      </c>
      <c r="E75" s="6" t="s">
        <v>1303</v>
      </c>
      <c r="F75" s="11" t="s">
        <v>1304</v>
      </c>
      <c r="G75" s="6" t="s">
        <v>1235</v>
      </c>
      <c r="H75" s="6" t="s">
        <v>910</v>
      </c>
      <c r="I75" s="6" t="s">
        <v>877</v>
      </c>
      <c r="J75" s="6" t="s">
        <v>877</v>
      </c>
      <c r="K75" s="6" t="s">
        <v>878</v>
      </c>
      <c r="L75" s="6" t="s">
        <v>1224</v>
      </c>
      <c r="M75" s="6" t="s">
        <v>1224</v>
      </c>
      <c r="N75" s="12" t="s">
        <v>881</v>
      </c>
      <c r="O75" s="6" t="s">
        <v>882</v>
      </c>
      <c r="P75" s="6" t="s">
        <v>2</v>
      </c>
      <c r="Q75" s="6" t="s">
        <v>20</v>
      </c>
      <c r="R75" s="12"/>
      <c r="S75" s="12"/>
      <c r="T75" s="12"/>
      <c r="U75" s="12"/>
      <c r="V75" s="12"/>
      <c r="W75" s="12"/>
      <c r="X75" s="6" t="str">
        <f aca="false">IF(COUNT(R75:W75)=6,SUM(R75:W75),"ko‘rilmagan")</f>
        <v>ko‘rilmagan</v>
      </c>
      <c r="Y75" s="12" t="s">
        <v>1305</v>
      </c>
    </row>
    <row r="76" customFormat="false" ht="23.85" hidden="false" customHeight="false" outlineLevel="0" collapsed="false">
      <c r="A76" s="6" t="s">
        <v>1306</v>
      </c>
      <c r="B76" s="6" t="s">
        <v>323</v>
      </c>
      <c r="C76" s="6" t="s">
        <v>286</v>
      </c>
      <c r="D76" s="6" t="str">
        <f aca="false">IFERROR(INDEX(Mundarija!$D:$D,MATCH(B76,Mundarija!$A:$A,0)),"kod topilmadi")</f>
        <v>18.6. Ektopik homiladorlik va homiladorlik joylashuvi noma’lum bo‘lgan holatlar.</v>
      </c>
      <c r="E76" s="6" t="s">
        <v>1307</v>
      </c>
      <c r="F76" s="11" t="s">
        <v>1308</v>
      </c>
      <c r="G76" s="6" t="s">
        <v>1309</v>
      </c>
      <c r="H76" s="6" t="s">
        <v>910</v>
      </c>
      <c r="I76" s="6" t="s">
        <v>877</v>
      </c>
      <c r="J76" s="6" t="s">
        <v>877</v>
      </c>
      <c r="K76" s="6" t="s">
        <v>878</v>
      </c>
      <c r="L76" s="6" t="s">
        <v>1224</v>
      </c>
      <c r="M76" s="6" t="s">
        <v>1224</v>
      </c>
      <c r="N76" s="12" t="s">
        <v>881</v>
      </c>
      <c r="O76" s="6" t="s">
        <v>882</v>
      </c>
      <c r="P76" s="6" t="s">
        <v>2</v>
      </c>
      <c r="Q76" s="6" t="s">
        <v>20</v>
      </c>
      <c r="R76" s="12"/>
      <c r="S76" s="12"/>
      <c r="T76" s="12"/>
      <c r="U76" s="12"/>
      <c r="V76" s="12"/>
      <c r="W76" s="12"/>
      <c r="X76" s="6" t="str">
        <f aca="false">IF(COUNT(R76:W76)=6,SUM(R76:W76),"ko‘rilmagan")</f>
        <v>ko‘rilmagan</v>
      </c>
      <c r="Y76" s="12" t="s">
        <v>1310</v>
      </c>
    </row>
    <row r="77" customFormat="false" ht="23.85" hidden="false" customHeight="false" outlineLevel="0" collapsed="false">
      <c r="A77" s="6" t="s">
        <v>1311</v>
      </c>
      <c r="B77" s="6" t="s">
        <v>232</v>
      </c>
      <c r="C77" s="6"/>
      <c r="D77" s="6" t="str">
        <f aca="false">IFERROR(INDEX(Mundarija!$D:$D,MATCH(B77,Mundarija!$A:$A,0)),"kod topilmadi")</f>
        <v>14.1. Buyrak anatomiyasi, o‘lchamlari va normal parenxima.</v>
      </c>
      <c r="E77" s="6" t="s">
        <v>1312</v>
      </c>
      <c r="F77" s="11" t="s">
        <v>1313</v>
      </c>
      <c r="G77" s="6" t="s">
        <v>1245</v>
      </c>
      <c r="H77" s="6" t="s">
        <v>910</v>
      </c>
      <c r="I77" s="6" t="s">
        <v>877</v>
      </c>
      <c r="J77" s="6" t="s">
        <v>877</v>
      </c>
      <c r="K77" s="6" t="s">
        <v>878</v>
      </c>
      <c r="L77" s="6" t="s">
        <v>1224</v>
      </c>
      <c r="M77" s="6" t="s">
        <v>1224</v>
      </c>
      <c r="N77" s="12" t="s">
        <v>881</v>
      </c>
      <c r="O77" s="6" t="s">
        <v>882</v>
      </c>
      <c r="P77" s="6" t="s">
        <v>2</v>
      </c>
      <c r="Q77" s="6" t="s">
        <v>20</v>
      </c>
      <c r="R77" s="12"/>
      <c r="S77" s="12"/>
      <c r="T77" s="12"/>
      <c r="U77" s="12"/>
      <c r="V77" s="12"/>
      <c r="W77" s="12"/>
      <c r="X77" s="6" t="str">
        <f aca="false">IF(COUNT(R77:W77)=6,SUM(R77:W77),"ko‘rilmagan")</f>
        <v>ko‘rilmagan</v>
      </c>
      <c r="Y77" s="12" t="s">
        <v>1314</v>
      </c>
    </row>
    <row r="78" customFormat="false" ht="23.85" hidden="false" customHeight="false" outlineLevel="0" collapsed="false">
      <c r="A78" s="6" t="s">
        <v>1315</v>
      </c>
      <c r="B78" s="6" t="s">
        <v>232</v>
      </c>
      <c r="C78" s="6"/>
      <c r="D78" s="6" t="str">
        <f aca="false">IFERROR(INDEX(Mundarija!$D:$D,MATCH(B78,Mundarija!$A:$A,0)),"kod topilmadi")</f>
        <v>14.1. Buyrak anatomiyasi, o‘lchamlari va normal parenxima.</v>
      </c>
      <c r="E78" s="6" t="s">
        <v>1316</v>
      </c>
      <c r="F78" s="11" t="s">
        <v>1317</v>
      </c>
      <c r="G78" s="6" t="s">
        <v>1318</v>
      </c>
      <c r="H78" s="6" t="s">
        <v>910</v>
      </c>
      <c r="I78" s="6" t="s">
        <v>877</v>
      </c>
      <c r="J78" s="6" t="s">
        <v>877</v>
      </c>
      <c r="K78" s="6" t="s">
        <v>878</v>
      </c>
      <c r="L78" s="6" t="s">
        <v>1224</v>
      </c>
      <c r="M78" s="6" t="s">
        <v>1224</v>
      </c>
      <c r="N78" s="12" t="s">
        <v>881</v>
      </c>
      <c r="O78" s="6" t="s">
        <v>882</v>
      </c>
      <c r="P78" s="6" t="s">
        <v>2</v>
      </c>
      <c r="Q78" s="6" t="s">
        <v>20</v>
      </c>
      <c r="R78" s="12"/>
      <c r="S78" s="12"/>
      <c r="T78" s="12"/>
      <c r="U78" s="12"/>
      <c r="V78" s="12"/>
      <c r="W78" s="12"/>
      <c r="X78" s="6" t="str">
        <f aca="false">IF(COUNT(R78:W78)=6,SUM(R78:W78),"ko‘rilmagan")</f>
        <v>ko‘rilmagan</v>
      </c>
      <c r="Y78" s="12" t="s">
        <v>1319</v>
      </c>
    </row>
    <row r="79" customFormat="false" ht="23.85" hidden="false" customHeight="false" outlineLevel="0" collapsed="false">
      <c r="A79" s="6" t="s">
        <v>1320</v>
      </c>
      <c r="B79" s="6" t="s">
        <v>237</v>
      </c>
      <c r="C79" s="6"/>
      <c r="D79" s="6" t="str">
        <f aca="false">IFERROR(INDEX(Mundarija!$D:$D,MATCH(B79,Mundarija!$A:$A,0)),"kod topilmadi")</f>
        <v>14.3. Nefrolitiaz va gidronefroz.</v>
      </c>
      <c r="E79" s="6" t="s">
        <v>1321</v>
      </c>
      <c r="F79" s="11" t="s">
        <v>1322</v>
      </c>
      <c r="G79" s="6" t="s">
        <v>1223</v>
      </c>
      <c r="H79" s="6" t="s">
        <v>910</v>
      </c>
      <c r="I79" s="6" t="s">
        <v>877</v>
      </c>
      <c r="J79" s="6" t="s">
        <v>877</v>
      </c>
      <c r="K79" s="6" t="s">
        <v>878</v>
      </c>
      <c r="L79" s="6" t="s">
        <v>1224</v>
      </c>
      <c r="M79" s="6" t="s">
        <v>1224</v>
      </c>
      <c r="N79" s="12" t="s">
        <v>881</v>
      </c>
      <c r="O79" s="6" t="s">
        <v>882</v>
      </c>
      <c r="P79" s="6" t="s">
        <v>2</v>
      </c>
      <c r="Q79" s="6" t="s">
        <v>20</v>
      </c>
      <c r="R79" s="12"/>
      <c r="S79" s="12"/>
      <c r="T79" s="12"/>
      <c r="U79" s="12"/>
      <c r="V79" s="12"/>
      <c r="W79" s="12"/>
      <c r="X79" s="6" t="str">
        <f aca="false">IF(COUNT(R79:W79)=6,SUM(R79:W79),"ko‘rilmagan")</f>
        <v>ko‘rilmagan</v>
      </c>
      <c r="Y79" s="12" t="s">
        <v>1323</v>
      </c>
    </row>
    <row r="80" customFormat="false" ht="23.85" hidden="false" customHeight="false" outlineLevel="0" collapsed="false">
      <c r="A80" s="6" t="s">
        <v>1324</v>
      </c>
      <c r="B80" s="6" t="s">
        <v>247</v>
      </c>
      <c r="C80" s="6"/>
      <c r="D80" s="6" t="str">
        <f aca="false">IFERROR(INDEX(Mundarija!$D:$D,MATCH(B80,Mundarija!$A:$A,0)),"kod topilmadi")</f>
        <v>14.8. Siydik pufagi, qoldiq siydik va siydik yo‘llari patologiyalari.</v>
      </c>
      <c r="E80" s="6" t="s">
        <v>1325</v>
      </c>
      <c r="F80" s="11" t="s">
        <v>1326</v>
      </c>
      <c r="G80" s="6" t="s">
        <v>1318</v>
      </c>
      <c r="H80" s="6" t="s">
        <v>910</v>
      </c>
      <c r="I80" s="6" t="s">
        <v>877</v>
      </c>
      <c r="J80" s="6" t="s">
        <v>877</v>
      </c>
      <c r="K80" s="6" t="s">
        <v>878</v>
      </c>
      <c r="L80" s="6" t="s">
        <v>1224</v>
      </c>
      <c r="M80" s="6" t="s">
        <v>1224</v>
      </c>
      <c r="N80" s="12" t="s">
        <v>881</v>
      </c>
      <c r="O80" s="6" t="s">
        <v>882</v>
      </c>
      <c r="P80" s="6" t="s">
        <v>2</v>
      </c>
      <c r="Q80" s="6" t="s">
        <v>20</v>
      </c>
      <c r="R80" s="12"/>
      <c r="S80" s="12"/>
      <c r="T80" s="12"/>
      <c r="U80" s="12"/>
      <c r="V80" s="12"/>
      <c r="W80" s="12"/>
      <c r="X80" s="6" t="str">
        <f aca="false">IF(COUNT(R80:W80)=6,SUM(R80:W80),"ko‘rilmagan")</f>
        <v>ko‘rilmagan</v>
      </c>
      <c r="Y80" s="12" t="s">
        <v>1327</v>
      </c>
    </row>
    <row r="81" customFormat="false" ht="23.85" hidden="false" customHeight="false" outlineLevel="0" collapsed="false">
      <c r="A81" s="6" t="s">
        <v>1328</v>
      </c>
      <c r="B81" s="6" t="s">
        <v>247</v>
      </c>
      <c r="C81" s="6"/>
      <c r="D81" s="6" t="str">
        <f aca="false">IFERROR(INDEX(Mundarija!$D:$D,MATCH(B81,Mundarija!$A:$A,0)),"kod topilmadi")</f>
        <v>14.8. Siydik pufagi, qoldiq siydik va siydik yo‘llari patologiyalari.</v>
      </c>
      <c r="E81" s="6" t="s">
        <v>1329</v>
      </c>
      <c r="F81" s="11" t="s">
        <v>1330</v>
      </c>
      <c r="G81" s="6" t="s">
        <v>1331</v>
      </c>
      <c r="H81" s="6" t="s">
        <v>910</v>
      </c>
      <c r="I81" s="6" t="s">
        <v>877</v>
      </c>
      <c r="J81" s="6" t="s">
        <v>877</v>
      </c>
      <c r="K81" s="6" t="s">
        <v>878</v>
      </c>
      <c r="L81" s="6" t="s">
        <v>1224</v>
      </c>
      <c r="M81" s="6" t="s">
        <v>1224</v>
      </c>
      <c r="N81" s="12" t="s">
        <v>881</v>
      </c>
      <c r="O81" s="6" t="s">
        <v>882</v>
      </c>
      <c r="P81" s="6" t="s">
        <v>2</v>
      </c>
      <c r="Q81" s="6" t="s">
        <v>20</v>
      </c>
      <c r="R81" s="12"/>
      <c r="S81" s="12"/>
      <c r="T81" s="12"/>
      <c r="U81" s="12"/>
      <c r="V81" s="12"/>
      <c r="W81" s="12"/>
      <c r="X81" s="6" t="str">
        <f aca="false">IF(COUNT(R81:W81)=6,SUM(R81:W81),"ko‘rilmagan")</f>
        <v>ko‘rilmagan</v>
      </c>
      <c r="Y81" s="12" t="s">
        <v>1332</v>
      </c>
    </row>
    <row r="82" customFormat="false" ht="23.85" hidden="false" customHeight="false" outlineLevel="0" collapsed="false">
      <c r="A82" s="6" t="s">
        <v>1333</v>
      </c>
      <c r="B82" s="6" t="s">
        <v>305</v>
      </c>
      <c r="C82" s="6"/>
      <c r="D82" s="6" t="str">
        <f aca="false">IFERROR(INDEX(Mundarija!$D:$D,MATCH(B82,Mundarija!$A:$A,0)),"kod topilmadi")</f>
        <v>17.7. Prostata bezi va transabdominal/transrektal tekshiruv asoslari.</v>
      </c>
      <c r="E82" s="6" t="s">
        <v>1334</v>
      </c>
      <c r="F82" s="11" t="s">
        <v>1335</v>
      </c>
      <c r="G82" s="6" t="s">
        <v>1336</v>
      </c>
      <c r="H82" s="6" t="s">
        <v>910</v>
      </c>
      <c r="I82" s="6" t="s">
        <v>877</v>
      </c>
      <c r="J82" s="6" t="s">
        <v>877</v>
      </c>
      <c r="K82" s="6" t="s">
        <v>878</v>
      </c>
      <c r="L82" s="6" t="s">
        <v>1224</v>
      </c>
      <c r="M82" s="6" t="s">
        <v>1224</v>
      </c>
      <c r="N82" s="12" t="s">
        <v>881</v>
      </c>
      <c r="O82" s="6" t="s">
        <v>882</v>
      </c>
      <c r="P82" s="6" t="s">
        <v>2</v>
      </c>
      <c r="Q82" s="6" t="s">
        <v>20</v>
      </c>
      <c r="R82" s="12"/>
      <c r="S82" s="12"/>
      <c r="T82" s="12"/>
      <c r="U82" s="12"/>
      <c r="V82" s="12"/>
      <c r="W82" s="12"/>
      <c r="X82" s="6" t="str">
        <f aca="false">IF(COUNT(R82:W82)=6,SUM(R82:W82),"ko‘rilmagan")</f>
        <v>ko‘rilmagan</v>
      </c>
      <c r="Y82" s="12" t="s">
        <v>1337</v>
      </c>
    </row>
    <row r="83" customFormat="false" ht="23.85" hidden="false" customHeight="false" outlineLevel="0" collapsed="false">
      <c r="A83" s="6" t="s">
        <v>1338</v>
      </c>
      <c r="B83" s="6" t="s">
        <v>292</v>
      </c>
      <c r="C83" s="6"/>
      <c r="D83" s="6" t="str">
        <f aca="false">IFERROR(INDEX(Mundarija!$D:$D,MATCH(B83,Mundarija!$A:$A,0)),"kod topilmadi")</f>
        <v>17.1. Moyak va epididimis anatomiyasi.</v>
      </c>
      <c r="E83" s="6" t="s">
        <v>1339</v>
      </c>
      <c r="F83" s="11" t="s">
        <v>1340</v>
      </c>
      <c r="G83" s="6" t="s">
        <v>1245</v>
      </c>
      <c r="H83" s="6" t="s">
        <v>910</v>
      </c>
      <c r="I83" s="6" t="s">
        <v>877</v>
      </c>
      <c r="J83" s="6" t="s">
        <v>877</v>
      </c>
      <c r="K83" s="6" t="s">
        <v>878</v>
      </c>
      <c r="L83" s="6" t="s">
        <v>1224</v>
      </c>
      <c r="M83" s="6" t="s">
        <v>1224</v>
      </c>
      <c r="N83" s="12" t="s">
        <v>881</v>
      </c>
      <c r="O83" s="6" t="s">
        <v>882</v>
      </c>
      <c r="P83" s="6" t="s">
        <v>2</v>
      </c>
      <c r="Q83" s="6" t="s">
        <v>20</v>
      </c>
      <c r="R83" s="12"/>
      <c r="S83" s="12"/>
      <c r="T83" s="12"/>
      <c r="U83" s="12"/>
      <c r="V83" s="12"/>
      <c r="W83" s="12"/>
      <c r="X83" s="6" t="str">
        <f aca="false">IF(COUNT(R83:W83)=6,SUM(R83:W83),"ko‘rilmagan")</f>
        <v>ko‘rilmagan</v>
      </c>
      <c r="Y83" s="12" t="s">
        <v>1341</v>
      </c>
    </row>
    <row r="84" customFormat="false" ht="23.85" hidden="false" customHeight="false" outlineLevel="0" collapsed="false">
      <c r="A84" s="6" t="s">
        <v>1342</v>
      </c>
      <c r="B84" s="6" t="s">
        <v>295</v>
      </c>
      <c r="C84" s="6"/>
      <c r="D84" s="6" t="str">
        <f aca="false">IFERROR(INDEX(Mundarija!$D:$D,MATCH(B84,Mundarija!$A:$A,0)),"kod topilmadi")</f>
        <v>17.2. Moyak torsiyasi: shoshilinch belgilar va Doppler.</v>
      </c>
      <c r="E84" s="6" t="s">
        <v>1343</v>
      </c>
      <c r="F84" s="11" t="s">
        <v>1344</v>
      </c>
      <c r="G84" s="6" t="s">
        <v>1264</v>
      </c>
      <c r="H84" s="6" t="s">
        <v>910</v>
      </c>
      <c r="I84" s="6" t="s">
        <v>877</v>
      </c>
      <c r="J84" s="6" t="s">
        <v>877</v>
      </c>
      <c r="K84" s="6" t="s">
        <v>878</v>
      </c>
      <c r="L84" s="6" t="s">
        <v>1224</v>
      </c>
      <c r="M84" s="6" t="s">
        <v>1224</v>
      </c>
      <c r="N84" s="12" t="s">
        <v>881</v>
      </c>
      <c r="O84" s="6" t="s">
        <v>882</v>
      </c>
      <c r="P84" s="6" t="s">
        <v>2</v>
      </c>
      <c r="Q84" s="6" t="s">
        <v>20</v>
      </c>
      <c r="R84" s="12"/>
      <c r="S84" s="12"/>
      <c r="T84" s="12"/>
      <c r="U84" s="12"/>
      <c r="V84" s="12"/>
      <c r="W84" s="12"/>
      <c r="X84" s="6" t="str">
        <f aca="false">IF(COUNT(R84:W84)=6,SUM(R84:W84),"ko‘rilmagan")</f>
        <v>ko‘rilmagan</v>
      </c>
      <c r="Y84" s="12" t="s">
        <v>1345</v>
      </c>
    </row>
    <row r="85" customFormat="false" ht="23.85" hidden="false" customHeight="false" outlineLevel="0" collapsed="false">
      <c r="A85" s="6" t="s">
        <v>1346</v>
      </c>
      <c r="B85" s="6" t="s">
        <v>482</v>
      </c>
      <c r="C85" s="6"/>
      <c r="D85" s="6" t="str">
        <f aca="false">IFERROR(INDEX(Mundarija!$D:$D,MATCH(B85,Mundarija!$A:$A,0)),"kod topilmadi")</f>
        <v>27.2. Yangi tug‘ilgan chaqaloq bosh miyasi — neyrosonografiya.</v>
      </c>
      <c r="E85" s="6" t="s">
        <v>1347</v>
      </c>
      <c r="F85" s="11" t="s">
        <v>1348</v>
      </c>
      <c r="G85" s="6" t="s">
        <v>1349</v>
      </c>
      <c r="H85" s="6" t="s">
        <v>910</v>
      </c>
      <c r="I85" s="6" t="s">
        <v>877</v>
      </c>
      <c r="J85" s="6" t="s">
        <v>877</v>
      </c>
      <c r="K85" s="6" t="s">
        <v>878</v>
      </c>
      <c r="L85" s="6" t="s">
        <v>1224</v>
      </c>
      <c r="M85" s="6" t="s">
        <v>1224</v>
      </c>
      <c r="N85" s="12" t="s">
        <v>881</v>
      </c>
      <c r="O85" s="6" t="s">
        <v>882</v>
      </c>
      <c r="P85" s="6" t="s">
        <v>2</v>
      </c>
      <c r="Q85" s="6" t="s">
        <v>20</v>
      </c>
      <c r="R85" s="12"/>
      <c r="S85" s="12"/>
      <c r="T85" s="12"/>
      <c r="U85" s="12"/>
      <c r="V85" s="12"/>
      <c r="W85" s="12"/>
      <c r="X85" s="6" t="str">
        <f aca="false">IF(COUNT(R85:W85)=6,SUM(R85:W85),"ko‘rilmagan")</f>
        <v>ko‘rilmagan</v>
      </c>
      <c r="Y85" s="12" t="s">
        <v>1350</v>
      </c>
    </row>
    <row r="86" customFormat="false" ht="23.85" hidden="false" customHeight="false" outlineLevel="0" collapsed="false">
      <c r="A86" s="6" t="s">
        <v>1351</v>
      </c>
      <c r="B86" s="6" t="s">
        <v>482</v>
      </c>
      <c r="C86" s="6"/>
      <c r="D86" s="6" t="str">
        <f aca="false">IFERROR(INDEX(Mundarija!$D:$D,MATCH(B86,Mundarija!$A:$A,0)),"kod topilmadi")</f>
        <v>27.2. Yangi tug‘ilgan chaqaloq bosh miyasi — neyrosonografiya.</v>
      </c>
      <c r="E86" s="6" t="s">
        <v>1352</v>
      </c>
      <c r="F86" s="11" t="s">
        <v>1353</v>
      </c>
      <c r="G86" s="6" t="s">
        <v>1354</v>
      </c>
      <c r="H86" s="6" t="s">
        <v>910</v>
      </c>
      <c r="I86" s="6" t="s">
        <v>877</v>
      </c>
      <c r="J86" s="6" t="s">
        <v>877</v>
      </c>
      <c r="K86" s="6" t="s">
        <v>878</v>
      </c>
      <c r="L86" s="6" t="s">
        <v>1224</v>
      </c>
      <c r="M86" s="6" t="s">
        <v>1224</v>
      </c>
      <c r="N86" s="12" t="s">
        <v>881</v>
      </c>
      <c r="O86" s="6" t="s">
        <v>882</v>
      </c>
      <c r="P86" s="6" t="s">
        <v>2</v>
      </c>
      <c r="Q86" s="6" t="s">
        <v>20</v>
      </c>
      <c r="R86" s="12"/>
      <c r="S86" s="12"/>
      <c r="T86" s="12"/>
      <c r="U86" s="12"/>
      <c r="V86" s="12"/>
      <c r="W86" s="12"/>
      <c r="X86" s="6" t="str">
        <f aca="false">IF(COUNT(R86:W86)=6,SUM(R86:W86),"ko‘rilmagan")</f>
        <v>ko‘rilmagan</v>
      </c>
      <c r="Y86" s="12" t="s">
        <v>1355</v>
      </c>
    </row>
    <row r="87" customFormat="false" ht="35.05" hidden="false" customHeight="false" outlineLevel="0" collapsed="false">
      <c r="A87" s="6" t="s">
        <v>1356</v>
      </c>
      <c r="B87" s="6" t="s">
        <v>482</v>
      </c>
      <c r="C87" s="6"/>
      <c r="D87" s="6" t="str">
        <f aca="false">IFERROR(INDEX(Mundarija!$D:$D,MATCH(B87,Mundarija!$A:$A,0)),"kod topilmadi")</f>
        <v>27.2. Yangi tug‘ilgan chaqaloq bosh miyasi — neyrosonografiya.</v>
      </c>
      <c r="E87" s="6" t="s">
        <v>1357</v>
      </c>
      <c r="F87" s="11" t="s">
        <v>1358</v>
      </c>
      <c r="G87" s="6" t="s">
        <v>1359</v>
      </c>
      <c r="H87" s="6" t="s">
        <v>910</v>
      </c>
      <c r="I87" s="6" t="s">
        <v>877</v>
      </c>
      <c r="J87" s="6" t="s">
        <v>877</v>
      </c>
      <c r="K87" s="6" t="s">
        <v>878</v>
      </c>
      <c r="L87" s="6" t="s">
        <v>1224</v>
      </c>
      <c r="M87" s="6" t="s">
        <v>1224</v>
      </c>
      <c r="N87" s="12" t="s">
        <v>881</v>
      </c>
      <c r="O87" s="6" t="s">
        <v>882</v>
      </c>
      <c r="P87" s="6" t="s">
        <v>2</v>
      </c>
      <c r="Q87" s="6" t="s">
        <v>20</v>
      </c>
      <c r="R87" s="12"/>
      <c r="S87" s="12"/>
      <c r="T87" s="12"/>
      <c r="U87" s="12"/>
      <c r="V87" s="12"/>
      <c r="W87" s="12"/>
      <c r="X87" s="6" t="str">
        <f aca="false">IF(COUNT(R87:W87)=6,SUM(R87:W87),"ko‘rilmagan")</f>
        <v>ko‘rilmagan</v>
      </c>
      <c r="Y87" s="12" t="s">
        <v>1360</v>
      </c>
    </row>
    <row r="88" customFormat="false" ht="23.85" hidden="false" customHeight="false" outlineLevel="0" collapsed="false">
      <c r="A88" s="6" t="s">
        <v>1361</v>
      </c>
      <c r="B88" s="6" t="s">
        <v>482</v>
      </c>
      <c r="C88" s="6"/>
      <c r="D88" s="6" t="str">
        <f aca="false">IFERROR(INDEX(Mundarija!$D:$D,MATCH(B88,Mundarija!$A:$A,0)),"kod topilmadi")</f>
        <v>27.2. Yangi tug‘ilgan chaqaloq bosh miyasi — neyrosonografiya.</v>
      </c>
      <c r="E88" s="6" t="s">
        <v>1362</v>
      </c>
      <c r="F88" s="11" t="s">
        <v>1363</v>
      </c>
      <c r="G88" s="6" t="s">
        <v>1364</v>
      </c>
      <c r="H88" s="6" t="s">
        <v>910</v>
      </c>
      <c r="I88" s="6" t="s">
        <v>877</v>
      </c>
      <c r="J88" s="6" t="s">
        <v>877</v>
      </c>
      <c r="K88" s="6" t="s">
        <v>878</v>
      </c>
      <c r="L88" s="6" t="s">
        <v>1224</v>
      </c>
      <c r="M88" s="6" t="s">
        <v>1224</v>
      </c>
      <c r="N88" s="12" t="s">
        <v>881</v>
      </c>
      <c r="O88" s="6" t="s">
        <v>882</v>
      </c>
      <c r="P88" s="6" t="s">
        <v>2</v>
      </c>
      <c r="Q88" s="6" t="s">
        <v>20</v>
      </c>
      <c r="R88" s="12"/>
      <c r="S88" s="12"/>
      <c r="T88" s="12"/>
      <c r="U88" s="12"/>
      <c r="V88" s="12"/>
      <c r="W88" s="12"/>
      <c r="X88" s="6" t="str">
        <f aca="false">IF(COUNT(R88:W88)=6,SUM(R88:W88),"ko‘rilmagan")</f>
        <v>ko‘rilmagan</v>
      </c>
      <c r="Y88" s="12" t="s">
        <v>1365</v>
      </c>
    </row>
    <row r="89" customFormat="false" ht="23.85" hidden="false" customHeight="false" outlineLevel="0" collapsed="false">
      <c r="A89" s="6" t="s">
        <v>1366</v>
      </c>
      <c r="B89" s="6" t="s">
        <v>482</v>
      </c>
      <c r="C89" s="6"/>
      <c r="D89" s="6" t="str">
        <f aca="false">IFERROR(INDEX(Mundarija!$D:$D,MATCH(B89,Mundarija!$A:$A,0)),"kod topilmadi")</f>
        <v>27.2. Yangi tug‘ilgan chaqaloq bosh miyasi — neyrosonografiya.</v>
      </c>
      <c r="E89" s="6" t="s">
        <v>1367</v>
      </c>
      <c r="F89" s="11" t="s">
        <v>1368</v>
      </c>
      <c r="G89" s="6" t="s">
        <v>1369</v>
      </c>
      <c r="H89" s="6" t="s">
        <v>910</v>
      </c>
      <c r="I89" s="6" t="s">
        <v>877</v>
      </c>
      <c r="J89" s="6" t="s">
        <v>877</v>
      </c>
      <c r="K89" s="6" t="s">
        <v>878</v>
      </c>
      <c r="L89" s="6" t="s">
        <v>1224</v>
      </c>
      <c r="M89" s="6" t="s">
        <v>1224</v>
      </c>
      <c r="N89" s="12" t="s">
        <v>881</v>
      </c>
      <c r="O89" s="6" t="s">
        <v>882</v>
      </c>
      <c r="P89" s="6" t="s">
        <v>2</v>
      </c>
      <c r="Q89" s="6" t="s">
        <v>20</v>
      </c>
      <c r="R89" s="12"/>
      <c r="S89" s="12"/>
      <c r="T89" s="12"/>
      <c r="U89" s="12"/>
      <c r="V89" s="12"/>
      <c r="W89" s="12"/>
      <c r="X89" s="6" t="str">
        <f aca="false">IF(COUNT(R89:W89)=6,SUM(R89:W89),"ko‘rilmagan")</f>
        <v>ko‘rilmagan</v>
      </c>
      <c r="Y89" s="12" t="s">
        <v>1370</v>
      </c>
    </row>
    <row r="90" customFormat="false" ht="35.05" hidden="false" customHeight="false" outlineLevel="0" collapsed="false">
      <c r="A90" s="6" t="s">
        <v>1371</v>
      </c>
      <c r="B90" s="6" t="s">
        <v>482</v>
      </c>
      <c r="C90" s="6"/>
      <c r="D90" s="6" t="str">
        <f aca="false">IFERROR(INDEX(Mundarija!$D:$D,MATCH(B90,Mundarija!$A:$A,0)),"kod topilmadi")</f>
        <v>27.2. Yangi tug‘ilgan chaqaloq bosh miyasi — neyrosonografiya.</v>
      </c>
      <c r="E90" s="6" t="s">
        <v>1372</v>
      </c>
      <c r="F90" s="11" t="s">
        <v>1373</v>
      </c>
      <c r="G90" s="6" t="s">
        <v>1374</v>
      </c>
      <c r="H90" s="6" t="s">
        <v>910</v>
      </c>
      <c r="I90" s="6" t="s">
        <v>877</v>
      </c>
      <c r="J90" s="6" t="s">
        <v>877</v>
      </c>
      <c r="K90" s="6" t="s">
        <v>878</v>
      </c>
      <c r="L90" s="6" t="s">
        <v>1224</v>
      </c>
      <c r="M90" s="6" t="s">
        <v>1224</v>
      </c>
      <c r="N90" s="12" t="s">
        <v>881</v>
      </c>
      <c r="O90" s="6" t="s">
        <v>882</v>
      </c>
      <c r="P90" s="6" t="s">
        <v>2</v>
      </c>
      <c r="Q90" s="6" t="s">
        <v>20</v>
      </c>
      <c r="R90" s="12"/>
      <c r="S90" s="12"/>
      <c r="T90" s="12"/>
      <c r="U90" s="12"/>
      <c r="V90" s="12"/>
      <c r="W90" s="12"/>
      <c r="X90" s="6" t="str">
        <f aca="false">IF(COUNT(R90:W90)=6,SUM(R90:W90),"ko‘rilmagan")</f>
        <v>ko‘rilmagan</v>
      </c>
      <c r="Y90" s="12" t="s">
        <v>1375</v>
      </c>
    </row>
    <row r="91" customFormat="false" ht="35.05" hidden="false" customHeight="false" outlineLevel="0" collapsed="false">
      <c r="A91" s="6" t="s">
        <v>1376</v>
      </c>
      <c r="B91" s="6" t="s">
        <v>482</v>
      </c>
      <c r="C91" s="6"/>
      <c r="D91" s="6" t="str">
        <f aca="false">IFERROR(INDEX(Mundarija!$D:$D,MATCH(B91,Mundarija!$A:$A,0)),"kod topilmadi")</f>
        <v>27.2. Yangi tug‘ilgan chaqaloq bosh miyasi — neyrosonografiya.</v>
      </c>
      <c r="E91" s="6" t="s">
        <v>1377</v>
      </c>
      <c r="F91" s="11" t="s">
        <v>1378</v>
      </c>
      <c r="G91" s="6" t="s">
        <v>1379</v>
      </c>
      <c r="H91" s="6" t="s">
        <v>910</v>
      </c>
      <c r="I91" s="6" t="s">
        <v>877</v>
      </c>
      <c r="J91" s="6" t="s">
        <v>877</v>
      </c>
      <c r="K91" s="6" t="s">
        <v>878</v>
      </c>
      <c r="L91" s="6" t="s">
        <v>1224</v>
      </c>
      <c r="M91" s="6" t="s">
        <v>1224</v>
      </c>
      <c r="N91" s="12" t="s">
        <v>881</v>
      </c>
      <c r="O91" s="6" t="s">
        <v>882</v>
      </c>
      <c r="P91" s="6" t="s">
        <v>2</v>
      </c>
      <c r="Q91" s="6" t="s">
        <v>20</v>
      </c>
      <c r="R91" s="12"/>
      <c r="S91" s="12"/>
      <c r="T91" s="12"/>
      <c r="U91" s="12"/>
      <c r="V91" s="12"/>
      <c r="W91" s="12"/>
      <c r="X91" s="6" t="str">
        <f aca="false">IF(COUNT(R91:W91)=6,SUM(R91:W91),"ko‘rilmagan")</f>
        <v>ko‘rilmagan</v>
      </c>
      <c r="Y91" s="12" t="s">
        <v>1380</v>
      </c>
    </row>
    <row r="92" customFormat="false" ht="23.85" hidden="false" customHeight="false" outlineLevel="0" collapsed="false">
      <c r="A92" s="6" t="s">
        <v>1381</v>
      </c>
      <c r="B92" s="6" t="s">
        <v>482</v>
      </c>
      <c r="C92" s="6" t="s">
        <v>495</v>
      </c>
      <c r="D92" s="6" t="str">
        <f aca="false">IFERROR(INDEX(Mundarija!$D:$D,MATCH(B92,Mundarija!$A:$A,0)),"kod topilmadi")</f>
        <v>27.2. Yangi tug‘ilgan chaqaloq bosh miyasi — neyrosonografiya.</v>
      </c>
      <c r="E92" s="6" t="s">
        <v>1382</v>
      </c>
      <c r="F92" s="11" t="s">
        <v>1383</v>
      </c>
      <c r="G92" s="6" t="s">
        <v>1384</v>
      </c>
      <c r="H92" s="6" t="s">
        <v>910</v>
      </c>
      <c r="I92" s="6" t="s">
        <v>877</v>
      </c>
      <c r="J92" s="6" t="s">
        <v>877</v>
      </c>
      <c r="K92" s="6" t="s">
        <v>878</v>
      </c>
      <c r="L92" s="6" t="s">
        <v>1224</v>
      </c>
      <c r="M92" s="6" t="s">
        <v>1224</v>
      </c>
      <c r="N92" s="12" t="s">
        <v>881</v>
      </c>
      <c r="O92" s="6" t="s">
        <v>882</v>
      </c>
      <c r="P92" s="6" t="s">
        <v>2</v>
      </c>
      <c r="Q92" s="6" t="s">
        <v>20</v>
      </c>
      <c r="R92" s="12"/>
      <c r="S92" s="12"/>
      <c r="T92" s="12"/>
      <c r="U92" s="12"/>
      <c r="V92" s="12"/>
      <c r="W92" s="12"/>
      <c r="X92" s="6" t="str">
        <f aca="false">IF(COUNT(R92:W92)=6,SUM(R92:W92),"ko‘rilmagan")</f>
        <v>ko‘rilmagan</v>
      </c>
      <c r="Y92" s="12" t="s">
        <v>1385</v>
      </c>
    </row>
    <row r="93" customFormat="false" ht="23.85" hidden="false" customHeight="false" outlineLevel="0" collapsed="false">
      <c r="A93" s="6" t="s">
        <v>1386</v>
      </c>
      <c r="B93" s="6" t="s">
        <v>454</v>
      </c>
      <c r="C93" s="6" t="s">
        <v>450</v>
      </c>
      <c r="D93" s="6" t="str">
        <f aca="false">IFERROR(INDEX(Mundarija!$D:$D,MATCH(B93,Mundarija!$A:$A,0)),"kod topilmadi")</f>
        <v>26.2. Parasternal, apikal, subkostal va suprasternal kesimlar.</v>
      </c>
      <c r="E93" s="6" t="s">
        <v>1387</v>
      </c>
      <c r="F93" s="11" t="s">
        <v>1388</v>
      </c>
      <c r="G93" s="6" t="s">
        <v>1389</v>
      </c>
      <c r="H93" s="6" t="s">
        <v>910</v>
      </c>
      <c r="I93" s="6" t="s">
        <v>877</v>
      </c>
      <c r="J93" s="6" t="s">
        <v>877</v>
      </c>
      <c r="K93" s="6" t="s">
        <v>878</v>
      </c>
      <c r="L93" s="6" t="s">
        <v>1224</v>
      </c>
      <c r="M93" s="6" t="s">
        <v>1224</v>
      </c>
      <c r="N93" s="12" t="s">
        <v>881</v>
      </c>
      <c r="O93" s="6" t="s">
        <v>882</v>
      </c>
      <c r="P93" s="6" t="s">
        <v>2</v>
      </c>
      <c r="Q93" s="6" t="s">
        <v>20</v>
      </c>
      <c r="R93" s="12"/>
      <c r="S93" s="12"/>
      <c r="T93" s="12"/>
      <c r="U93" s="12"/>
      <c r="V93" s="12"/>
      <c r="W93" s="12"/>
      <c r="X93" s="6" t="str">
        <f aca="false">IF(COUNT(R93:W93)=6,SUM(R93:W93),"ko‘rilmagan")</f>
        <v>ko‘rilmagan</v>
      </c>
      <c r="Y93" s="12" t="s">
        <v>1390</v>
      </c>
    </row>
    <row r="94" customFormat="false" ht="23.85" hidden="false" customHeight="false" outlineLevel="0" collapsed="false">
      <c r="A94" s="6" t="s">
        <v>1391</v>
      </c>
      <c r="B94" s="6" t="s">
        <v>454</v>
      </c>
      <c r="C94" s="6"/>
      <c r="D94" s="6" t="str">
        <f aca="false">IFERROR(INDEX(Mundarija!$D:$D,MATCH(B94,Mundarija!$A:$A,0)),"kod topilmadi")</f>
        <v>26.2. Parasternal, apikal, subkostal va suprasternal kesimlar.</v>
      </c>
      <c r="E94" s="6" t="s">
        <v>1392</v>
      </c>
      <c r="F94" s="11" t="s">
        <v>1393</v>
      </c>
      <c r="G94" s="6" t="s">
        <v>1394</v>
      </c>
      <c r="H94" s="6" t="s">
        <v>910</v>
      </c>
      <c r="I94" s="6" t="s">
        <v>877</v>
      </c>
      <c r="J94" s="6" t="s">
        <v>877</v>
      </c>
      <c r="K94" s="6" t="s">
        <v>878</v>
      </c>
      <c r="L94" s="6" t="s">
        <v>1224</v>
      </c>
      <c r="M94" s="6" t="s">
        <v>1224</v>
      </c>
      <c r="N94" s="12" t="s">
        <v>881</v>
      </c>
      <c r="O94" s="6" t="s">
        <v>882</v>
      </c>
      <c r="P94" s="6" t="s">
        <v>2</v>
      </c>
      <c r="Q94" s="6" t="s">
        <v>20</v>
      </c>
      <c r="R94" s="12"/>
      <c r="S94" s="12"/>
      <c r="T94" s="12"/>
      <c r="U94" s="12"/>
      <c r="V94" s="12"/>
      <c r="W94" s="12"/>
      <c r="X94" s="6" t="str">
        <f aca="false">IF(COUNT(R94:W94)=6,SUM(R94:W94),"ko‘rilmagan")</f>
        <v>ko‘rilmagan</v>
      </c>
      <c r="Y94" s="12" t="s">
        <v>1395</v>
      </c>
    </row>
    <row r="95" customFormat="false" ht="23.85" hidden="false" customHeight="false" outlineLevel="0" collapsed="false">
      <c r="A95" s="6" t="s">
        <v>1396</v>
      </c>
      <c r="B95" s="6" t="s">
        <v>462</v>
      </c>
      <c r="C95" s="6"/>
      <c r="D95" s="6" t="str">
        <f aca="false">IFERROR(INDEX(Mundarija!$D:$D,MATCH(B95,Mundarija!$A:$A,0)),"kod topilmadi")</f>
        <v>26.6. Chap qorincha sistolik funksiyasi va EF.</v>
      </c>
      <c r="E95" s="6" t="s">
        <v>1397</v>
      </c>
      <c r="F95" s="11" t="s">
        <v>1398</v>
      </c>
      <c r="G95" s="6" t="s">
        <v>1399</v>
      </c>
      <c r="H95" s="6" t="s">
        <v>910</v>
      </c>
      <c r="I95" s="6" t="s">
        <v>877</v>
      </c>
      <c r="J95" s="6" t="s">
        <v>877</v>
      </c>
      <c r="K95" s="6" t="s">
        <v>878</v>
      </c>
      <c r="L95" s="6" t="s">
        <v>1224</v>
      </c>
      <c r="M95" s="6" t="s">
        <v>1224</v>
      </c>
      <c r="N95" s="12" t="s">
        <v>881</v>
      </c>
      <c r="O95" s="6" t="s">
        <v>882</v>
      </c>
      <c r="P95" s="6" t="s">
        <v>2</v>
      </c>
      <c r="Q95" s="6" t="s">
        <v>20</v>
      </c>
      <c r="R95" s="12"/>
      <c r="S95" s="12"/>
      <c r="T95" s="12"/>
      <c r="U95" s="12"/>
      <c r="V95" s="12"/>
      <c r="W95" s="12"/>
      <c r="X95" s="6" t="str">
        <f aca="false">IF(COUNT(R95:W95)=6,SUM(R95:W95),"ko‘rilmagan")</f>
        <v>ko‘rilmagan</v>
      </c>
      <c r="Y95" s="12" t="s">
        <v>1400</v>
      </c>
    </row>
    <row r="96" customFormat="false" ht="23.85" hidden="false" customHeight="false" outlineLevel="0" collapsed="false">
      <c r="A96" s="6" t="s">
        <v>1401</v>
      </c>
      <c r="B96" s="6" t="s">
        <v>466</v>
      </c>
      <c r="C96" s="6"/>
      <c r="D96" s="6" t="str">
        <f aca="false">IFERROR(INDEX(Mundarija!$D:$D,MATCH(B96,Mundarija!$A:$A,0)),"kod topilmadi")</f>
        <v>26.8. Klapanlar: stenoz va regurgitatsiya.</v>
      </c>
      <c r="E96" s="6" t="s">
        <v>1402</v>
      </c>
      <c r="F96" s="11" t="s">
        <v>1403</v>
      </c>
      <c r="G96" s="6" t="s">
        <v>1404</v>
      </c>
      <c r="H96" s="6" t="s">
        <v>910</v>
      </c>
      <c r="I96" s="6" t="s">
        <v>877</v>
      </c>
      <c r="J96" s="6" t="s">
        <v>877</v>
      </c>
      <c r="K96" s="6" t="s">
        <v>878</v>
      </c>
      <c r="L96" s="6" t="s">
        <v>1224</v>
      </c>
      <c r="M96" s="6" t="s">
        <v>1224</v>
      </c>
      <c r="N96" s="12" t="s">
        <v>881</v>
      </c>
      <c r="O96" s="6" t="s">
        <v>882</v>
      </c>
      <c r="P96" s="6" t="s">
        <v>2</v>
      </c>
      <c r="Q96" s="6" t="s">
        <v>20</v>
      </c>
      <c r="R96" s="12"/>
      <c r="S96" s="12"/>
      <c r="T96" s="12"/>
      <c r="U96" s="12"/>
      <c r="V96" s="12"/>
      <c r="W96" s="12"/>
      <c r="X96" s="6" t="str">
        <f aca="false">IF(COUNT(R96:W96)=6,SUM(R96:W96),"ko‘rilmagan")</f>
        <v>ko‘rilmagan</v>
      </c>
      <c r="Y96" s="12" t="s">
        <v>1405</v>
      </c>
    </row>
    <row r="97" customFormat="false" ht="23.85" hidden="false" customHeight="false" outlineLevel="0" collapsed="false">
      <c r="A97" s="6" t="s">
        <v>1406</v>
      </c>
      <c r="B97" s="6" t="s">
        <v>466</v>
      </c>
      <c r="C97" s="6"/>
      <c r="D97" s="6" t="str">
        <f aca="false">IFERROR(INDEX(Mundarija!$D:$D,MATCH(B97,Mundarija!$A:$A,0)),"kod topilmadi")</f>
        <v>26.8. Klapanlar: stenoz va regurgitatsiya.</v>
      </c>
      <c r="E97" s="6" t="s">
        <v>1407</v>
      </c>
      <c r="F97" s="11" t="s">
        <v>1408</v>
      </c>
      <c r="G97" s="6" t="s">
        <v>1409</v>
      </c>
      <c r="H97" s="6" t="s">
        <v>910</v>
      </c>
      <c r="I97" s="6" t="s">
        <v>877</v>
      </c>
      <c r="J97" s="6" t="s">
        <v>877</v>
      </c>
      <c r="K97" s="6" t="s">
        <v>878</v>
      </c>
      <c r="L97" s="6" t="s">
        <v>1224</v>
      </c>
      <c r="M97" s="6" t="s">
        <v>1224</v>
      </c>
      <c r="N97" s="12" t="s">
        <v>881</v>
      </c>
      <c r="O97" s="6" t="s">
        <v>882</v>
      </c>
      <c r="P97" s="6" t="s">
        <v>2</v>
      </c>
      <c r="Q97" s="6" t="s">
        <v>20</v>
      </c>
      <c r="R97" s="12"/>
      <c r="S97" s="12"/>
      <c r="T97" s="12"/>
      <c r="U97" s="12"/>
      <c r="V97" s="12"/>
      <c r="W97" s="12"/>
      <c r="X97" s="6" t="str">
        <f aca="false">IF(COUNT(R97:W97)=6,SUM(R97:W97),"ko‘rilmagan")</f>
        <v>ko‘rilmagan</v>
      </c>
      <c r="Y97" s="12" t="s">
        <v>1410</v>
      </c>
    </row>
    <row r="98" customFormat="false" ht="23.85" hidden="false" customHeight="false" outlineLevel="0" collapsed="false">
      <c r="A98" s="6" t="s">
        <v>1411</v>
      </c>
      <c r="B98" s="6" t="s">
        <v>466</v>
      </c>
      <c r="C98" s="6"/>
      <c r="D98" s="6" t="str">
        <f aca="false">IFERROR(INDEX(Mundarija!$D:$D,MATCH(B98,Mundarija!$A:$A,0)),"kod topilmadi")</f>
        <v>26.8. Klapanlar: stenoz va regurgitatsiya.</v>
      </c>
      <c r="E98" s="6" t="s">
        <v>1412</v>
      </c>
      <c r="F98" s="11" t="s">
        <v>1413</v>
      </c>
      <c r="G98" s="6" t="s">
        <v>1399</v>
      </c>
      <c r="H98" s="6" t="s">
        <v>910</v>
      </c>
      <c r="I98" s="6" t="s">
        <v>877</v>
      </c>
      <c r="J98" s="6" t="s">
        <v>877</v>
      </c>
      <c r="K98" s="6" t="s">
        <v>878</v>
      </c>
      <c r="L98" s="6" t="s">
        <v>1224</v>
      </c>
      <c r="M98" s="6" t="s">
        <v>1224</v>
      </c>
      <c r="N98" s="12" t="s">
        <v>881</v>
      </c>
      <c r="O98" s="6" t="s">
        <v>882</v>
      </c>
      <c r="P98" s="6" t="s">
        <v>2</v>
      </c>
      <c r="Q98" s="6" t="s">
        <v>20</v>
      </c>
      <c r="R98" s="12"/>
      <c r="S98" s="12"/>
      <c r="T98" s="12"/>
      <c r="U98" s="12"/>
      <c r="V98" s="12"/>
      <c r="W98" s="12"/>
      <c r="X98" s="6" t="str">
        <f aca="false">IF(COUNT(R98:W98)=6,SUM(R98:W98),"ko‘rilmagan")</f>
        <v>ko‘rilmagan</v>
      </c>
      <c r="Y98" s="12" t="s">
        <v>1414</v>
      </c>
    </row>
    <row r="99" customFormat="false" ht="35.05" hidden="false" customHeight="false" outlineLevel="0" collapsed="false">
      <c r="A99" s="6" t="s">
        <v>1415</v>
      </c>
      <c r="B99" s="6" t="s">
        <v>470</v>
      </c>
      <c r="C99" s="6"/>
      <c r="D99" s="6" t="str">
        <f aca="false">IFERROR(INDEX(Mundarija!$D:$D,MATCH(B99,Mundarija!$A:$A,0)),"kod topilmadi")</f>
        <v>26.10. Perikardial suyuqlik va tamponada.</v>
      </c>
      <c r="E99" s="6" t="s">
        <v>1416</v>
      </c>
      <c r="F99" s="11" t="s">
        <v>1417</v>
      </c>
      <c r="G99" s="6" t="s">
        <v>1418</v>
      </c>
      <c r="H99" s="6" t="s">
        <v>910</v>
      </c>
      <c r="I99" s="6" t="s">
        <v>877</v>
      </c>
      <c r="J99" s="6" t="s">
        <v>877</v>
      </c>
      <c r="K99" s="6" t="s">
        <v>878</v>
      </c>
      <c r="L99" s="6" t="s">
        <v>1224</v>
      </c>
      <c r="M99" s="6" t="s">
        <v>1224</v>
      </c>
      <c r="N99" s="12" t="s">
        <v>881</v>
      </c>
      <c r="O99" s="6" t="s">
        <v>882</v>
      </c>
      <c r="P99" s="6" t="s">
        <v>2</v>
      </c>
      <c r="Q99" s="6" t="s">
        <v>20</v>
      </c>
      <c r="R99" s="12"/>
      <c r="S99" s="12"/>
      <c r="T99" s="12"/>
      <c r="U99" s="12"/>
      <c r="V99" s="12"/>
      <c r="W99" s="12"/>
      <c r="X99" s="6" t="str">
        <f aca="false">IF(COUNT(R99:W99)=6,SUM(R99:W99),"ko‘rilmagan")</f>
        <v>ko‘rilmagan</v>
      </c>
      <c r="Y99" s="12" t="s">
        <v>1419</v>
      </c>
    </row>
    <row r="100" customFormat="false" ht="23.85" hidden="false" customHeight="false" outlineLevel="0" collapsed="false">
      <c r="A100" s="6" t="s">
        <v>1420</v>
      </c>
      <c r="B100" s="6" t="s">
        <v>384</v>
      </c>
      <c r="C100" s="6"/>
      <c r="D100" s="6" t="str">
        <f aca="false">IFERROR(INDEX(Mundarija!$D:$D,MATCH(B100,Mundarija!$A:$A,0)),"kod topilmadi")</f>
        <v>22.1. Normal anatomiya va o‘lchash.</v>
      </c>
      <c r="E100" s="6" t="s">
        <v>1421</v>
      </c>
      <c r="F100" s="11" t="s">
        <v>1422</v>
      </c>
      <c r="G100" s="6" t="s">
        <v>1423</v>
      </c>
      <c r="H100" s="6" t="s">
        <v>910</v>
      </c>
      <c r="I100" s="6" t="s">
        <v>877</v>
      </c>
      <c r="J100" s="6" t="s">
        <v>877</v>
      </c>
      <c r="K100" s="6" t="s">
        <v>878</v>
      </c>
      <c r="L100" s="6" t="s">
        <v>1224</v>
      </c>
      <c r="M100" s="6" t="s">
        <v>1224</v>
      </c>
      <c r="N100" s="12" t="s">
        <v>881</v>
      </c>
      <c r="O100" s="6" t="s">
        <v>882</v>
      </c>
      <c r="P100" s="6" t="s">
        <v>2</v>
      </c>
      <c r="Q100" s="6" t="s">
        <v>20</v>
      </c>
      <c r="R100" s="12"/>
      <c r="S100" s="12"/>
      <c r="T100" s="12"/>
      <c r="U100" s="12"/>
      <c r="V100" s="12"/>
      <c r="W100" s="12"/>
      <c r="X100" s="6" t="str">
        <f aca="false">IF(COUNT(R100:W100)=6,SUM(R100:W100),"ko‘rilmagan")</f>
        <v>ko‘rilmagan</v>
      </c>
      <c r="Y100" s="12" t="s">
        <v>1424</v>
      </c>
    </row>
    <row r="101" customFormat="false" ht="23.85" hidden="false" customHeight="false" outlineLevel="0" collapsed="false">
      <c r="A101" s="6" t="s">
        <v>1425</v>
      </c>
      <c r="B101" s="6" t="s">
        <v>384</v>
      </c>
      <c r="C101" s="6"/>
      <c r="D101" s="6" t="str">
        <f aca="false">IFERROR(INDEX(Mundarija!$D:$D,MATCH(B101,Mundarija!$A:$A,0)),"kod topilmadi")</f>
        <v>22.1. Normal anatomiya va o‘lchash.</v>
      </c>
      <c r="E101" s="6" t="s">
        <v>1426</v>
      </c>
      <c r="F101" s="11" t="s">
        <v>1427</v>
      </c>
      <c r="G101" s="6" t="s">
        <v>1259</v>
      </c>
      <c r="H101" s="6" t="s">
        <v>910</v>
      </c>
      <c r="I101" s="6" t="s">
        <v>877</v>
      </c>
      <c r="J101" s="6" t="s">
        <v>877</v>
      </c>
      <c r="K101" s="6" t="s">
        <v>878</v>
      </c>
      <c r="L101" s="6" t="s">
        <v>1224</v>
      </c>
      <c r="M101" s="6" t="s">
        <v>1224</v>
      </c>
      <c r="N101" s="12" t="s">
        <v>881</v>
      </c>
      <c r="O101" s="6" t="s">
        <v>882</v>
      </c>
      <c r="P101" s="6" t="s">
        <v>2</v>
      </c>
      <c r="Q101" s="6" t="s">
        <v>20</v>
      </c>
      <c r="R101" s="12"/>
      <c r="S101" s="12"/>
      <c r="T101" s="12"/>
      <c r="U101" s="12"/>
      <c r="V101" s="12"/>
      <c r="W101" s="12"/>
      <c r="X101" s="6" t="str">
        <f aca="false">IF(COUNT(R101:W101)=6,SUM(R101:W101),"ko‘rilmagan")</f>
        <v>ko‘rilmagan</v>
      </c>
      <c r="Y101" s="12" t="s">
        <v>1428</v>
      </c>
    </row>
    <row r="102" customFormat="false" ht="23.85" hidden="false" customHeight="false" outlineLevel="0" collapsed="false">
      <c r="A102" s="6" t="s">
        <v>1429</v>
      </c>
      <c r="B102" s="6" t="s">
        <v>384</v>
      </c>
      <c r="C102" s="6" t="s">
        <v>1430</v>
      </c>
      <c r="D102" s="6" t="str">
        <f aca="false">IFERROR(INDEX(Mundarija!$D:$D,MATCH(B102,Mundarija!$A:$A,0)),"kod topilmadi")</f>
        <v>22.1. Normal anatomiya va o‘lchash.</v>
      </c>
      <c r="E102" s="6" t="s">
        <v>1431</v>
      </c>
      <c r="F102" s="11" t="s">
        <v>1432</v>
      </c>
      <c r="G102" s="6" t="s">
        <v>1433</v>
      </c>
      <c r="H102" s="6" t="s">
        <v>910</v>
      </c>
      <c r="I102" s="6" t="s">
        <v>877</v>
      </c>
      <c r="J102" s="6" t="s">
        <v>877</v>
      </c>
      <c r="K102" s="6" t="s">
        <v>878</v>
      </c>
      <c r="L102" s="6" t="s">
        <v>1224</v>
      </c>
      <c r="M102" s="6" t="s">
        <v>1224</v>
      </c>
      <c r="N102" s="12" t="s">
        <v>881</v>
      </c>
      <c r="O102" s="6" t="s">
        <v>882</v>
      </c>
      <c r="P102" s="6" t="s">
        <v>2</v>
      </c>
      <c r="Q102" s="6" t="s">
        <v>20</v>
      </c>
      <c r="R102" s="12"/>
      <c r="S102" s="12"/>
      <c r="T102" s="12"/>
      <c r="U102" s="12"/>
      <c r="V102" s="12"/>
      <c r="W102" s="12"/>
      <c r="X102" s="6" t="str">
        <f aca="false">IF(COUNT(R102:W102)=6,SUM(R102:W102),"ko‘rilmagan")</f>
        <v>ko‘rilmagan</v>
      </c>
      <c r="Y102" s="12" t="s">
        <v>1434</v>
      </c>
    </row>
    <row r="103" customFormat="false" ht="23.85" hidden="false" customHeight="false" outlineLevel="0" collapsed="false">
      <c r="A103" s="6" t="s">
        <v>1435</v>
      </c>
      <c r="B103" s="6" t="s">
        <v>392</v>
      </c>
      <c r="C103" s="6"/>
      <c r="D103" s="6" t="str">
        <f aca="false">IFERROR(INDEX(Mundarija!$D:$D,MATCH(B103,Mundarija!$A:$A,0)),"kod topilmadi")</f>
        <v>22.4. ACR TI-RADS: tavsif, ball va toifalar.</v>
      </c>
      <c r="E103" s="6" t="s">
        <v>1436</v>
      </c>
      <c r="F103" s="11" t="s">
        <v>1437</v>
      </c>
      <c r="G103" s="6" t="s">
        <v>1259</v>
      </c>
      <c r="H103" s="6" t="s">
        <v>910</v>
      </c>
      <c r="I103" s="6" t="s">
        <v>877</v>
      </c>
      <c r="J103" s="6" t="s">
        <v>877</v>
      </c>
      <c r="K103" s="6" t="s">
        <v>878</v>
      </c>
      <c r="L103" s="6" t="s">
        <v>1224</v>
      </c>
      <c r="M103" s="6" t="s">
        <v>1224</v>
      </c>
      <c r="N103" s="12" t="s">
        <v>881</v>
      </c>
      <c r="O103" s="6" t="s">
        <v>882</v>
      </c>
      <c r="P103" s="6" t="s">
        <v>2</v>
      </c>
      <c r="Q103" s="6" t="s">
        <v>20</v>
      </c>
      <c r="R103" s="12"/>
      <c r="S103" s="12"/>
      <c r="T103" s="12"/>
      <c r="U103" s="12"/>
      <c r="V103" s="12"/>
      <c r="W103" s="12"/>
      <c r="X103" s="6" t="str">
        <f aca="false">IF(COUNT(R103:W103)=6,SUM(R103:W103),"ko‘rilmagan")</f>
        <v>ko‘rilmagan</v>
      </c>
      <c r="Y103" s="12" t="s">
        <v>1438</v>
      </c>
    </row>
    <row r="104" customFormat="false" ht="23.85" hidden="false" customHeight="false" outlineLevel="0" collapsed="false">
      <c r="A104" s="6" t="s">
        <v>1439</v>
      </c>
      <c r="B104" s="6" t="s">
        <v>388</v>
      </c>
      <c r="C104" s="6"/>
      <c r="D104" s="6" t="str">
        <f aca="false">IFERROR(INDEX(Mundarija!$D:$D,MATCH(B104,Mundarija!$A:$A,0)),"kod topilmadi")</f>
        <v>22.2. Diffuz buqoq va tireoidit.</v>
      </c>
      <c r="E104" s="6" t="s">
        <v>1440</v>
      </c>
      <c r="F104" s="11" t="s">
        <v>1441</v>
      </c>
      <c r="G104" s="6" t="s">
        <v>1442</v>
      </c>
      <c r="H104" s="6" t="s">
        <v>910</v>
      </c>
      <c r="I104" s="6" t="s">
        <v>877</v>
      </c>
      <c r="J104" s="6" t="s">
        <v>877</v>
      </c>
      <c r="K104" s="6" t="s">
        <v>878</v>
      </c>
      <c r="L104" s="6" t="s">
        <v>1224</v>
      </c>
      <c r="M104" s="6" t="s">
        <v>1224</v>
      </c>
      <c r="N104" s="12" t="s">
        <v>881</v>
      </c>
      <c r="O104" s="6" t="s">
        <v>882</v>
      </c>
      <c r="P104" s="6" t="s">
        <v>2</v>
      </c>
      <c r="Q104" s="6" t="s">
        <v>20</v>
      </c>
      <c r="R104" s="12"/>
      <c r="S104" s="12"/>
      <c r="T104" s="12"/>
      <c r="U104" s="12"/>
      <c r="V104" s="12"/>
      <c r="W104" s="12"/>
      <c r="X104" s="6" t="str">
        <f aca="false">IF(COUNT(R104:W104)=6,SUM(R104:W104),"ko‘rilmagan")</f>
        <v>ko‘rilmagan</v>
      </c>
      <c r="Y104" s="12" t="s">
        <v>1443</v>
      </c>
    </row>
    <row r="105" customFormat="false" ht="23.85" hidden="false" customHeight="false" outlineLevel="0" collapsed="false">
      <c r="A105" s="6" t="s">
        <v>1444</v>
      </c>
      <c r="B105" s="6" t="s">
        <v>388</v>
      </c>
      <c r="C105" s="6"/>
      <c r="D105" s="6" t="str">
        <f aca="false">IFERROR(INDEX(Mundarija!$D:$D,MATCH(B105,Mundarija!$A:$A,0)),"kod topilmadi")</f>
        <v>22.2. Diffuz buqoq va tireoidit.</v>
      </c>
      <c r="E105" s="6" t="s">
        <v>1445</v>
      </c>
      <c r="F105" s="11" t="s">
        <v>1446</v>
      </c>
      <c r="G105" s="6" t="s">
        <v>1269</v>
      </c>
      <c r="H105" s="6" t="s">
        <v>910</v>
      </c>
      <c r="I105" s="6" t="s">
        <v>877</v>
      </c>
      <c r="J105" s="6" t="s">
        <v>877</v>
      </c>
      <c r="K105" s="6" t="s">
        <v>878</v>
      </c>
      <c r="L105" s="6" t="s">
        <v>1224</v>
      </c>
      <c r="M105" s="6" t="s">
        <v>1224</v>
      </c>
      <c r="N105" s="12" t="s">
        <v>881</v>
      </c>
      <c r="O105" s="6" t="s">
        <v>882</v>
      </c>
      <c r="P105" s="6" t="s">
        <v>2</v>
      </c>
      <c r="Q105" s="6" t="s">
        <v>20</v>
      </c>
      <c r="R105" s="12"/>
      <c r="S105" s="12"/>
      <c r="T105" s="12"/>
      <c r="U105" s="12"/>
      <c r="V105" s="12"/>
      <c r="W105" s="12"/>
      <c r="X105" s="6" t="str">
        <f aca="false">IF(COUNT(R105:W105)=6,SUM(R105:W105),"ko‘rilmagan")</f>
        <v>ko‘rilmagan</v>
      </c>
      <c r="Y105" s="12" t="s">
        <v>1447</v>
      </c>
    </row>
    <row r="106" customFormat="false" ht="23.85" hidden="false" customHeight="false" outlineLevel="0" collapsed="false">
      <c r="A106" s="6" t="s">
        <v>1448</v>
      </c>
      <c r="B106" s="6" t="s">
        <v>388</v>
      </c>
      <c r="C106" s="6"/>
      <c r="D106" s="6" t="str">
        <f aca="false">IFERROR(INDEX(Mundarija!$D:$D,MATCH(B106,Mundarija!$A:$A,0)),"kod topilmadi")</f>
        <v>22.2. Diffuz buqoq va tireoidit.</v>
      </c>
      <c r="E106" s="6" t="s">
        <v>1449</v>
      </c>
      <c r="F106" s="11" t="s">
        <v>1450</v>
      </c>
      <c r="G106" s="6" t="s">
        <v>1138</v>
      </c>
      <c r="H106" s="6" t="s">
        <v>910</v>
      </c>
      <c r="I106" s="6" t="s">
        <v>877</v>
      </c>
      <c r="J106" s="6" t="s">
        <v>877</v>
      </c>
      <c r="K106" s="6" t="s">
        <v>878</v>
      </c>
      <c r="L106" s="6" t="s">
        <v>1224</v>
      </c>
      <c r="M106" s="6" t="s">
        <v>1224</v>
      </c>
      <c r="N106" s="12" t="s">
        <v>881</v>
      </c>
      <c r="O106" s="6" t="s">
        <v>882</v>
      </c>
      <c r="P106" s="6" t="s">
        <v>2</v>
      </c>
      <c r="Q106" s="6" t="s">
        <v>20</v>
      </c>
      <c r="R106" s="12"/>
      <c r="S106" s="12"/>
      <c r="T106" s="12"/>
      <c r="U106" s="12"/>
      <c r="V106" s="12"/>
      <c r="W106" s="12"/>
      <c r="X106" s="6" t="str">
        <f aca="false">IF(COUNT(R106:W106)=6,SUM(R106:W106),"ko‘rilmagan")</f>
        <v>ko‘rilmagan</v>
      </c>
      <c r="Y106" s="12" t="s">
        <v>1451</v>
      </c>
    </row>
    <row r="107" customFormat="false" ht="23.85" hidden="false" customHeight="false" outlineLevel="0" collapsed="false">
      <c r="A107" s="6" t="s">
        <v>1452</v>
      </c>
      <c r="B107" s="6" t="s">
        <v>396</v>
      </c>
      <c r="C107" s="6"/>
      <c r="D107" s="6" t="str">
        <f aca="false">IFERROR(INDEX(Mundarija!$D:$D,MATCH(B107,Mundarija!$A:$A,0)),"kod topilmadi")</f>
        <v>22.6. Paratiroid bezlarini ko‘rish va cheklovlar.</v>
      </c>
      <c r="E107" s="6" t="s">
        <v>1453</v>
      </c>
      <c r="F107" s="11" t="s">
        <v>1454</v>
      </c>
      <c r="G107" s="6" t="s">
        <v>1235</v>
      </c>
      <c r="H107" s="6" t="s">
        <v>910</v>
      </c>
      <c r="I107" s="6" t="s">
        <v>877</v>
      </c>
      <c r="J107" s="6" t="s">
        <v>877</v>
      </c>
      <c r="K107" s="6" t="s">
        <v>878</v>
      </c>
      <c r="L107" s="6" t="s">
        <v>1224</v>
      </c>
      <c r="M107" s="6" t="s">
        <v>1224</v>
      </c>
      <c r="N107" s="12" t="s">
        <v>881</v>
      </c>
      <c r="O107" s="6" t="s">
        <v>882</v>
      </c>
      <c r="P107" s="6" t="s">
        <v>2</v>
      </c>
      <c r="Q107" s="6" t="s">
        <v>20</v>
      </c>
      <c r="R107" s="12"/>
      <c r="S107" s="12"/>
      <c r="T107" s="12"/>
      <c r="U107" s="12"/>
      <c r="V107" s="12"/>
      <c r="W107" s="12"/>
      <c r="X107" s="6" t="str">
        <f aca="false">IF(COUNT(R107:W107)=6,SUM(R107:W107),"ko‘rilmagan")</f>
        <v>ko‘rilmagan</v>
      </c>
      <c r="Y107" s="12" t="s">
        <v>1455</v>
      </c>
    </row>
    <row r="108" customFormat="false" ht="23.85" hidden="false" customHeight="false" outlineLevel="0" collapsed="false">
      <c r="A108" s="6" t="s">
        <v>1456</v>
      </c>
      <c r="B108" s="6" t="s">
        <v>394</v>
      </c>
      <c r="C108" s="6"/>
      <c r="D108" s="6" t="str">
        <f aca="false">IFERROR(INDEX(Mundarija!$D:$D,MATCH(B108,Mundarija!$A:$A,0)),"kod topilmadi")</f>
        <v>22.5. Shubhali limfa tugunlari va bo‘yin limfa tugunlari.</v>
      </c>
      <c r="E108" s="6" t="s">
        <v>1457</v>
      </c>
      <c r="F108" s="11" t="s">
        <v>1458</v>
      </c>
      <c r="G108" s="6" t="s">
        <v>1278</v>
      </c>
      <c r="H108" s="6" t="s">
        <v>910</v>
      </c>
      <c r="I108" s="6" t="s">
        <v>877</v>
      </c>
      <c r="J108" s="6" t="s">
        <v>877</v>
      </c>
      <c r="K108" s="6" t="s">
        <v>878</v>
      </c>
      <c r="L108" s="6" t="s">
        <v>1224</v>
      </c>
      <c r="M108" s="6" t="s">
        <v>1224</v>
      </c>
      <c r="N108" s="12" t="s">
        <v>881</v>
      </c>
      <c r="O108" s="6" t="s">
        <v>882</v>
      </c>
      <c r="P108" s="6" t="s">
        <v>2</v>
      </c>
      <c r="Q108" s="6" t="s">
        <v>20</v>
      </c>
      <c r="R108" s="12"/>
      <c r="S108" s="12"/>
      <c r="T108" s="12"/>
      <c r="U108" s="12"/>
      <c r="V108" s="12"/>
      <c r="W108" s="12"/>
      <c r="X108" s="6" t="str">
        <f aca="false">IF(COUNT(R108:W108)=6,SUM(R108:W108),"ko‘rilmagan")</f>
        <v>ko‘rilmagan</v>
      </c>
      <c r="Y108" s="12" t="s">
        <v>1459</v>
      </c>
    </row>
    <row r="109" customFormat="false" ht="23.85" hidden="false" customHeight="false" outlineLevel="0" collapsed="false">
      <c r="A109" s="6" t="s">
        <v>1460</v>
      </c>
      <c r="B109" s="6" t="s">
        <v>403</v>
      </c>
      <c r="C109" s="6"/>
      <c r="D109" s="6" t="str">
        <f aca="false">IFERROR(INDEX(Mundarija!$D:$D,MATCH(B109,Mundarija!$A:$A,0)),"kod topilmadi")</f>
        <v>23.2. Tekshiruv texnikasi va standart tekisliklar.</v>
      </c>
      <c r="E109" s="6" t="s">
        <v>1461</v>
      </c>
      <c r="F109" s="11" t="s">
        <v>1462</v>
      </c>
      <c r="G109" s="6" t="s">
        <v>1463</v>
      </c>
      <c r="H109" s="6" t="s">
        <v>910</v>
      </c>
      <c r="I109" s="6" t="s">
        <v>877</v>
      </c>
      <c r="J109" s="6" t="s">
        <v>877</v>
      </c>
      <c r="K109" s="6" t="s">
        <v>878</v>
      </c>
      <c r="L109" s="6" t="s">
        <v>1224</v>
      </c>
      <c r="M109" s="6" t="s">
        <v>1224</v>
      </c>
      <c r="N109" s="12" t="s">
        <v>881</v>
      </c>
      <c r="O109" s="6" t="s">
        <v>882</v>
      </c>
      <c r="P109" s="6" t="s">
        <v>2</v>
      </c>
      <c r="Q109" s="6" t="s">
        <v>20</v>
      </c>
      <c r="R109" s="12"/>
      <c r="S109" s="12"/>
      <c r="T109" s="12"/>
      <c r="U109" s="12"/>
      <c r="V109" s="12"/>
      <c r="W109" s="12"/>
      <c r="X109" s="6" t="str">
        <f aca="false">IF(COUNT(R109:W109)=6,SUM(R109:W109),"ko‘rilmagan")</f>
        <v>ko‘rilmagan</v>
      </c>
      <c r="Y109" s="12" t="s">
        <v>1464</v>
      </c>
    </row>
    <row r="110" customFormat="false" ht="23.85" hidden="false" customHeight="false" outlineLevel="0" collapsed="false">
      <c r="A110" s="6" t="s">
        <v>1465</v>
      </c>
      <c r="B110" s="6" t="s">
        <v>403</v>
      </c>
      <c r="C110" s="6" t="s">
        <v>405</v>
      </c>
      <c r="D110" s="6" t="str">
        <f aca="false">IFERROR(INDEX(Mundarija!$D:$D,MATCH(B110,Mundarija!$A:$A,0)),"kod topilmadi")</f>
        <v>23.2. Tekshiruv texnikasi va standart tekisliklar.</v>
      </c>
      <c r="E110" s="6" t="s">
        <v>1466</v>
      </c>
      <c r="F110" s="11" t="s">
        <v>1467</v>
      </c>
      <c r="G110" s="6" t="s">
        <v>1336</v>
      </c>
      <c r="H110" s="6" t="s">
        <v>910</v>
      </c>
      <c r="I110" s="6" t="s">
        <v>877</v>
      </c>
      <c r="J110" s="6" t="s">
        <v>877</v>
      </c>
      <c r="K110" s="6" t="s">
        <v>878</v>
      </c>
      <c r="L110" s="6" t="s">
        <v>1224</v>
      </c>
      <c r="M110" s="6" t="s">
        <v>1224</v>
      </c>
      <c r="N110" s="12" t="s">
        <v>881</v>
      </c>
      <c r="O110" s="6" t="s">
        <v>882</v>
      </c>
      <c r="P110" s="6" t="s">
        <v>2</v>
      </c>
      <c r="Q110" s="6" t="s">
        <v>20</v>
      </c>
      <c r="R110" s="12"/>
      <c r="S110" s="12"/>
      <c r="T110" s="12"/>
      <c r="U110" s="12"/>
      <c r="V110" s="12"/>
      <c r="W110" s="12"/>
      <c r="X110" s="6" t="str">
        <f aca="false">IF(COUNT(R110:W110)=6,SUM(R110:W110),"ko‘rilmagan")</f>
        <v>ko‘rilmagan</v>
      </c>
      <c r="Y110" s="12" t="s">
        <v>1468</v>
      </c>
    </row>
    <row r="111" customFormat="false" ht="23.85" hidden="false" customHeight="false" outlineLevel="0" collapsed="false">
      <c r="A111" s="6" t="s">
        <v>1469</v>
      </c>
      <c r="B111" s="6" t="s">
        <v>409</v>
      </c>
      <c r="C111" s="6"/>
      <c r="D111" s="6" t="str">
        <f aca="false">IFERROR(INDEX(Mundarija!$D:$D,MATCH(B111,Mundarija!$A:$A,0)),"kod topilmadi")</f>
        <v>23.5. BI-RADS US tavsiflash va xulosa.</v>
      </c>
      <c r="E111" s="6" t="s">
        <v>1470</v>
      </c>
      <c r="F111" s="11" t="s">
        <v>1471</v>
      </c>
      <c r="G111" s="6" t="s">
        <v>1235</v>
      </c>
      <c r="H111" s="6" t="s">
        <v>910</v>
      </c>
      <c r="I111" s="6" t="s">
        <v>877</v>
      </c>
      <c r="J111" s="6" t="s">
        <v>877</v>
      </c>
      <c r="K111" s="6" t="s">
        <v>878</v>
      </c>
      <c r="L111" s="6" t="s">
        <v>1224</v>
      </c>
      <c r="M111" s="6" t="s">
        <v>1224</v>
      </c>
      <c r="N111" s="12" t="s">
        <v>881</v>
      </c>
      <c r="O111" s="6" t="s">
        <v>882</v>
      </c>
      <c r="P111" s="6" t="s">
        <v>2</v>
      </c>
      <c r="Q111" s="6" t="s">
        <v>20</v>
      </c>
      <c r="R111" s="12"/>
      <c r="S111" s="12"/>
      <c r="T111" s="12"/>
      <c r="U111" s="12"/>
      <c r="V111" s="12"/>
      <c r="W111" s="12"/>
      <c r="X111" s="6" t="str">
        <f aca="false">IF(COUNT(R111:W111)=6,SUM(R111:W111),"ko‘rilmagan")</f>
        <v>ko‘rilmagan</v>
      </c>
      <c r="Y111" s="12" t="s">
        <v>1472</v>
      </c>
    </row>
    <row r="112" customFormat="false" ht="23.85" hidden="false" customHeight="false" outlineLevel="0" collapsed="false">
      <c r="A112" s="6" t="s">
        <v>1473</v>
      </c>
      <c r="B112" s="6" t="s">
        <v>413</v>
      </c>
      <c r="C112" s="6"/>
      <c r="D112" s="6" t="str">
        <f aca="false">IFERROR(INDEX(Mundarija!$D:$D,MATCH(B112,Mundarija!$A:$A,0)),"kod topilmadi")</f>
        <v>23.7. Sut bezi va qo‘ltiq osti limfa tugunlari.</v>
      </c>
      <c r="E112" s="6" t="s">
        <v>1474</v>
      </c>
      <c r="F112" s="11" t="s">
        <v>1475</v>
      </c>
      <c r="G112" s="6" t="s">
        <v>1476</v>
      </c>
      <c r="H112" s="6" t="s">
        <v>910</v>
      </c>
      <c r="I112" s="6" t="s">
        <v>877</v>
      </c>
      <c r="J112" s="6" t="s">
        <v>877</v>
      </c>
      <c r="K112" s="6" t="s">
        <v>878</v>
      </c>
      <c r="L112" s="6" t="s">
        <v>1224</v>
      </c>
      <c r="M112" s="6" t="s">
        <v>1224</v>
      </c>
      <c r="N112" s="12" t="s">
        <v>881</v>
      </c>
      <c r="O112" s="6" t="s">
        <v>882</v>
      </c>
      <c r="P112" s="6" t="s">
        <v>2</v>
      </c>
      <c r="Q112" s="6" t="s">
        <v>20</v>
      </c>
      <c r="R112" s="12"/>
      <c r="S112" s="12"/>
      <c r="T112" s="12"/>
      <c r="U112" s="12"/>
      <c r="V112" s="12"/>
      <c r="W112" s="12"/>
      <c r="X112" s="6" t="str">
        <f aca="false">IF(COUNT(R112:W112)=6,SUM(R112:W112),"ko‘rilmagan")</f>
        <v>ko‘rilmagan</v>
      </c>
      <c r="Y112" s="12" t="s">
        <v>1477</v>
      </c>
    </row>
    <row r="113" customFormat="false" ht="23.85" hidden="false" customHeight="false" outlineLevel="0" collapsed="false">
      <c r="A113" s="6" t="s">
        <v>1478</v>
      </c>
      <c r="B113" s="6" t="s">
        <v>331</v>
      </c>
      <c r="C113" s="6" t="s">
        <v>328</v>
      </c>
      <c r="D113" s="6" t="str">
        <f aca="false">IFERROR(INDEX(Mundarija!$D:$D,MATCH(B113,Mundarija!$A:$A,0)),"kod topilmadi")</f>
        <v>19.2. CRL, NT va boshqa standart o‘lchovlar.</v>
      </c>
      <c r="E113" s="6" t="s">
        <v>1479</v>
      </c>
      <c r="F113" s="11" t="s">
        <v>1480</v>
      </c>
      <c r="G113" s="6" t="s">
        <v>1481</v>
      </c>
      <c r="H113" s="6" t="s">
        <v>910</v>
      </c>
      <c r="I113" s="6" t="s">
        <v>877</v>
      </c>
      <c r="J113" s="6" t="s">
        <v>877</v>
      </c>
      <c r="K113" s="6" t="s">
        <v>878</v>
      </c>
      <c r="L113" s="6" t="s">
        <v>1224</v>
      </c>
      <c r="M113" s="6" t="s">
        <v>1224</v>
      </c>
      <c r="N113" s="12" t="s">
        <v>881</v>
      </c>
      <c r="O113" s="6" t="s">
        <v>882</v>
      </c>
      <c r="P113" s="6" t="s">
        <v>2</v>
      </c>
      <c r="Q113" s="6" t="s">
        <v>20</v>
      </c>
      <c r="R113" s="12"/>
      <c r="S113" s="12"/>
      <c r="T113" s="12"/>
      <c r="U113" s="12"/>
      <c r="V113" s="12"/>
      <c r="W113" s="12"/>
      <c r="X113" s="6" t="str">
        <f aca="false">IF(COUNT(R113:W113)=6,SUM(R113:W113),"ko‘rilmagan")</f>
        <v>ko‘rilmagan</v>
      </c>
      <c r="Y113" s="12" t="s">
        <v>1482</v>
      </c>
    </row>
    <row r="114" customFormat="false" ht="23.85" hidden="false" customHeight="false" outlineLevel="0" collapsed="false">
      <c r="A114" s="6" t="s">
        <v>1483</v>
      </c>
      <c r="B114" s="6" t="s">
        <v>342</v>
      </c>
      <c r="C114" s="6"/>
      <c r="D114" s="6" t="str">
        <f aca="false">IFERROR(INDEX(Mundarija!$D:$D,MATCH(B114,Mundarija!$A:$A,0)),"kod topilmadi")</f>
        <v>20.2. Fetometriya: BPD, HC, AC va FL.</v>
      </c>
      <c r="E114" s="6" t="s">
        <v>1484</v>
      </c>
      <c r="F114" s="11" t="s">
        <v>1485</v>
      </c>
      <c r="G114" s="6" t="s">
        <v>1442</v>
      </c>
      <c r="H114" s="6" t="s">
        <v>910</v>
      </c>
      <c r="I114" s="6" t="s">
        <v>877</v>
      </c>
      <c r="J114" s="6" t="s">
        <v>877</v>
      </c>
      <c r="K114" s="6" t="s">
        <v>878</v>
      </c>
      <c r="L114" s="6" t="s">
        <v>1224</v>
      </c>
      <c r="M114" s="6" t="s">
        <v>1224</v>
      </c>
      <c r="N114" s="12" t="s">
        <v>881</v>
      </c>
      <c r="O114" s="6" t="s">
        <v>882</v>
      </c>
      <c r="P114" s="6" t="s">
        <v>2</v>
      </c>
      <c r="Q114" s="6" t="s">
        <v>20</v>
      </c>
      <c r="R114" s="12"/>
      <c r="S114" s="12"/>
      <c r="T114" s="12"/>
      <c r="U114" s="12"/>
      <c r="V114" s="12"/>
      <c r="W114" s="12"/>
      <c r="X114" s="6" t="str">
        <f aca="false">IF(COUNT(R114:W114)=6,SUM(R114:W114),"ko‘rilmagan")</f>
        <v>ko‘rilmagan</v>
      </c>
      <c r="Y114" s="12" t="s">
        <v>1486</v>
      </c>
    </row>
    <row r="115" customFormat="false" ht="35.05" hidden="false" customHeight="false" outlineLevel="0" collapsed="false">
      <c r="A115" s="6" t="s">
        <v>1487</v>
      </c>
      <c r="B115" s="6" t="s">
        <v>339</v>
      </c>
      <c r="C115" s="6"/>
      <c r="D115" s="6" t="str">
        <f aca="false">IFERROR(INDEX(Mundarija!$D:$D,MATCH(B115,Mundarija!$A:$A,0)),"kod topilmadi")</f>
        <v>20.1. Homila anatomiyasini tizimli tekshirish.</v>
      </c>
      <c r="E115" s="6" t="s">
        <v>1488</v>
      </c>
      <c r="F115" s="11" t="s">
        <v>1489</v>
      </c>
      <c r="G115" s="6" t="s">
        <v>1490</v>
      </c>
      <c r="H115" s="6" t="s">
        <v>910</v>
      </c>
      <c r="I115" s="6" t="s">
        <v>877</v>
      </c>
      <c r="J115" s="6" t="s">
        <v>877</v>
      </c>
      <c r="K115" s="6" t="s">
        <v>878</v>
      </c>
      <c r="L115" s="6" t="s">
        <v>1224</v>
      </c>
      <c r="M115" s="6" t="s">
        <v>1224</v>
      </c>
      <c r="N115" s="12" t="s">
        <v>881</v>
      </c>
      <c r="O115" s="6" t="s">
        <v>882</v>
      </c>
      <c r="P115" s="6" t="s">
        <v>2</v>
      </c>
      <c r="Q115" s="6" t="s">
        <v>20</v>
      </c>
      <c r="R115" s="12"/>
      <c r="S115" s="12"/>
      <c r="T115" s="12"/>
      <c r="U115" s="12"/>
      <c r="V115" s="12"/>
      <c r="W115" s="12"/>
      <c r="X115" s="6" t="str">
        <f aca="false">IF(COUNT(R115:W115)=6,SUM(R115:W115),"ko‘rilmagan")</f>
        <v>ko‘rilmagan</v>
      </c>
      <c r="Y115" s="12" t="s">
        <v>1491</v>
      </c>
    </row>
    <row r="116" customFormat="false" ht="23.85" hidden="false" customHeight="false" outlineLevel="0" collapsed="false">
      <c r="A116" s="6" t="s">
        <v>1492</v>
      </c>
      <c r="B116" s="6" t="s">
        <v>346</v>
      </c>
      <c r="C116" s="6"/>
      <c r="D116" s="6" t="str">
        <f aca="false">IFERROR(INDEX(Mundarija!$D:$D,MATCH(B116,Mundarija!$A:$A,0)),"kod topilmadi")</f>
        <v>20.4. Bosh miya, umurtqa va yuz anatomiyasi.</v>
      </c>
      <c r="E116" s="6" t="s">
        <v>1493</v>
      </c>
      <c r="F116" s="11" t="s">
        <v>1494</v>
      </c>
      <c r="G116" s="6" t="s">
        <v>1259</v>
      </c>
      <c r="H116" s="6" t="s">
        <v>910</v>
      </c>
      <c r="I116" s="6" t="s">
        <v>877</v>
      </c>
      <c r="J116" s="6" t="s">
        <v>877</v>
      </c>
      <c r="K116" s="6" t="s">
        <v>878</v>
      </c>
      <c r="L116" s="6" t="s">
        <v>1224</v>
      </c>
      <c r="M116" s="6" t="s">
        <v>1224</v>
      </c>
      <c r="N116" s="12" t="s">
        <v>881</v>
      </c>
      <c r="O116" s="6" t="s">
        <v>882</v>
      </c>
      <c r="P116" s="6" t="s">
        <v>2</v>
      </c>
      <c r="Q116" s="6" t="s">
        <v>20</v>
      </c>
      <c r="R116" s="12"/>
      <c r="S116" s="12"/>
      <c r="T116" s="12"/>
      <c r="U116" s="12"/>
      <c r="V116" s="12"/>
      <c r="W116" s="12"/>
      <c r="X116" s="6" t="str">
        <f aca="false">IF(COUNT(R116:W116)=6,SUM(R116:W116),"ko‘rilmagan")</f>
        <v>ko‘rilmagan</v>
      </c>
      <c r="Y116" s="12" t="s">
        <v>1495</v>
      </c>
    </row>
    <row r="117" customFormat="false" ht="23.85" hidden="false" customHeight="false" outlineLevel="0" collapsed="false">
      <c r="A117" s="6" t="s">
        <v>1496</v>
      </c>
      <c r="B117" s="6" t="s">
        <v>348</v>
      </c>
      <c r="C117" s="6" t="s">
        <v>380</v>
      </c>
      <c r="D117" s="6" t="str">
        <f aca="false">IFERROR(INDEX(Mundarija!$D:$D,MATCH(B117,Mundarija!$A:$A,0)),"kod topilmadi")</f>
        <v>20.5. Yurak va ko‘krak qafasi.</v>
      </c>
      <c r="E117" s="6" t="s">
        <v>1497</v>
      </c>
      <c r="F117" s="11" t="s">
        <v>1498</v>
      </c>
      <c r="G117" s="6" t="s">
        <v>1499</v>
      </c>
      <c r="H117" s="6" t="s">
        <v>910</v>
      </c>
      <c r="I117" s="6" t="s">
        <v>877</v>
      </c>
      <c r="J117" s="6" t="s">
        <v>877</v>
      </c>
      <c r="K117" s="6" t="s">
        <v>878</v>
      </c>
      <c r="L117" s="6" t="s">
        <v>1224</v>
      </c>
      <c r="M117" s="6" t="s">
        <v>1224</v>
      </c>
      <c r="N117" s="12" t="s">
        <v>881</v>
      </c>
      <c r="O117" s="6" t="s">
        <v>882</v>
      </c>
      <c r="P117" s="6" t="s">
        <v>2</v>
      </c>
      <c r="Q117" s="6" t="s">
        <v>20</v>
      </c>
      <c r="R117" s="12"/>
      <c r="S117" s="12"/>
      <c r="T117" s="12"/>
      <c r="U117" s="12"/>
      <c r="V117" s="12"/>
      <c r="W117" s="12"/>
      <c r="X117" s="6" t="str">
        <f aca="false">IF(COUNT(R117:W117)=6,SUM(R117:W117),"ko‘rilmagan")</f>
        <v>ko‘rilmagan</v>
      </c>
      <c r="Y117" s="12" t="s">
        <v>1500</v>
      </c>
    </row>
    <row r="118" customFormat="false" ht="23.85" hidden="false" customHeight="false" outlineLevel="0" collapsed="false">
      <c r="A118" s="6" t="s">
        <v>1501</v>
      </c>
      <c r="B118" s="6" t="s">
        <v>348</v>
      </c>
      <c r="C118" s="6" t="s">
        <v>380</v>
      </c>
      <c r="D118" s="6" t="str">
        <f aca="false">IFERROR(INDEX(Mundarija!$D:$D,MATCH(B118,Mundarija!$A:$A,0)),"kod topilmadi")</f>
        <v>20.5. Yurak va ko‘krak qafasi.</v>
      </c>
      <c r="E118" s="6" t="s">
        <v>1502</v>
      </c>
      <c r="F118" s="11" t="s">
        <v>1503</v>
      </c>
      <c r="G118" s="6" t="s">
        <v>1504</v>
      </c>
      <c r="H118" s="6" t="s">
        <v>910</v>
      </c>
      <c r="I118" s="6" t="s">
        <v>877</v>
      </c>
      <c r="J118" s="6" t="s">
        <v>877</v>
      </c>
      <c r="K118" s="6" t="s">
        <v>878</v>
      </c>
      <c r="L118" s="6" t="s">
        <v>1224</v>
      </c>
      <c r="M118" s="6" t="s">
        <v>1224</v>
      </c>
      <c r="N118" s="12" t="s">
        <v>881</v>
      </c>
      <c r="O118" s="6" t="s">
        <v>882</v>
      </c>
      <c r="P118" s="6" t="s">
        <v>2</v>
      </c>
      <c r="Q118" s="6" t="s">
        <v>20</v>
      </c>
      <c r="R118" s="12"/>
      <c r="S118" s="12"/>
      <c r="T118" s="12"/>
      <c r="U118" s="12"/>
      <c r="V118" s="12"/>
      <c r="W118" s="12"/>
      <c r="X118" s="6" t="str">
        <f aca="false">IF(COUNT(R118:W118)=6,SUM(R118:W118),"ko‘rilmagan")</f>
        <v>ko‘rilmagan</v>
      </c>
      <c r="Y118" s="12" t="s">
        <v>1505</v>
      </c>
    </row>
    <row r="119" customFormat="false" ht="23.85" hidden="false" customHeight="false" outlineLevel="0" collapsed="false">
      <c r="A119" s="6" t="s">
        <v>1506</v>
      </c>
      <c r="B119" s="6" t="s">
        <v>354</v>
      </c>
      <c r="C119" s="6"/>
      <c r="D119" s="6" t="str">
        <f aca="false">IFERROR(INDEX(Mundarija!$D:$D,MATCH(B119,Mundarija!$A:$A,0)),"kod topilmadi")</f>
        <v>20.8. Yo‘ldosh, kindik tizimi va amniotik suyuqlik.</v>
      </c>
      <c r="E119" s="6" t="s">
        <v>1507</v>
      </c>
      <c r="F119" s="11" t="s">
        <v>1508</v>
      </c>
      <c r="G119" s="6" t="s">
        <v>1235</v>
      </c>
      <c r="H119" s="6" t="s">
        <v>910</v>
      </c>
      <c r="I119" s="6" t="s">
        <v>877</v>
      </c>
      <c r="J119" s="6" t="s">
        <v>877</v>
      </c>
      <c r="K119" s="6" t="s">
        <v>878</v>
      </c>
      <c r="L119" s="6" t="s">
        <v>1224</v>
      </c>
      <c r="M119" s="6" t="s">
        <v>1224</v>
      </c>
      <c r="N119" s="12" t="s">
        <v>881</v>
      </c>
      <c r="O119" s="6" t="s">
        <v>882</v>
      </c>
      <c r="P119" s="6" t="s">
        <v>2</v>
      </c>
      <c r="Q119" s="6" t="s">
        <v>20</v>
      </c>
      <c r="R119" s="12"/>
      <c r="S119" s="12"/>
      <c r="T119" s="12"/>
      <c r="U119" s="12"/>
      <c r="V119" s="12"/>
      <c r="W119" s="12"/>
      <c r="X119" s="6" t="str">
        <f aca="false">IF(COUNT(R119:W119)=6,SUM(R119:W119),"ko‘rilmagan")</f>
        <v>ko‘rilmagan</v>
      </c>
      <c r="Y119" s="12" t="s">
        <v>1509</v>
      </c>
    </row>
    <row r="120" customFormat="false" ht="23.85" hidden="false" customHeight="false" outlineLevel="0" collapsed="false">
      <c r="A120" s="6" t="s">
        <v>1510</v>
      </c>
      <c r="B120" s="6" t="s">
        <v>432</v>
      </c>
      <c r="C120" s="6"/>
      <c r="D120" s="6" t="str">
        <f aca="false">IFERROR(INDEX(Mundarija!$D:$D,MATCH(B120,Mundarija!$A:$A,0)),"kod topilmadi")</f>
        <v>25.2. Karotid va vertebral arteriyalar.</v>
      </c>
      <c r="E120" s="6" t="s">
        <v>1511</v>
      </c>
      <c r="F120" s="11" t="s">
        <v>1512</v>
      </c>
      <c r="G120" s="6" t="s">
        <v>1409</v>
      </c>
      <c r="H120" s="6" t="s">
        <v>910</v>
      </c>
      <c r="I120" s="6" t="s">
        <v>877</v>
      </c>
      <c r="J120" s="6" t="s">
        <v>877</v>
      </c>
      <c r="K120" s="6" t="s">
        <v>878</v>
      </c>
      <c r="L120" s="6" t="s">
        <v>1224</v>
      </c>
      <c r="M120" s="6" t="s">
        <v>1224</v>
      </c>
      <c r="N120" s="12" t="s">
        <v>881</v>
      </c>
      <c r="O120" s="6" t="s">
        <v>882</v>
      </c>
      <c r="P120" s="6" t="s">
        <v>2</v>
      </c>
      <c r="Q120" s="6" t="s">
        <v>20</v>
      </c>
      <c r="R120" s="12"/>
      <c r="S120" s="12"/>
      <c r="T120" s="12"/>
      <c r="U120" s="12"/>
      <c r="V120" s="12"/>
      <c r="W120" s="12"/>
      <c r="X120" s="6" t="str">
        <f aca="false">IF(COUNT(R120:W120)=6,SUM(R120:W120),"ko‘rilmagan")</f>
        <v>ko‘rilmagan</v>
      </c>
      <c r="Y120" s="12" t="s">
        <v>1513</v>
      </c>
    </row>
    <row r="121" customFormat="false" ht="35.05" hidden="false" customHeight="false" outlineLevel="0" collapsed="false">
      <c r="A121" s="6" t="s">
        <v>1514</v>
      </c>
      <c r="B121" s="6" t="s">
        <v>434</v>
      </c>
      <c r="C121" s="6"/>
      <c r="D121" s="6" t="str">
        <f aca="false">IFERROR(INDEX(Mundarija!$D:$D,MATCH(B121,Mundarija!$A:$A,0)),"kod topilmadi")</f>
        <v>25.3. Aterosklerotik blyashkalar, stenoz va okklyuziya.</v>
      </c>
      <c r="E121" s="6" t="s">
        <v>1515</v>
      </c>
      <c r="F121" s="11" t="s">
        <v>1516</v>
      </c>
      <c r="G121" s="6" t="s">
        <v>1517</v>
      </c>
      <c r="H121" s="6" t="s">
        <v>910</v>
      </c>
      <c r="I121" s="6" t="s">
        <v>877</v>
      </c>
      <c r="J121" s="6" t="s">
        <v>877</v>
      </c>
      <c r="K121" s="6" t="s">
        <v>878</v>
      </c>
      <c r="L121" s="6" t="s">
        <v>1224</v>
      </c>
      <c r="M121" s="6" t="s">
        <v>1224</v>
      </c>
      <c r="N121" s="12" t="s">
        <v>881</v>
      </c>
      <c r="O121" s="6" t="s">
        <v>882</v>
      </c>
      <c r="P121" s="6" t="s">
        <v>2</v>
      </c>
      <c r="Q121" s="6" t="s">
        <v>20</v>
      </c>
      <c r="R121" s="12"/>
      <c r="S121" s="12"/>
      <c r="T121" s="12"/>
      <c r="U121" s="12"/>
      <c r="V121" s="12"/>
      <c r="W121" s="12"/>
      <c r="X121" s="6" t="str">
        <f aca="false">IF(COUNT(R121:W121)=6,SUM(R121:W121),"ko‘rilmagan")</f>
        <v>ko‘rilmagan</v>
      </c>
      <c r="Y121" s="12" t="s">
        <v>1518</v>
      </c>
    </row>
    <row r="122" customFormat="false" ht="23.85" hidden="false" customHeight="false" outlineLevel="0" collapsed="false">
      <c r="A122" s="6" t="s">
        <v>1519</v>
      </c>
      <c r="B122" s="6" t="s">
        <v>438</v>
      </c>
      <c r="C122" s="6"/>
      <c r="D122" s="6" t="str">
        <f aca="false">IFERROR(INDEX(Mundarija!$D:$D,MATCH(B122,Mundarija!$A:$A,0)),"kod topilmadi")</f>
        <v>25.5. Chuqur vena trombozi: kompressiya va Doppler.</v>
      </c>
      <c r="E122" s="6" t="s">
        <v>1520</v>
      </c>
      <c r="F122" s="11" t="s">
        <v>1521</v>
      </c>
      <c r="G122" s="6" t="s">
        <v>1522</v>
      </c>
      <c r="H122" s="6" t="s">
        <v>910</v>
      </c>
      <c r="I122" s="6" t="s">
        <v>877</v>
      </c>
      <c r="J122" s="6" t="s">
        <v>877</v>
      </c>
      <c r="K122" s="6" t="s">
        <v>878</v>
      </c>
      <c r="L122" s="6" t="s">
        <v>1224</v>
      </c>
      <c r="M122" s="6" t="s">
        <v>1224</v>
      </c>
      <c r="N122" s="12" t="s">
        <v>881</v>
      </c>
      <c r="O122" s="6" t="s">
        <v>882</v>
      </c>
      <c r="P122" s="6" t="s">
        <v>2</v>
      </c>
      <c r="Q122" s="6" t="s">
        <v>20</v>
      </c>
      <c r="R122" s="12"/>
      <c r="S122" s="12"/>
      <c r="T122" s="12"/>
      <c r="U122" s="12"/>
      <c r="V122" s="12"/>
      <c r="W122" s="12"/>
      <c r="X122" s="6" t="str">
        <f aca="false">IF(COUNT(R122:W122)=6,SUM(R122:W122),"ko‘rilmagan")</f>
        <v>ko‘rilmagan</v>
      </c>
      <c r="Y122" s="12" t="s">
        <v>1523</v>
      </c>
    </row>
    <row r="123" customFormat="false" ht="35.05" hidden="false" customHeight="false" outlineLevel="0" collapsed="false">
      <c r="A123" s="6" t="s">
        <v>1524</v>
      </c>
      <c r="B123" s="6" t="s">
        <v>438</v>
      </c>
      <c r="C123" s="6"/>
      <c r="D123" s="6" t="str">
        <f aca="false">IFERROR(INDEX(Mundarija!$D:$D,MATCH(B123,Mundarija!$A:$A,0)),"kod topilmadi")</f>
        <v>25.5. Chuqur vena trombozi: kompressiya va Doppler.</v>
      </c>
      <c r="E123" s="6" t="s">
        <v>1525</v>
      </c>
      <c r="F123" s="11" t="s">
        <v>1526</v>
      </c>
      <c r="G123" s="6" t="s">
        <v>1527</v>
      </c>
      <c r="H123" s="6" t="s">
        <v>910</v>
      </c>
      <c r="I123" s="6" t="s">
        <v>877</v>
      </c>
      <c r="J123" s="6" t="s">
        <v>877</v>
      </c>
      <c r="K123" s="6" t="s">
        <v>878</v>
      </c>
      <c r="L123" s="6" t="s">
        <v>1224</v>
      </c>
      <c r="M123" s="6" t="s">
        <v>1224</v>
      </c>
      <c r="N123" s="12" t="s">
        <v>881</v>
      </c>
      <c r="O123" s="6" t="s">
        <v>882</v>
      </c>
      <c r="P123" s="6" t="s">
        <v>2</v>
      </c>
      <c r="Q123" s="6" t="s">
        <v>20</v>
      </c>
      <c r="R123" s="12"/>
      <c r="S123" s="12"/>
      <c r="T123" s="12"/>
      <c r="U123" s="12"/>
      <c r="V123" s="12"/>
      <c r="W123" s="12"/>
      <c r="X123" s="6" t="str">
        <f aca="false">IF(COUNT(R123:W123)=6,SUM(R123:W123),"ko‘rilmagan")</f>
        <v>ko‘rilmagan</v>
      </c>
      <c r="Y123" s="12" t="s">
        <v>1528</v>
      </c>
    </row>
    <row r="124" customFormat="false" ht="23.85" hidden="false" customHeight="false" outlineLevel="0" collapsed="false">
      <c r="A124" s="6" t="s">
        <v>1529</v>
      </c>
      <c r="B124" s="6" t="s">
        <v>436</v>
      </c>
      <c r="C124" s="6"/>
      <c r="D124" s="6" t="str">
        <f aca="false">IFERROR(INDEX(Mundarija!$D:$D,MATCH(B124,Mundarija!$A:$A,0)),"kod topilmadi")</f>
        <v>25.4. Yuqori va pastki ekstremita arteriyalari.</v>
      </c>
      <c r="E124" s="6" t="s">
        <v>1530</v>
      </c>
      <c r="F124" s="11" t="s">
        <v>1531</v>
      </c>
      <c r="G124" s="6" t="s">
        <v>887</v>
      </c>
      <c r="H124" s="6" t="s">
        <v>910</v>
      </c>
      <c r="I124" s="6" t="s">
        <v>877</v>
      </c>
      <c r="J124" s="6" t="s">
        <v>877</v>
      </c>
      <c r="K124" s="6" t="s">
        <v>878</v>
      </c>
      <c r="L124" s="6" t="s">
        <v>1224</v>
      </c>
      <c r="M124" s="6" t="s">
        <v>1224</v>
      </c>
      <c r="N124" s="12" t="s">
        <v>881</v>
      </c>
      <c r="O124" s="6" t="s">
        <v>882</v>
      </c>
      <c r="P124" s="6" t="s">
        <v>2</v>
      </c>
      <c r="Q124" s="6" t="s">
        <v>20</v>
      </c>
      <c r="R124" s="12"/>
      <c r="S124" s="12"/>
      <c r="T124" s="12"/>
      <c r="U124" s="12"/>
      <c r="V124" s="12"/>
      <c r="W124" s="12"/>
      <c r="X124" s="6" t="str">
        <f aca="false">IF(COUNT(R124:W124)=6,SUM(R124:W124),"ko‘rilmagan")</f>
        <v>ko‘rilmagan</v>
      </c>
      <c r="Y124" s="12" t="s">
        <v>1532</v>
      </c>
    </row>
    <row r="125" customFormat="false" ht="23.85" hidden="false" customHeight="false" outlineLevel="0" collapsed="false">
      <c r="A125" s="6" t="s">
        <v>1533</v>
      </c>
      <c r="B125" s="6" t="s">
        <v>243</v>
      </c>
      <c r="C125" s="6"/>
      <c r="D125" s="6" t="str">
        <f aca="false">IFERROR(INDEX(Mundarija!$D:$D,MATCH(B125,Mundarija!$A:$A,0)),"kod topilmadi")</f>
        <v>14.6. Buyrak arteriyasi va venasining Doppler tekshiruvi.</v>
      </c>
      <c r="E125" s="6" t="s">
        <v>1534</v>
      </c>
      <c r="F125" s="11" t="s">
        <v>1535</v>
      </c>
      <c r="G125" s="6" t="s">
        <v>887</v>
      </c>
      <c r="H125" s="6" t="s">
        <v>910</v>
      </c>
      <c r="I125" s="6" t="s">
        <v>877</v>
      </c>
      <c r="J125" s="6" t="s">
        <v>877</v>
      </c>
      <c r="K125" s="6" t="s">
        <v>878</v>
      </c>
      <c r="L125" s="6" t="s">
        <v>1224</v>
      </c>
      <c r="M125" s="6" t="s">
        <v>1224</v>
      </c>
      <c r="N125" s="12" t="s">
        <v>881</v>
      </c>
      <c r="O125" s="6" t="s">
        <v>882</v>
      </c>
      <c r="P125" s="6" t="s">
        <v>2</v>
      </c>
      <c r="Q125" s="6" t="s">
        <v>20</v>
      </c>
      <c r="R125" s="12"/>
      <c r="S125" s="12"/>
      <c r="T125" s="12"/>
      <c r="U125" s="12"/>
      <c r="V125" s="12"/>
      <c r="W125" s="12"/>
      <c r="X125" s="6" t="str">
        <f aca="false">IF(COUNT(R125:W125)=6,SUM(R125:W125),"ko‘rilmagan")</f>
        <v>ko‘rilmagan</v>
      </c>
      <c r="Y125" s="12" t="s">
        <v>1536</v>
      </c>
    </row>
    <row r="126" customFormat="false" ht="23.85" hidden="false" customHeight="false" outlineLevel="0" collapsed="false">
      <c r="A126" s="6" t="s">
        <v>1537</v>
      </c>
      <c r="B126" s="6" t="s">
        <v>181</v>
      </c>
      <c r="C126" s="6"/>
      <c r="D126" s="6" t="str">
        <f aca="false">IFERROR(INDEX(Mundarija!$D:$D,MATCH(B126,Mundarija!$A:$A,0)),"kod topilmadi")</f>
        <v>10.4. Portal gipertenziya, portal va jigar venalari.</v>
      </c>
      <c r="E126" s="6" t="s">
        <v>1538</v>
      </c>
      <c r="F126" s="11" t="s">
        <v>1539</v>
      </c>
      <c r="G126" s="6" t="s">
        <v>1540</v>
      </c>
      <c r="H126" s="6" t="s">
        <v>910</v>
      </c>
      <c r="I126" s="6" t="s">
        <v>877</v>
      </c>
      <c r="J126" s="6" t="s">
        <v>877</v>
      </c>
      <c r="K126" s="6" t="s">
        <v>878</v>
      </c>
      <c r="L126" s="6" t="s">
        <v>1224</v>
      </c>
      <c r="M126" s="6" t="s">
        <v>1224</v>
      </c>
      <c r="N126" s="12" t="s">
        <v>881</v>
      </c>
      <c r="O126" s="6" t="s">
        <v>882</v>
      </c>
      <c r="P126" s="6" t="s">
        <v>2</v>
      </c>
      <c r="Q126" s="6" t="s">
        <v>20</v>
      </c>
      <c r="R126" s="12"/>
      <c r="S126" s="12"/>
      <c r="T126" s="12"/>
      <c r="U126" s="12"/>
      <c r="V126" s="12"/>
      <c r="W126" s="12"/>
      <c r="X126" s="6" t="str">
        <f aca="false">IF(COUNT(R126:W126)=6,SUM(R126:W126),"ko‘rilmagan")</f>
        <v>ko‘rilmagan</v>
      </c>
      <c r="Y126" s="12" t="s">
        <v>1541</v>
      </c>
    </row>
    <row r="127" customFormat="false" ht="23.85" hidden="false" customHeight="false" outlineLevel="0" collapsed="false">
      <c r="A127" s="6" t="s">
        <v>1542</v>
      </c>
      <c r="B127" s="6" t="s">
        <v>448</v>
      </c>
      <c r="C127" s="6"/>
      <c r="D127" s="6" t="str">
        <f aca="false">IFERROR(INDEX(Mundarija!$D:$D,MATCH(B127,Mundarija!$A:$A,0)),"kod topilmadi")</f>
        <v>25.10. Transkranial Doppler (TCD): asoslar, imkoniyatlar va cheklovlar.</v>
      </c>
      <c r="E127" s="6" t="s">
        <v>1543</v>
      </c>
      <c r="F127" s="11" t="s">
        <v>1544</v>
      </c>
      <c r="G127" s="6" t="s">
        <v>1235</v>
      </c>
      <c r="H127" s="6" t="s">
        <v>910</v>
      </c>
      <c r="I127" s="6" t="s">
        <v>877</v>
      </c>
      <c r="J127" s="6" t="s">
        <v>877</v>
      </c>
      <c r="K127" s="6" t="s">
        <v>878</v>
      </c>
      <c r="L127" s="6" t="s">
        <v>1224</v>
      </c>
      <c r="M127" s="6" t="s">
        <v>1224</v>
      </c>
      <c r="N127" s="12" t="s">
        <v>881</v>
      </c>
      <c r="O127" s="6" t="s">
        <v>882</v>
      </c>
      <c r="P127" s="6" t="s">
        <v>2</v>
      </c>
      <c r="Q127" s="6" t="s">
        <v>20</v>
      </c>
      <c r="R127" s="12"/>
      <c r="S127" s="12"/>
      <c r="T127" s="12"/>
      <c r="U127" s="12"/>
      <c r="V127" s="12"/>
      <c r="W127" s="12"/>
      <c r="X127" s="6" t="str">
        <f aca="false">IF(COUNT(R127:W127)=6,SUM(R127:W127),"ko‘rilmagan")</f>
        <v>ko‘rilmagan</v>
      </c>
      <c r="Y127" s="12" t="s">
        <v>1545</v>
      </c>
    </row>
    <row r="128" customFormat="false" ht="23.85" hidden="false" customHeight="false" outlineLevel="0" collapsed="false">
      <c r="A128" s="6" t="s">
        <v>1546</v>
      </c>
      <c r="B128" s="6" t="s">
        <v>448</v>
      </c>
      <c r="C128" s="6"/>
      <c r="D128" s="6" t="str">
        <f aca="false">IFERROR(INDEX(Mundarija!$D:$D,MATCH(B128,Mundarija!$A:$A,0)),"kod topilmadi")</f>
        <v>25.10. Transkranial Doppler (TCD): asoslar, imkoniyatlar va cheklovlar.</v>
      </c>
      <c r="E128" s="6" t="s">
        <v>1547</v>
      </c>
      <c r="F128" s="11" t="s">
        <v>1548</v>
      </c>
      <c r="G128" s="6" t="s">
        <v>1549</v>
      </c>
      <c r="H128" s="6" t="s">
        <v>910</v>
      </c>
      <c r="I128" s="6" t="s">
        <v>877</v>
      </c>
      <c r="J128" s="6" t="s">
        <v>877</v>
      </c>
      <c r="K128" s="6" t="s">
        <v>878</v>
      </c>
      <c r="L128" s="6" t="s">
        <v>1224</v>
      </c>
      <c r="M128" s="6" t="s">
        <v>1224</v>
      </c>
      <c r="N128" s="12" t="s">
        <v>881</v>
      </c>
      <c r="O128" s="6" t="s">
        <v>882</v>
      </c>
      <c r="P128" s="6" t="s">
        <v>2</v>
      </c>
      <c r="Q128" s="6" t="s">
        <v>20</v>
      </c>
      <c r="R128" s="12"/>
      <c r="S128" s="12"/>
      <c r="T128" s="12"/>
      <c r="U128" s="12"/>
      <c r="V128" s="12"/>
      <c r="W128" s="12"/>
      <c r="X128" s="6" t="str">
        <f aca="false">IF(COUNT(R128:W128)=6,SUM(R128:W128),"ko‘rilmagan")</f>
        <v>ko‘rilmagan</v>
      </c>
      <c r="Y128" s="12" t="s">
        <v>1550</v>
      </c>
    </row>
    <row r="129" customFormat="false" ht="23.85" hidden="false" customHeight="false" outlineLevel="0" collapsed="false">
      <c r="A129" s="6" t="s">
        <v>1551</v>
      </c>
      <c r="B129" s="6" t="s">
        <v>448</v>
      </c>
      <c r="C129" s="6"/>
      <c r="D129" s="6" t="str">
        <f aca="false">IFERROR(INDEX(Mundarija!$D:$D,MATCH(B129,Mundarija!$A:$A,0)),"kod topilmadi")</f>
        <v>25.10. Transkranial Doppler (TCD): asoslar, imkoniyatlar va cheklovlar.</v>
      </c>
      <c r="E129" s="6" t="s">
        <v>1552</v>
      </c>
      <c r="F129" s="11" t="s">
        <v>1553</v>
      </c>
      <c r="G129" s="6" t="s">
        <v>1554</v>
      </c>
      <c r="H129" s="6" t="s">
        <v>910</v>
      </c>
      <c r="I129" s="6" t="s">
        <v>877</v>
      </c>
      <c r="J129" s="6" t="s">
        <v>877</v>
      </c>
      <c r="K129" s="6" t="s">
        <v>878</v>
      </c>
      <c r="L129" s="6" t="s">
        <v>1224</v>
      </c>
      <c r="M129" s="6" t="s">
        <v>1224</v>
      </c>
      <c r="N129" s="12" t="s">
        <v>881</v>
      </c>
      <c r="O129" s="6" t="s">
        <v>882</v>
      </c>
      <c r="P129" s="6" t="s">
        <v>2</v>
      </c>
      <c r="Q129" s="6" t="s">
        <v>20</v>
      </c>
      <c r="R129" s="12"/>
      <c r="S129" s="12"/>
      <c r="T129" s="12"/>
      <c r="U129" s="12"/>
      <c r="V129" s="12"/>
      <c r="W129" s="12"/>
      <c r="X129" s="6" t="str">
        <f aca="false">IF(COUNT(R129:W129)=6,SUM(R129:W129),"ko‘rilmagan")</f>
        <v>ko‘rilmagan</v>
      </c>
      <c r="Y129" s="12" t="s">
        <v>1555</v>
      </c>
    </row>
    <row r="130" customFormat="false" ht="23.85" hidden="false" customHeight="false" outlineLevel="0" collapsed="false">
      <c r="A130" s="6" t="s">
        <v>1556</v>
      </c>
      <c r="B130" s="6" t="s">
        <v>448</v>
      </c>
      <c r="C130" s="6"/>
      <c r="D130" s="6" t="str">
        <f aca="false">IFERROR(INDEX(Mundarija!$D:$D,MATCH(B130,Mundarija!$A:$A,0)),"kod topilmadi")</f>
        <v>25.10. Transkranial Doppler (TCD): asoslar, imkoniyatlar va cheklovlar.</v>
      </c>
      <c r="E130" s="6" t="s">
        <v>1557</v>
      </c>
      <c r="F130" s="11" t="s">
        <v>1558</v>
      </c>
      <c r="G130" s="6" t="s">
        <v>1559</v>
      </c>
      <c r="H130" s="6" t="s">
        <v>910</v>
      </c>
      <c r="I130" s="6" t="s">
        <v>877</v>
      </c>
      <c r="J130" s="6" t="s">
        <v>877</v>
      </c>
      <c r="K130" s="6" t="s">
        <v>878</v>
      </c>
      <c r="L130" s="6" t="s">
        <v>1224</v>
      </c>
      <c r="M130" s="6" t="s">
        <v>1224</v>
      </c>
      <c r="N130" s="12" t="s">
        <v>881</v>
      </c>
      <c r="O130" s="6" t="s">
        <v>882</v>
      </c>
      <c r="P130" s="6" t="s">
        <v>2</v>
      </c>
      <c r="Q130" s="6" t="s">
        <v>20</v>
      </c>
      <c r="R130" s="12"/>
      <c r="S130" s="12"/>
      <c r="T130" s="12"/>
      <c r="U130" s="12"/>
      <c r="V130" s="12"/>
      <c r="W130" s="12"/>
      <c r="X130" s="6" t="str">
        <f aca="false">IF(COUNT(R130:W130)=6,SUM(R130:W130),"ko‘rilmagan")</f>
        <v>ko‘rilmagan</v>
      </c>
      <c r="Y130" s="12" t="s">
        <v>1560</v>
      </c>
    </row>
    <row r="131" customFormat="false" ht="23.85" hidden="false" customHeight="false" outlineLevel="0" collapsed="false">
      <c r="A131" s="6" t="s">
        <v>1561</v>
      </c>
      <c r="B131" s="6" t="s">
        <v>448</v>
      </c>
      <c r="C131" s="6"/>
      <c r="D131" s="6" t="str">
        <f aca="false">IFERROR(INDEX(Mundarija!$D:$D,MATCH(B131,Mundarija!$A:$A,0)),"kod topilmadi")</f>
        <v>25.10. Transkranial Doppler (TCD): asoslar, imkoniyatlar va cheklovlar.</v>
      </c>
      <c r="E131" s="6" t="s">
        <v>1562</v>
      </c>
      <c r="F131" s="11" t="s">
        <v>1563</v>
      </c>
      <c r="G131" s="6" t="s">
        <v>1564</v>
      </c>
      <c r="H131" s="6" t="s">
        <v>910</v>
      </c>
      <c r="I131" s="6" t="s">
        <v>877</v>
      </c>
      <c r="J131" s="6" t="s">
        <v>877</v>
      </c>
      <c r="K131" s="6" t="s">
        <v>878</v>
      </c>
      <c r="L131" s="6" t="s">
        <v>1224</v>
      </c>
      <c r="M131" s="6" t="s">
        <v>1224</v>
      </c>
      <c r="N131" s="12" t="s">
        <v>881</v>
      </c>
      <c r="O131" s="6" t="s">
        <v>882</v>
      </c>
      <c r="P131" s="6" t="s">
        <v>2</v>
      </c>
      <c r="Q131" s="6" t="s">
        <v>20</v>
      </c>
      <c r="R131" s="12"/>
      <c r="S131" s="12"/>
      <c r="T131" s="12"/>
      <c r="U131" s="12"/>
      <c r="V131" s="12"/>
      <c r="W131" s="12"/>
      <c r="X131" s="6" t="str">
        <f aca="false">IF(COUNT(R131:W131)=6,SUM(R131:W131),"ko‘rilmagan")</f>
        <v>ko‘rilmagan</v>
      </c>
      <c r="Y131" s="12" t="s">
        <v>1565</v>
      </c>
    </row>
    <row r="132" customFormat="false" ht="23.85" hidden="false" customHeight="false" outlineLevel="0" collapsed="false">
      <c r="A132" s="6" t="s">
        <v>1566</v>
      </c>
      <c r="B132" s="6" t="s">
        <v>448</v>
      </c>
      <c r="C132" s="6"/>
      <c r="D132" s="6" t="str">
        <f aca="false">IFERROR(INDEX(Mundarija!$D:$D,MATCH(B132,Mundarija!$A:$A,0)),"kod topilmadi")</f>
        <v>25.10. Transkranial Doppler (TCD): asoslar, imkoniyatlar va cheklovlar.</v>
      </c>
      <c r="E132" s="6" t="s">
        <v>1567</v>
      </c>
      <c r="F132" s="11" t="s">
        <v>1568</v>
      </c>
      <c r="G132" s="6" t="s">
        <v>1554</v>
      </c>
      <c r="H132" s="6" t="s">
        <v>910</v>
      </c>
      <c r="I132" s="6" t="s">
        <v>877</v>
      </c>
      <c r="J132" s="6" t="s">
        <v>877</v>
      </c>
      <c r="K132" s="6" t="s">
        <v>878</v>
      </c>
      <c r="L132" s="6" t="s">
        <v>1224</v>
      </c>
      <c r="M132" s="6" t="s">
        <v>1224</v>
      </c>
      <c r="N132" s="12" t="s">
        <v>881</v>
      </c>
      <c r="O132" s="6" t="s">
        <v>882</v>
      </c>
      <c r="P132" s="6" t="s">
        <v>2</v>
      </c>
      <c r="Q132" s="6" t="s">
        <v>20</v>
      </c>
      <c r="R132" s="12"/>
      <c r="S132" s="12"/>
      <c r="T132" s="12"/>
      <c r="U132" s="12"/>
      <c r="V132" s="12"/>
      <c r="W132" s="12"/>
      <c r="X132" s="6" t="str">
        <f aca="false">IF(COUNT(R132:W132)=6,SUM(R132:W132),"ko‘rilmagan")</f>
        <v>ko‘rilmagan</v>
      </c>
      <c r="Y132" s="12" t="s">
        <v>1569</v>
      </c>
    </row>
    <row r="133" customFormat="false" ht="23.85" hidden="false" customHeight="false" outlineLevel="0" collapsed="false">
      <c r="A133" s="6" t="s">
        <v>1570</v>
      </c>
      <c r="B133" s="6" t="s">
        <v>506</v>
      </c>
      <c r="C133" s="6"/>
      <c r="D133" s="6" t="str">
        <f aca="false">IFERROR(INDEX(Mundarija!$D:$D,MATCH(B133,Mundarija!$A:$A,0)),"kod topilmadi")</f>
        <v>28.2. Yelka bo‘g‘imi va rotator manjeta.</v>
      </c>
      <c r="E133" s="6" t="s">
        <v>1571</v>
      </c>
      <c r="F133" s="11" t="s">
        <v>1572</v>
      </c>
      <c r="G133" s="6" t="s">
        <v>1573</v>
      </c>
      <c r="H133" s="6" t="s">
        <v>910</v>
      </c>
      <c r="I133" s="6" t="s">
        <v>877</v>
      </c>
      <c r="J133" s="6" t="s">
        <v>877</v>
      </c>
      <c r="K133" s="6" t="s">
        <v>878</v>
      </c>
      <c r="L133" s="6" t="s">
        <v>1224</v>
      </c>
      <c r="M133" s="6" t="s">
        <v>1224</v>
      </c>
      <c r="N133" s="12" t="s">
        <v>881</v>
      </c>
      <c r="O133" s="6" t="s">
        <v>882</v>
      </c>
      <c r="P133" s="6" t="s">
        <v>2</v>
      </c>
      <c r="Q133" s="6" t="s">
        <v>20</v>
      </c>
      <c r="R133" s="12"/>
      <c r="S133" s="12"/>
      <c r="T133" s="12"/>
      <c r="U133" s="12"/>
      <c r="V133" s="12"/>
      <c r="W133" s="12"/>
      <c r="X133" s="6" t="str">
        <f aca="false">IF(COUNT(R133:W133)=6,SUM(R133:W133),"ko‘rilmagan")</f>
        <v>ko‘rilmagan</v>
      </c>
      <c r="Y133" s="12" t="s">
        <v>1574</v>
      </c>
    </row>
    <row r="134" customFormat="false" ht="23.85" hidden="false" customHeight="false" outlineLevel="0" collapsed="false">
      <c r="A134" s="6" t="s">
        <v>1575</v>
      </c>
      <c r="B134" s="6" t="s">
        <v>506</v>
      </c>
      <c r="C134" s="6"/>
      <c r="D134" s="6" t="str">
        <f aca="false">IFERROR(INDEX(Mundarija!$D:$D,MATCH(B134,Mundarija!$A:$A,0)),"kod topilmadi")</f>
        <v>28.2. Yelka bo‘g‘imi va rotator manjeta.</v>
      </c>
      <c r="E134" s="6" t="s">
        <v>1576</v>
      </c>
      <c r="F134" s="11" t="s">
        <v>1577</v>
      </c>
      <c r="G134" s="6" t="s">
        <v>1085</v>
      </c>
      <c r="H134" s="6" t="s">
        <v>910</v>
      </c>
      <c r="I134" s="6" t="s">
        <v>877</v>
      </c>
      <c r="J134" s="6" t="s">
        <v>877</v>
      </c>
      <c r="K134" s="6" t="s">
        <v>878</v>
      </c>
      <c r="L134" s="6" t="s">
        <v>1224</v>
      </c>
      <c r="M134" s="6" t="s">
        <v>1224</v>
      </c>
      <c r="N134" s="12" t="s">
        <v>881</v>
      </c>
      <c r="O134" s="6" t="s">
        <v>882</v>
      </c>
      <c r="P134" s="6" t="s">
        <v>2</v>
      </c>
      <c r="Q134" s="6" t="s">
        <v>20</v>
      </c>
      <c r="R134" s="12"/>
      <c r="S134" s="12"/>
      <c r="T134" s="12"/>
      <c r="U134" s="12"/>
      <c r="V134" s="12"/>
      <c r="W134" s="12"/>
      <c r="X134" s="6" t="str">
        <f aca="false">IF(COUNT(R134:W134)=6,SUM(R134:W134),"ko‘rilmagan")</f>
        <v>ko‘rilmagan</v>
      </c>
      <c r="Y134" s="12" t="s">
        <v>1578</v>
      </c>
    </row>
    <row r="135" customFormat="false" ht="23.85" hidden="false" customHeight="false" outlineLevel="0" collapsed="false">
      <c r="A135" s="6" t="s">
        <v>1579</v>
      </c>
      <c r="B135" s="6" t="s">
        <v>510</v>
      </c>
      <c r="C135" s="6"/>
      <c r="D135" s="6" t="str">
        <f aca="false">IFERROR(INDEX(Mundarija!$D:$D,MATCH(B135,Mundarija!$A:$A,0)),"kod topilmadi")</f>
        <v>28.4. Tizza, son va oyoq panjasi.</v>
      </c>
      <c r="E135" s="6" t="s">
        <v>1580</v>
      </c>
      <c r="F135" s="11" t="s">
        <v>1581</v>
      </c>
      <c r="G135" s="6" t="s">
        <v>1318</v>
      </c>
      <c r="H135" s="6" t="s">
        <v>910</v>
      </c>
      <c r="I135" s="6" t="s">
        <v>877</v>
      </c>
      <c r="J135" s="6" t="s">
        <v>877</v>
      </c>
      <c r="K135" s="6" t="s">
        <v>878</v>
      </c>
      <c r="L135" s="6" t="s">
        <v>1224</v>
      </c>
      <c r="M135" s="6" t="s">
        <v>1224</v>
      </c>
      <c r="N135" s="12" t="s">
        <v>881</v>
      </c>
      <c r="O135" s="6" t="s">
        <v>882</v>
      </c>
      <c r="P135" s="6" t="s">
        <v>2</v>
      </c>
      <c r="Q135" s="6" t="s">
        <v>20</v>
      </c>
      <c r="R135" s="12"/>
      <c r="S135" s="12"/>
      <c r="T135" s="12"/>
      <c r="U135" s="12"/>
      <c r="V135" s="12"/>
      <c r="W135" s="12"/>
      <c r="X135" s="6" t="str">
        <f aca="false">IF(COUNT(R135:W135)=6,SUM(R135:W135),"ko‘rilmagan")</f>
        <v>ko‘rilmagan</v>
      </c>
      <c r="Y135" s="12" t="s">
        <v>1582</v>
      </c>
    </row>
    <row r="136" customFormat="false" ht="35.05" hidden="false" customHeight="false" outlineLevel="0" collapsed="false">
      <c r="A136" s="6" t="s">
        <v>1583</v>
      </c>
      <c r="B136" s="6" t="s">
        <v>493</v>
      </c>
      <c r="C136" s="6"/>
      <c r="D136" s="6" t="str">
        <f aca="false">IFERROR(INDEX(Mundarija!$D:$D,MATCH(B136,Mundarija!$A:$A,0)),"kod topilmadi")</f>
        <v>27.7. Chaqaloqlarda son bo‘g‘imi UZI.</v>
      </c>
      <c r="E136" s="6" t="s">
        <v>1584</v>
      </c>
      <c r="F136" s="11" t="s">
        <v>1585</v>
      </c>
      <c r="G136" s="6" t="s">
        <v>1586</v>
      </c>
      <c r="H136" s="6" t="s">
        <v>910</v>
      </c>
      <c r="I136" s="6" t="s">
        <v>877</v>
      </c>
      <c r="J136" s="6" t="s">
        <v>877</v>
      </c>
      <c r="K136" s="6" t="s">
        <v>878</v>
      </c>
      <c r="L136" s="6" t="s">
        <v>1224</v>
      </c>
      <c r="M136" s="6" t="s">
        <v>1224</v>
      </c>
      <c r="N136" s="12" t="s">
        <v>881</v>
      </c>
      <c r="O136" s="6" t="s">
        <v>882</v>
      </c>
      <c r="P136" s="6" t="s">
        <v>2</v>
      </c>
      <c r="Q136" s="6" t="s">
        <v>20</v>
      </c>
      <c r="R136" s="12"/>
      <c r="S136" s="12"/>
      <c r="T136" s="12"/>
      <c r="U136" s="12"/>
      <c r="V136" s="12"/>
      <c r="W136" s="12"/>
      <c r="X136" s="6" t="str">
        <f aca="false">IF(COUNT(R136:W136)=6,SUM(R136:W136),"ko‘rilmagan")</f>
        <v>ko‘rilmagan</v>
      </c>
      <c r="Y136" s="12" t="s">
        <v>1587</v>
      </c>
    </row>
    <row r="137" customFormat="false" ht="23.85" hidden="false" customHeight="false" outlineLevel="0" collapsed="false">
      <c r="A137" s="6" t="s">
        <v>1588</v>
      </c>
      <c r="B137" s="6" t="s">
        <v>512</v>
      </c>
      <c r="C137" s="6" t="s">
        <v>510</v>
      </c>
      <c r="D137" s="6" t="str">
        <f aca="false">IFERROR(INDEX(Mundarija!$D:$D,MATCH(B137,Mundarija!$A:$A,0)),"kod topilmadi")</f>
        <v>28.5. Tendinopatiya va pay yirtilishlari.</v>
      </c>
      <c r="E137" s="6" t="s">
        <v>1589</v>
      </c>
      <c r="F137" s="11" t="s">
        <v>1590</v>
      </c>
      <c r="G137" s="6" t="s">
        <v>1573</v>
      </c>
      <c r="H137" s="6" t="s">
        <v>910</v>
      </c>
      <c r="I137" s="6" t="s">
        <v>877</v>
      </c>
      <c r="J137" s="6" t="s">
        <v>877</v>
      </c>
      <c r="K137" s="6" t="s">
        <v>878</v>
      </c>
      <c r="L137" s="6" t="s">
        <v>1224</v>
      </c>
      <c r="M137" s="6" t="s">
        <v>1224</v>
      </c>
      <c r="N137" s="12" t="s">
        <v>881</v>
      </c>
      <c r="O137" s="6" t="s">
        <v>882</v>
      </c>
      <c r="P137" s="6" t="s">
        <v>2</v>
      </c>
      <c r="Q137" s="6" t="s">
        <v>20</v>
      </c>
      <c r="R137" s="12"/>
      <c r="S137" s="12"/>
      <c r="T137" s="12"/>
      <c r="U137" s="12"/>
      <c r="V137" s="12"/>
      <c r="W137" s="12"/>
      <c r="X137" s="6" t="str">
        <f aca="false">IF(COUNT(R137:W137)=6,SUM(R137:W137),"ko‘rilmagan")</f>
        <v>ko‘rilmagan</v>
      </c>
      <c r="Y137" s="12" t="s">
        <v>1591</v>
      </c>
    </row>
    <row r="138" customFormat="false" ht="23.85" hidden="false" customHeight="false" outlineLevel="0" collapsed="false">
      <c r="A138" s="6" t="s">
        <v>1592</v>
      </c>
      <c r="B138" s="6" t="s">
        <v>518</v>
      </c>
      <c r="C138" s="6"/>
      <c r="D138" s="6" t="str">
        <f aca="false">IFERROR(INDEX(Mundarija!$D:$D,MATCH(B138,Mundarija!$A:$A,0)),"kod topilmadi")</f>
        <v>28.8. Periferik nervlar va tunnel sindromlari.</v>
      </c>
      <c r="E138" s="6" t="s">
        <v>1593</v>
      </c>
      <c r="F138" s="11" t="s">
        <v>1594</v>
      </c>
      <c r="G138" s="6" t="s">
        <v>1269</v>
      </c>
      <c r="H138" s="6" t="s">
        <v>910</v>
      </c>
      <c r="I138" s="6" t="s">
        <v>877</v>
      </c>
      <c r="J138" s="6" t="s">
        <v>877</v>
      </c>
      <c r="K138" s="6" t="s">
        <v>878</v>
      </c>
      <c r="L138" s="6" t="s">
        <v>1224</v>
      </c>
      <c r="M138" s="6" t="s">
        <v>1224</v>
      </c>
      <c r="N138" s="12" t="s">
        <v>881</v>
      </c>
      <c r="O138" s="6" t="s">
        <v>882</v>
      </c>
      <c r="P138" s="6" t="s">
        <v>2</v>
      </c>
      <c r="Q138" s="6" t="s">
        <v>20</v>
      </c>
      <c r="R138" s="12"/>
      <c r="S138" s="12"/>
      <c r="T138" s="12"/>
      <c r="U138" s="12"/>
      <c r="V138" s="12"/>
      <c r="W138" s="12"/>
      <c r="X138" s="6" t="str">
        <f aca="false">IF(COUNT(R138:W138)=6,SUM(R138:W138),"ko‘rilmagan")</f>
        <v>ko‘rilmagan</v>
      </c>
      <c r="Y138" s="12" t="s">
        <v>1595</v>
      </c>
    </row>
    <row r="139" customFormat="false" ht="35.05" hidden="false" customHeight="false" outlineLevel="0" collapsed="false">
      <c r="A139" s="6" t="s">
        <v>1596</v>
      </c>
      <c r="B139" s="6" t="s">
        <v>518</v>
      </c>
      <c r="C139" s="6"/>
      <c r="D139" s="6" t="str">
        <f aca="false">IFERROR(INDEX(Mundarija!$D:$D,MATCH(B139,Mundarija!$A:$A,0)),"kod topilmadi")</f>
        <v>28.8. Periferik nervlar va tunnel sindromlari.</v>
      </c>
      <c r="E139" s="6" t="s">
        <v>1597</v>
      </c>
      <c r="F139" s="11" t="s">
        <v>1598</v>
      </c>
      <c r="G139" s="6" t="s">
        <v>1599</v>
      </c>
      <c r="H139" s="6" t="s">
        <v>910</v>
      </c>
      <c r="I139" s="6" t="s">
        <v>877</v>
      </c>
      <c r="J139" s="6" t="s">
        <v>877</v>
      </c>
      <c r="K139" s="6" t="s">
        <v>878</v>
      </c>
      <c r="L139" s="6" t="s">
        <v>1224</v>
      </c>
      <c r="M139" s="6" t="s">
        <v>1224</v>
      </c>
      <c r="N139" s="12" t="s">
        <v>881</v>
      </c>
      <c r="O139" s="6" t="s">
        <v>882</v>
      </c>
      <c r="P139" s="6" t="s">
        <v>2</v>
      </c>
      <c r="Q139" s="6" t="s">
        <v>20</v>
      </c>
      <c r="R139" s="12"/>
      <c r="S139" s="12"/>
      <c r="T139" s="12"/>
      <c r="U139" s="12"/>
      <c r="V139" s="12"/>
      <c r="W139" s="12"/>
      <c r="X139" s="6" t="str">
        <f aca="false">IF(COUNT(R139:W139)=6,SUM(R139:W139),"ko‘rilmagan")</f>
        <v>ko‘rilmagan</v>
      </c>
      <c r="Y139" s="12" t="s">
        <v>1600</v>
      </c>
    </row>
    <row r="140" customFormat="false" ht="35.05" hidden="false" customHeight="false" outlineLevel="0" collapsed="false">
      <c r="A140" s="6" t="s">
        <v>1601</v>
      </c>
      <c r="B140" s="6" t="s">
        <v>135</v>
      </c>
      <c r="C140" s="6" t="s">
        <v>137</v>
      </c>
      <c r="D140" s="6" t="str">
        <f aca="false">IFERROR(INDEX(Mundarija!$D:$D,MATCH(B140,Mundarija!$A:$A,0)),"kod topilmadi")</f>
        <v>7.2. Qorin bo‘shlig‘i tekshiruvi uchun tayyorgarlik.</v>
      </c>
      <c r="E140" s="6" t="s">
        <v>1602</v>
      </c>
      <c r="F140" s="11" t="s">
        <v>1603</v>
      </c>
      <c r="G140" s="6" t="s">
        <v>1490</v>
      </c>
      <c r="H140" s="6" t="s">
        <v>1604</v>
      </c>
      <c r="I140" s="6" t="s">
        <v>877</v>
      </c>
      <c r="J140" s="6" t="s">
        <v>877</v>
      </c>
      <c r="K140" s="6" t="s">
        <v>878</v>
      </c>
      <c r="L140" s="6" t="s">
        <v>879</v>
      </c>
      <c r="M140" s="6" t="s">
        <v>1605</v>
      </c>
      <c r="N140" s="12" t="s">
        <v>881</v>
      </c>
      <c r="O140" s="6" t="s">
        <v>882</v>
      </c>
      <c r="P140" s="6" t="s">
        <v>2</v>
      </c>
      <c r="Q140" s="6" t="s">
        <v>20</v>
      </c>
      <c r="R140" s="12"/>
      <c r="S140" s="12"/>
      <c r="T140" s="12"/>
      <c r="U140" s="12"/>
      <c r="V140" s="12"/>
      <c r="W140" s="12"/>
      <c r="X140" s="6" t="str">
        <f aca="false">IF(COUNT(R140:W140)=6,SUM(R140:W140),"ko‘rilmagan")</f>
        <v>ko‘rilmagan</v>
      </c>
      <c r="Y140" s="12"/>
    </row>
    <row r="141" customFormat="false" ht="23.85" hidden="false" customHeight="false" outlineLevel="0" collapsed="false">
      <c r="A141" s="6" t="s">
        <v>1606</v>
      </c>
      <c r="B141" s="6" t="s">
        <v>137</v>
      </c>
      <c r="C141" s="6"/>
      <c r="D141" s="6" t="str">
        <f aca="false">IFERROR(INDEX(Mundarija!$D:$D,MATCH(B141,Mundarija!$A:$A,0)),"kod topilmadi")</f>
        <v>7.3. Siydik pufagi va chanoq a’zolariga tayyorgarlik.</v>
      </c>
      <c r="E141" s="6" t="s">
        <v>1607</v>
      </c>
      <c r="F141" s="11" t="s">
        <v>1608</v>
      </c>
      <c r="G141" s="6" t="s">
        <v>1609</v>
      </c>
      <c r="H141" s="6" t="s">
        <v>1610</v>
      </c>
      <c r="I141" s="6" t="s">
        <v>877</v>
      </c>
      <c r="J141" s="6" t="s">
        <v>877</v>
      </c>
      <c r="K141" s="6" t="s">
        <v>878</v>
      </c>
      <c r="L141" s="6" t="s">
        <v>879</v>
      </c>
      <c r="M141" s="6" t="s">
        <v>1605</v>
      </c>
      <c r="N141" s="12" t="s">
        <v>881</v>
      </c>
      <c r="O141" s="6" t="s">
        <v>882</v>
      </c>
      <c r="P141" s="6" t="s">
        <v>2</v>
      </c>
      <c r="Q141" s="6" t="s">
        <v>20</v>
      </c>
      <c r="R141" s="12"/>
      <c r="S141" s="12"/>
      <c r="T141" s="12"/>
      <c r="U141" s="12"/>
      <c r="V141" s="12"/>
      <c r="W141" s="12"/>
      <c r="X141" s="6" t="str">
        <f aca="false">IF(COUNT(R141:W141)=6,SUM(R141:W141),"ko‘rilmagan")</f>
        <v>ko‘rilmagan</v>
      </c>
      <c r="Y141" s="12"/>
    </row>
    <row r="142" customFormat="false" ht="23.85" hidden="false" customHeight="false" outlineLevel="0" collapsed="false">
      <c r="A142" s="6" t="s">
        <v>1611</v>
      </c>
      <c r="B142" s="6" t="s">
        <v>139</v>
      </c>
      <c r="C142" s="6"/>
      <c r="D142" s="6" t="str">
        <f aca="false">IFERROR(INDEX(Mundarija!$D:$D,MATCH(B142,Mundarija!$A:$A,0)),"kod topilmadi")</f>
        <v>7.4. Transvaginal va transrektal tekshiruvga tayyorgarlik, rozilik va maxfiylik.</v>
      </c>
      <c r="E142" s="6" t="s">
        <v>1612</v>
      </c>
      <c r="F142" s="11" t="s">
        <v>1613</v>
      </c>
      <c r="G142" s="6" t="s">
        <v>1614</v>
      </c>
      <c r="H142" s="6" t="s">
        <v>1610</v>
      </c>
      <c r="I142" s="6" t="s">
        <v>877</v>
      </c>
      <c r="J142" s="6" t="s">
        <v>877</v>
      </c>
      <c r="K142" s="6" t="s">
        <v>878</v>
      </c>
      <c r="L142" s="6" t="s">
        <v>879</v>
      </c>
      <c r="M142" s="6" t="s">
        <v>1605</v>
      </c>
      <c r="N142" s="12" t="s">
        <v>881</v>
      </c>
      <c r="O142" s="6" t="s">
        <v>882</v>
      </c>
      <c r="P142" s="6" t="s">
        <v>2</v>
      </c>
      <c r="Q142" s="6" t="s">
        <v>20</v>
      </c>
      <c r="R142" s="12"/>
      <c r="S142" s="12"/>
      <c r="T142" s="12"/>
      <c r="U142" s="12"/>
      <c r="V142" s="12"/>
      <c r="W142" s="12"/>
      <c r="X142" s="6" t="str">
        <f aca="false">IF(COUNT(R142:W142)=6,SUM(R142:W142),"ko‘rilmagan")</f>
        <v>ko‘rilmagan</v>
      </c>
      <c r="Y142" s="12"/>
    </row>
    <row r="143" customFormat="false" ht="23.85" hidden="false" customHeight="false" outlineLevel="0" collapsed="false">
      <c r="A143" s="6" t="s">
        <v>1615</v>
      </c>
      <c r="B143" s="6" t="s">
        <v>139</v>
      </c>
      <c r="C143" s="6" t="s">
        <v>274</v>
      </c>
      <c r="D143" s="6" t="str">
        <f aca="false">IFERROR(INDEX(Mundarija!$D:$D,MATCH(B143,Mundarija!$A:$A,0)),"kod topilmadi")</f>
        <v>7.4. Transvaginal va transrektal tekshiruvga tayyorgarlik, rozilik va maxfiylik.</v>
      </c>
      <c r="E143" s="6" t="s">
        <v>1616</v>
      </c>
      <c r="F143" s="11" t="s">
        <v>1617</v>
      </c>
      <c r="G143" s="6" t="s">
        <v>1618</v>
      </c>
      <c r="H143" s="6" t="s">
        <v>1619</v>
      </c>
      <c r="I143" s="6" t="s">
        <v>877</v>
      </c>
      <c r="J143" s="6" t="s">
        <v>877</v>
      </c>
      <c r="K143" s="6" t="s">
        <v>878</v>
      </c>
      <c r="L143" s="6" t="s">
        <v>904</v>
      </c>
      <c r="M143" s="6" t="s">
        <v>891</v>
      </c>
      <c r="N143" s="12" t="s">
        <v>881</v>
      </c>
      <c r="O143" s="6" t="s">
        <v>882</v>
      </c>
      <c r="P143" s="6" t="s">
        <v>2</v>
      </c>
      <c r="Q143" s="6" t="s">
        <v>20</v>
      </c>
      <c r="R143" s="12"/>
      <c r="S143" s="12"/>
      <c r="T143" s="12"/>
      <c r="U143" s="12"/>
      <c r="V143" s="12"/>
      <c r="W143" s="12"/>
      <c r="X143" s="6" t="str">
        <f aca="false">IF(COUNT(R143:W143)=6,SUM(R143:W143),"ko‘rilmagan")</f>
        <v>ko‘rilmagan</v>
      </c>
      <c r="Y143" s="12"/>
    </row>
    <row r="144" customFormat="false" ht="23.85" hidden="false" customHeight="false" outlineLevel="0" collapsed="false">
      <c r="A144" s="6" t="s">
        <v>1620</v>
      </c>
      <c r="B144" s="6" t="s">
        <v>141</v>
      </c>
      <c r="C144" s="6" t="s">
        <v>478</v>
      </c>
      <c r="D144" s="6" t="str">
        <f aca="false">IFERROR(INDEX(Mundarija!$D:$D,MATCH(B144,Mundarija!$A:$A,0)),"kod topilmadi")</f>
        <v>7.5. Bolalar va shoshilinch bemorlarni tekshirish.</v>
      </c>
      <c r="E144" s="6" t="s">
        <v>1621</v>
      </c>
      <c r="F144" s="11" t="s">
        <v>1622</v>
      </c>
      <c r="G144" s="6" t="s">
        <v>1623</v>
      </c>
      <c r="H144" s="6" t="s">
        <v>1624</v>
      </c>
      <c r="I144" s="6" t="s">
        <v>877</v>
      </c>
      <c r="J144" s="6" t="s">
        <v>877</v>
      </c>
      <c r="K144" s="6" t="s">
        <v>878</v>
      </c>
      <c r="L144" s="6" t="s">
        <v>879</v>
      </c>
      <c r="M144" s="6" t="s">
        <v>912</v>
      </c>
      <c r="N144" s="12" t="s">
        <v>881</v>
      </c>
      <c r="O144" s="6" t="s">
        <v>882</v>
      </c>
      <c r="P144" s="6" t="s">
        <v>2</v>
      </c>
      <c r="Q144" s="6" t="s">
        <v>20</v>
      </c>
      <c r="R144" s="12"/>
      <c r="S144" s="12"/>
      <c r="T144" s="12"/>
      <c r="U144" s="12"/>
      <c r="V144" s="12"/>
      <c r="W144" s="12"/>
      <c r="X144" s="6" t="str">
        <f aca="false">IF(COUNT(R144:W144)=6,SUM(R144:W144),"ko‘rilmagan")</f>
        <v>ko‘rilmagan</v>
      </c>
      <c r="Y144" s="12"/>
    </row>
    <row r="145" customFormat="false" ht="23.85" hidden="false" customHeight="false" outlineLevel="0" collapsed="false">
      <c r="A145" s="6" t="s">
        <v>1625</v>
      </c>
      <c r="B145" s="6" t="s">
        <v>141</v>
      </c>
      <c r="C145" s="6" t="s">
        <v>485</v>
      </c>
      <c r="D145" s="6" t="str">
        <f aca="false">IFERROR(INDEX(Mundarija!$D:$D,MATCH(B145,Mundarija!$A:$A,0)),"kod topilmadi")</f>
        <v>7.5. Bolalar va shoshilinch bemorlarni tekshirish.</v>
      </c>
      <c r="E145" s="6" t="s">
        <v>1626</v>
      </c>
      <c r="F145" s="11" t="s">
        <v>1627</v>
      </c>
      <c r="G145" s="6" t="s">
        <v>1628</v>
      </c>
      <c r="H145" s="6" t="s">
        <v>1180</v>
      </c>
      <c r="I145" s="6" t="s">
        <v>877</v>
      </c>
      <c r="J145" s="6" t="s">
        <v>877</v>
      </c>
      <c r="K145" s="6" t="s">
        <v>878</v>
      </c>
      <c r="L145" s="6" t="s">
        <v>904</v>
      </c>
      <c r="M145" s="6" t="s">
        <v>912</v>
      </c>
      <c r="N145" s="12" t="s">
        <v>881</v>
      </c>
      <c r="O145" s="6" t="s">
        <v>882</v>
      </c>
      <c r="P145" s="6" t="s">
        <v>2</v>
      </c>
      <c r="Q145" s="6" t="s">
        <v>20</v>
      </c>
      <c r="R145" s="12"/>
      <c r="S145" s="12"/>
      <c r="T145" s="12"/>
      <c r="U145" s="12"/>
      <c r="V145" s="12"/>
      <c r="W145" s="12"/>
      <c r="X145" s="6" t="str">
        <f aca="false">IF(COUNT(R145:W145)=6,SUM(R145:W145),"ko‘rilmagan")</f>
        <v>ko‘rilmagan</v>
      </c>
      <c r="Y145" s="12"/>
    </row>
    <row r="146" customFormat="false" ht="23.85" hidden="false" customHeight="false" outlineLevel="0" collapsed="false">
      <c r="A146" s="6" t="s">
        <v>1629</v>
      </c>
      <c r="B146" s="6" t="s">
        <v>145</v>
      </c>
      <c r="C146" s="6"/>
      <c r="D146" s="6" t="str">
        <f aca="false">IFERROR(INDEX(Mundarija!$D:$D,MATCH(B146,Mundarija!$A:$A,0)),"kod topilmadi")</f>
        <v>8.1. Datchikni ushlash, bosimni boshqarish va harakatlantirish.</v>
      </c>
      <c r="E146" s="6" t="s">
        <v>1630</v>
      </c>
      <c r="F146" s="11" t="s">
        <v>1631</v>
      </c>
      <c r="G146" s="6" t="s">
        <v>1527</v>
      </c>
      <c r="H146" s="6" t="s">
        <v>1632</v>
      </c>
      <c r="I146" s="6" t="s">
        <v>877</v>
      </c>
      <c r="J146" s="6" t="s">
        <v>877</v>
      </c>
      <c r="K146" s="6" t="s">
        <v>878</v>
      </c>
      <c r="L146" s="6" t="s">
        <v>879</v>
      </c>
      <c r="M146" s="6" t="s">
        <v>891</v>
      </c>
      <c r="N146" s="12" t="s">
        <v>881</v>
      </c>
      <c r="O146" s="6" t="s">
        <v>882</v>
      </c>
      <c r="P146" s="6" t="s">
        <v>2</v>
      </c>
      <c r="Q146" s="6" t="s">
        <v>20</v>
      </c>
      <c r="R146" s="12"/>
      <c r="S146" s="12"/>
      <c r="T146" s="12"/>
      <c r="U146" s="12"/>
      <c r="V146" s="12"/>
      <c r="W146" s="12"/>
      <c r="X146" s="6" t="str">
        <f aca="false">IF(COUNT(R146:W146)=6,SUM(R146:W146),"ko‘rilmagan")</f>
        <v>ko‘rilmagan</v>
      </c>
      <c r="Y146" s="12"/>
    </row>
    <row r="147" customFormat="false" ht="23.85" hidden="false" customHeight="false" outlineLevel="0" collapsed="false">
      <c r="A147" s="6" t="s">
        <v>1633</v>
      </c>
      <c r="B147" s="6" t="s">
        <v>145</v>
      </c>
      <c r="C147" s="6"/>
      <c r="D147" s="6" t="str">
        <f aca="false">IFERROR(INDEX(Mundarija!$D:$D,MATCH(B147,Mundarija!$A:$A,0)),"kod topilmadi")</f>
        <v>8.1. Datchikni ushlash, bosimni boshqarish va harakatlantirish.</v>
      </c>
      <c r="E147" s="6" t="s">
        <v>1634</v>
      </c>
      <c r="F147" s="11" t="s">
        <v>1635</v>
      </c>
      <c r="G147" s="6" t="s">
        <v>1394</v>
      </c>
      <c r="H147" s="6" t="s">
        <v>1636</v>
      </c>
      <c r="I147" s="6" t="s">
        <v>877</v>
      </c>
      <c r="J147" s="6" t="s">
        <v>877</v>
      </c>
      <c r="K147" s="6" t="s">
        <v>878</v>
      </c>
      <c r="L147" s="6" t="s">
        <v>879</v>
      </c>
      <c r="M147" s="6" t="s">
        <v>891</v>
      </c>
      <c r="N147" s="12" t="s">
        <v>881</v>
      </c>
      <c r="O147" s="6" t="s">
        <v>882</v>
      </c>
      <c r="P147" s="6" t="s">
        <v>2</v>
      </c>
      <c r="Q147" s="6" t="s">
        <v>20</v>
      </c>
      <c r="R147" s="12"/>
      <c r="S147" s="12"/>
      <c r="T147" s="12"/>
      <c r="U147" s="12"/>
      <c r="V147" s="12"/>
      <c r="W147" s="12"/>
      <c r="X147" s="6" t="str">
        <f aca="false">IF(COUNT(R147:W147)=6,SUM(R147:W147),"ko‘rilmagan")</f>
        <v>ko‘rilmagan</v>
      </c>
      <c r="Y147" s="12"/>
    </row>
    <row r="148" customFormat="false" ht="23.85" hidden="false" customHeight="false" outlineLevel="0" collapsed="false">
      <c r="A148" s="6" t="s">
        <v>1637</v>
      </c>
      <c r="B148" s="6" t="s">
        <v>145</v>
      </c>
      <c r="C148" s="6"/>
      <c r="D148" s="6" t="str">
        <f aca="false">IFERROR(INDEX(Mundarija!$D:$D,MATCH(B148,Mundarija!$A:$A,0)),"kod topilmadi")</f>
        <v>8.1. Datchikni ushlash, bosimni boshqarish va harakatlantirish.</v>
      </c>
      <c r="E148" s="6" t="s">
        <v>1638</v>
      </c>
      <c r="F148" s="11" t="s">
        <v>1639</v>
      </c>
      <c r="G148" s="6" t="s">
        <v>1318</v>
      </c>
      <c r="H148" s="6" t="s">
        <v>1640</v>
      </c>
      <c r="I148" s="6" t="s">
        <v>877</v>
      </c>
      <c r="J148" s="6" t="s">
        <v>877</v>
      </c>
      <c r="K148" s="6" t="s">
        <v>878</v>
      </c>
      <c r="L148" s="6" t="s">
        <v>879</v>
      </c>
      <c r="M148" s="6" t="s">
        <v>891</v>
      </c>
      <c r="N148" s="12" t="s">
        <v>881</v>
      </c>
      <c r="O148" s="6" t="s">
        <v>882</v>
      </c>
      <c r="P148" s="6" t="s">
        <v>2</v>
      </c>
      <c r="Q148" s="6" t="s">
        <v>20</v>
      </c>
      <c r="R148" s="12"/>
      <c r="S148" s="12"/>
      <c r="T148" s="12"/>
      <c r="U148" s="12"/>
      <c r="V148" s="12"/>
      <c r="W148" s="12"/>
      <c r="X148" s="6" t="str">
        <f aca="false">IF(COUNT(R148:W148)=6,SUM(R148:W148),"ko‘rilmagan")</f>
        <v>ko‘rilmagan</v>
      </c>
      <c r="Y148" s="12"/>
    </row>
    <row r="149" customFormat="false" ht="23.85" hidden="false" customHeight="false" outlineLevel="0" collapsed="false">
      <c r="A149" s="6" t="s">
        <v>1641</v>
      </c>
      <c r="B149" s="6" t="s">
        <v>148</v>
      </c>
      <c r="C149" s="6" t="s">
        <v>145</v>
      </c>
      <c r="D149" s="6" t="str">
        <f aca="false">IFERROR(INDEX(Mundarija!$D:$D,MATCH(B149,Mundarija!$A:$A,0)),"kod topilmadi")</f>
        <v>8.2. Bo‘ylama, ko‘ndalang va qiya tekisliklar.</v>
      </c>
      <c r="E149" s="6" t="s">
        <v>1642</v>
      </c>
      <c r="F149" s="11" t="s">
        <v>1643</v>
      </c>
      <c r="G149" s="6" t="s">
        <v>1644</v>
      </c>
      <c r="H149" s="6" t="s">
        <v>1645</v>
      </c>
      <c r="I149" s="6" t="s">
        <v>877</v>
      </c>
      <c r="J149" s="6" t="s">
        <v>877</v>
      </c>
      <c r="K149" s="6" t="s">
        <v>878</v>
      </c>
      <c r="L149" s="6" t="s">
        <v>879</v>
      </c>
      <c r="M149" s="6" t="s">
        <v>912</v>
      </c>
      <c r="N149" s="12" t="s">
        <v>881</v>
      </c>
      <c r="O149" s="6" t="s">
        <v>882</v>
      </c>
      <c r="P149" s="6" t="s">
        <v>2</v>
      </c>
      <c r="Q149" s="6" t="s">
        <v>20</v>
      </c>
      <c r="R149" s="12"/>
      <c r="S149" s="12"/>
      <c r="T149" s="12"/>
      <c r="U149" s="12"/>
      <c r="V149" s="12"/>
      <c r="W149" s="12"/>
      <c r="X149" s="6" t="str">
        <f aca="false">IF(COUNT(R149:W149)=6,SUM(R149:W149),"ko‘rilmagan")</f>
        <v>ko‘rilmagan</v>
      </c>
      <c r="Y149" s="12"/>
    </row>
    <row r="150" customFormat="false" ht="23.85" hidden="false" customHeight="false" outlineLevel="0" collapsed="false">
      <c r="A150" s="6" t="s">
        <v>1646</v>
      </c>
      <c r="B150" s="6" t="s">
        <v>148</v>
      </c>
      <c r="C150" s="6" t="s">
        <v>150</v>
      </c>
      <c r="D150" s="6" t="str">
        <f aca="false">IFERROR(INDEX(Mundarija!$D:$D,MATCH(B150,Mundarija!$A:$A,0)),"kod topilmadi")</f>
        <v>8.2. Bo‘ylama, ko‘ndalang va qiya tekisliklar.</v>
      </c>
      <c r="E150" s="6" t="s">
        <v>1647</v>
      </c>
      <c r="F150" s="11" t="s">
        <v>1648</v>
      </c>
      <c r="G150" s="6" t="s">
        <v>1649</v>
      </c>
      <c r="H150" s="6" t="s">
        <v>1650</v>
      </c>
      <c r="I150" s="6" t="s">
        <v>877</v>
      </c>
      <c r="J150" s="6" t="s">
        <v>877</v>
      </c>
      <c r="K150" s="6" t="s">
        <v>878</v>
      </c>
      <c r="L150" s="6" t="s">
        <v>879</v>
      </c>
      <c r="M150" s="6" t="s">
        <v>891</v>
      </c>
      <c r="N150" s="12" t="s">
        <v>881</v>
      </c>
      <c r="O150" s="6" t="s">
        <v>882</v>
      </c>
      <c r="P150" s="6" t="s">
        <v>2</v>
      </c>
      <c r="Q150" s="6" t="s">
        <v>20</v>
      </c>
      <c r="R150" s="12"/>
      <c r="S150" s="12"/>
      <c r="T150" s="12"/>
      <c r="U150" s="12"/>
      <c r="V150" s="12"/>
      <c r="W150" s="12"/>
      <c r="X150" s="6" t="str">
        <f aca="false">IF(COUNT(R150:W150)=6,SUM(R150:W150),"ko‘rilmagan")</f>
        <v>ko‘rilmagan</v>
      </c>
      <c r="Y150" s="12"/>
    </row>
    <row r="151" customFormat="false" ht="23.85" hidden="false" customHeight="false" outlineLevel="0" collapsed="false">
      <c r="A151" s="6" t="s">
        <v>1651</v>
      </c>
      <c r="B151" s="6" t="s">
        <v>150</v>
      </c>
      <c r="C151" s="6"/>
      <c r="D151" s="6" t="str">
        <f aca="false">IFERROR(INDEX(Mundarija!$D:$D,MATCH(B151,Mundarija!$A:$A,0)),"kod topilmadi")</f>
        <v>8.3. Anatomik orientatsiya va ekranda tasvirni yo‘naltirish.</v>
      </c>
      <c r="E151" s="6" t="s">
        <v>1652</v>
      </c>
      <c r="F151" s="11" t="s">
        <v>1653</v>
      </c>
      <c r="G151" s="6" t="s">
        <v>1318</v>
      </c>
      <c r="H151" s="6" t="s">
        <v>1640</v>
      </c>
      <c r="I151" s="6" t="s">
        <v>877</v>
      </c>
      <c r="J151" s="6" t="s">
        <v>877</v>
      </c>
      <c r="K151" s="6" t="s">
        <v>878</v>
      </c>
      <c r="L151" s="6" t="s">
        <v>879</v>
      </c>
      <c r="M151" s="6" t="s">
        <v>912</v>
      </c>
      <c r="N151" s="12" t="s">
        <v>881</v>
      </c>
      <c r="O151" s="6" t="s">
        <v>882</v>
      </c>
      <c r="P151" s="6" t="s">
        <v>2</v>
      </c>
      <c r="Q151" s="6" t="s">
        <v>20</v>
      </c>
      <c r="R151" s="12"/>
      <c r="S151" s="12"/>
      <c r="T151" s="12"/>
      <c r="U151" s="12"/>
      <c r="V151" s="12"/>
      <c r="W151" s="12"/>
      <c r="X151" s="6" t="str">
        <f aca="false">IF(COUNT(R151:W151)=6,SUM(R151:W151),"ko‘rilmagan")</f>
        <v>ko‘rilmagan</v>
      </c>
      <c r="Y151" s="12"/>
    </row>
    <row r="152" customFormat="false" ht="23.85" hidden="false" customHeight="false" outlineLevel="0" collapsed="false">
      <c r="A152" s="6" t="s">
        <v>1654</v>
      </c>
      <c r="B152" s="6" t="s">
        <v>156</v>
      </c>
      <c r="C152" s="6"/>
      <c r="D152" s="6" t="str">
        <f aca="false">IFERROR(INDEX(Mundarija!$D:$D,MATCH(B152,Mundarija!$A:$A,0)),"kod topilmadi")</f>
        <v>8.6. Sonografist ergonomikasi va kasbiy shikastlanishlarning oldini olish.</v>
      </c>
      <c r="E152" s="6" t="s">
        <v>1655</v>
      </c>
      <c r="F152" s="11" t="s">
        <v>1656</v>
      </c>
      <c r="G152" s="6" t="s">
        <v>1599</v>
      </c>
      <c r="H152" s="6" t="s">
        <v>1657</v>
      </c>
      <c r="I152" s="6" t="s">
        <v>877</v>
      </c>
      <c r="J152" s="6" t="s">
        <v>877</v>
      </c>
      <c r="K152" s="6" t="s">
        <v>878</v>
      </c>
      <c r="L152" s="6" t="s">
        <v>879</v>
      </c>
      <c r="M152" s="6" t="s">
        <v>891</v>
      </c>
      <c r="N152" s="12" t="s">
        <v>881</v>
      </c>
      <c r="O152" s="6" t="s">
        <v>882</v>
      </c>
      <c r="P152" s="6" t="s">
        <v>2</v>
      </c>
      <c r="Q152" s="6" t="s">
        <v>20</v>
      </c>
      <c r="R152" s="12"/>
      <c r="S152" s="12"/>
      <c r="T152" s="12"/>
      <c r="U152" s="12"/>
      <c r="V152" s="12"/>
      <c r="W152" s="12"/>
      <c r="X152" s="6" t="str">
        <f aca="false">IF(COUNT(R152:W152)=6,SUM(R152:W152),"ko‘rilmagan")</f>
        <v>ko‘rilmagan</v>
      </c>
      <c r="Y152" s="12"/>
    </row>
    <row r="153" customFormat="false" ht="23.85" hidden="false" customHeight="false" outlineLevel="0" collapsed="false">
      <c r="A153" s="6" t="s">
        <v>1658</v>
      </c>
      <c r="B153" s="6" t="s">
        <v>156</v>
      </c>
      <c r="C153" s="6"/>
      <c r="D153" s="6" t="str">
        <f aca="false">IFERROR(INDEX(Mundarija!$D:$D,MATCH(B153,Mundarija!$A:$A,0)),"kod topilmadi")</f>
        <v>8.6. Sonografist ergonomikasi va kasbiy shikastlanishlarning oldini olish.</v>
      </c>
      <c r="E153" s="6" t="s">
        <v>1659</v>
      </c>
      <c r="F153" s="11" t="s">
        <v>1660</v>
      </c>
      <c r="G153" s="6" t="s">
        <v>1661</v>
      </c>
      <c r="H153" s="6" t="s">
        <v>1662</v>
      </c>
      <c r="I153" s="6" t="s">
        <v>877</v>
      </c>
      <c r="J153" s="6" t="s">
        <v>877</v>
      </c>
      <c r="K153" s="6" t="s">
        <v>878</v>
      </c>
      <c r="L153" s="6" t="s">
        <v>879</v>
      </c>
      <c r="M153" s="6" t="s">
        <v>891</v>
      </c>
      <c r="N153" s="12" t="s">
        <v>881</v>
      </c>
      <c r="O153" s="6" t="s">
        <v>882</v>
      </c>
      <c r="P153" s="6" t="s">
        <v>2</v>
      </c>
      <c r="Q153" s="6" t="s">
        <v>20</v>
      </c>
      <c r="R153" s="12"/>
      <c r="S153" s="12"/>
      <c r="T153" s="12"/>
      <c r="U153" s="12"/>
      <c r="V153" s="12"/>
      <c r="W153" s="12"/>
      <c r="X153" s="6" t="str">
        <f aca="false">IF(COUNT(R153:W153)=6,SUM(R153:W153),"ko‘rilmagan")</f>
        <v>ko‘rilmagan</v>
      </c>
      <c r="Y153" s="12"/>
    </row>
    <row r="154" customFormat="false" ht="23.85" hidden="false" customHeight="false" outlineLevel="0" collapsed="false">
      <c r="A154" s="6" t="s">
        <v>1663</v>
      </c>
      <c r="B154" s="6" t="s">
        <v>156</v>
      </c>
      <c r="C154" s="6"/>
      <c r="D154" s="6" t="str">
        <f aca="false">IFERROR(INDEX(Mundarija!$D:$D,MATCH(B154,Mundarija!$A:$A,0)),"kod topilmadi")</f>
        <v>8.6. Sonografist ergonomikasi va kasbiy shikastlanishlarning oldini olish.</v>
      </c>
      <c r="E154" s="6" t="s">
        <v>1664</v>
      </c>
      <c r="F154" s="11" t="s">
        <v>1665</v>
      </c>
      <c r="G154" s="6" t="s">
        <v>1666</v>
      </c>
      <c r="H154" s="6" t="s">
        <v>1667</v>
      </c>
      <c r="I154" s="6" t="s">
        <v>877</v>
      </c>
      <c r="J154" s="6" t="s">
        <v>877</v>
      </c>
      <c r="K154" s="6" t="s">
        <v>878</v>
      </c>
      <c r="L154" s="6" t="s">
        <v>879</v>
      </c>
      <c r="M154" s="6" t="s">
        <v>891</v>
      </c>
      <c r="N154" s="12" t="s">
        <v>881</v>
      </c>
      <c r="O154" s="6" t="s">
        <v>882</v>
      </c>
      <c r="P154" s="6" t="s">
        <v>2</v>
      </c>
      <c r="Q154" s="6" t="s">
        <v>20</v>
      </c>
      <c r="R154" s="12"/>
      <c r="S154" s="12"/>
      <c r="T154" s="12"/>
      <c r="U154" s="12"/>
      <c r="V154" s="12"/>
      <c r="W154" s="12"/>
      <c r="X154" s="6" t="str">
        <f aca="false">IF(COUNT(R154:W154)=6,SUM(R154:W154),"ko‘rilmagan")</f>
        <v>ko‘rilmagan</v>
      </c>
      <c r="Y154" s="12"/>
    </row>
    <row r="155" customFormat="false" ht="23.85" hidden="false" customHeight="false" outlineLevel="0" collapsed="false">
      <c r="A155" s="6" t="s">
        <v>1668</v>
      </c>
      <c r="B155" s="6" t="s">
        <v>161</v>
      </c>
      <c r="C155" s="6"/>
      <c r="D155" s="6" t="str">
        <f aca="false">IFERROR(INDEX(Mundarija!$D:$D,MATCH(B155,Mundarija!$A:$A,0)),"kod topilmadi")</f>
        <v>9.2. O‘lcham, shakl, kontur, echogenlik va qon oqimini tavsiflash.</v>
      </c>
      <c r="E155" s="6" t="s">
        <v>1669</v>
      </c>
      <c r="F155" s="11" t="s">
        <v>1670</v>
      </c>
      <c r="G155" s="6" t="s">
        <v>1671</v>
      </c>
      <c r="H155" s="6" t="s">
        <v>980</v>
      </c>
      <c r="I155" s="6" t="s">
        <v>877</v>
      </c>
      <c r="J155" s="6" t="s">
        <v>877</v>
      </c>
      <c r="K155" s="6" t="s">
        <v>878</v>
      </c>
      <c r="L155" s="6" t="s">
        <v>879</v>
      </c>
      <c r="M155" s="6" t="s">
        <v>912</v>
      </c>
      <c r="N155" s="12" t="s">
        <v>881</v>
      </c>
      <c r="O155" s="6" t="s">
        <v>882</v>
      </c>
      <c r="P155" s="6" t="s">
        <v>2</v>
      </c>
      <c r="Q155" s="6" t="s">
        <v>20</v>
      </c>
      <c r="R155" s="12"/>
      <c r="S155" s="12"/>
      <c r="T155" s="12"/>
      <c r="U155" s="12"/>
      <c r="V155" s="12"/>
      <c r="W155" s="12"/>
      <c r="X155" s="6" t="str">
        <f aca="false">IF(COUNT(R155:W155)=6,SUM(R155:W155),"ko‘rilmagan")</f>
        <v>ko‘rilmagan</v>
      </c>
      <c r="Y155" s="12"/>
    </row>
    <row r="156" customFormat="false" ht="23.85" hidden="false" customHeight="false" outlineLevel="0" collapsed="false">
      <c r="A156" s="6" t="s">
        <v>1672</v>
      </c>
      <c r="B156" s="6" t="s">
        <v>161</v>
      </c>
      <c r="C156" s="6"/>
      <c r="D156" s="6" t="str">
        <f aca="false">IFERROR(INDEX(Mundarija!$D:$D,MATCH(B156,Mundarija!$A:$A,0)),"kod topilmadi")</f>
        <v>9.2. O‘lcham, shakl, kontur, echogenlik va qon oqimini tavsiflash.</v>
      </c>
      <c r="E156" s="6" t="s">
        <v>1673</v>
      </c>
      <c r="F156" s="11" t="s">
        <v>1674</v>
      </c>
      <c r="G156" s="6" t="s">
        <v>1675</v>
      </c>
      <c r="H156" s="6" t="s">
        <v>910</v>
      </c>
      <c r="I156" s="6" t="s">
        <v>877</v>
      </c>
      <c r="J156" s="6" t="s">
        <v>877</v>
      </c>
      <c r="K156" s="6" t="s">
        <v>878</v>
      </c>
      <c r="L156" s="6" t="s">
        <v>879</v>
      </c>
      <c r="M156" s="6" t="s">
        <v>912</v>
      </c>
      <c r="N156" s="12" t="s">
        <v>881</v>
      </c>
      <c r="O156" s="6" t="s">
        <v>882</v>
      </c>
      <c r="P156" s="6" t="s">
        <v>2</v>
      </c>
      <c r="Q156" s="6" t="s">
        <v>20</v>
      </c>
      <c r="R156" s="12"/>
      <c r="S156" s="12"/>
      <c r="T156" s="12"/>
      <c r="U156" s="12"/>
      <c r="V156" s="12"/>
      <c r="W156" s="12"/>
      <c r="X156" s="6" t="str">
        <f aca="false">IF(COUNT(R156:W156)=6,SUM(R156:W156),"ko‘rilmagan")</f>
        <v>ko‘rilmagan</v>
      </c>
      <c r="Y156" s="12"/>
    </row>
    <row r="157" customFormat="false" ht="23.85" hidden="false" customHeight="false" outlineLevel="0" collapsed="false">
      <c r="A157" s="6" t="s">
        <v>1676</v>
      </c>
      <c r="B157" s="6" t="s">
        <v>163</v>
      </c>
      <c r="C157" s="6" t="s">
        <v>165</v>
      </c>
      <c r="D157" s="6" t="str">
        <f aca="false">IFERROR(INDEX(Mundarija!$D:$D,MATCH(B157,Mundarija!$A:$A,0)),"kod topilmadi")</f>
        <v>9.3. Fokal va diffuz o‘zgarishlarni baholash.</v>
      </c>
      <c r="E157" s="6" t="s">
        <v>1677</v>
      </c>
      <c r="F157" s="11" t="s">
        <v>1678</v>
      </c>
      <c r="G157" s="6" t="s">
        <v>1679</v>
      </c>
      <c r="H157" s="6" t="s">
        <v>910</v>
      </c>
      <c r="I157" s="6" t="s">
        <v>877</v>
      </c>
      <c r="J157" s="6" t="s">
        <v>877</v>
      </c>
      <c r="K157" s="6" t="s">
        <v>878</v>
      </c>
      <c r="L157" s="6" t="s">
        <v>904</v>
      </c>
      <c r="M157" s="6" t="s">
        <v>912</v>
      </c>
      <c r="N157" s="12" t="s">
        <v>881</v>
      </c>
      <c r="O157" s="6" t="s">
        <v>882</v>
      </c>
      <c r="P157" s="6" t="s">
        <v>2</v>
      </c>
      <c r="Q157" s="6" t="s">
        <v>20</v>
      </c>
      <c r="R157" s="12"/>
      <c r="S157" s="12"/>
      <c r="T157" s="12"/>
      <c r="U157" s="12"/>
      <c r="V157" s="12"/>
      <c r="W157" s="12"/>
      <c r="X157" s="6" t="str">
        <f aca="false">IF(COUNT(R157:W157)=6,SUM(R157:W157),"ko‘rilmagan")</f>
        <v>ko‘rilmagan</v>
      </c>
      <c r="Y157" s="12"/>
    </row>
    <row r="158" customFormat="false" ht="23.85" hidden="false" customHeight="false" outlineLevel="0" collapsed="false">
      <c r="A158" s="6" t="s">
        <v>1680</v>
      </c>
      <c r="B158" s="6" t="s">
        <v>167</v>
      </c>
      <c r="C158" s="6" t="s">
        <v>606</v>
      </c>
      <c r="D158" s="6" t="str">
        <f aca="false">IFERROR(INDEX(Mundarija!$D:$D,MATCH(B158,Mundarija!$A:$A,0)),"kod topilmadi")</f>
        <v>9.5. Standart protokol, xulosa va tavsiyalarni shakllantirish.</v>
      </c>
      <c r="E158" s="6" t="s">
        <v>1681</v>
      </c>
      <c r="F158" s="11" t="s">
        <v>1682</v>
      </c>
      <c r="G158" s="6" t="s">
        <v>1683</v>
      </c>
      <c r="H158" s="6" t="s">
        <v>1684</v>
      </c>
      <c r="I158" s="6" t="s">
        <v>877</v>
      </c>
      <c r="J158" s="6" t="s">
        <v>877</v>
      </c>
      <c r="K158" s="6" t="s">
        <v>878</v>
      </c>
      <c r="L158" s="6" t="s">
        <v>904</v>
      </c>
      <c r="M158" s="6" t="s">
        <v>912</v>
      </c>
      <c r="N158" s="12" t="s">
        <v>881</v>
      </c>
      <c r="O158" s="6" t="s">
        <v>882</v>
      </c>
      <c r="P158" s="6" t="s">
        <v>2</v>
      </c>
      <c r="Q158" s="6" t="s">
        <v>20</v>
      </c>
      <c r="R158" s="12"/>
      <c r="S158" s="12"/>
      <c r="T158" s="12"/>
      <c r="U158" s="12"/>
      <c r="V158" s="12"/>
      <c r="W158" s="12"/>
      <c r="X158" s="6" t="str">
        <f aca="false">IF(COUNT(R158:W158)=6,SUM(R158:W158),"ko‘rilmagan")</f>
        <v>ko‘rilmagan</v>
      </c>
      <c r="Y158" s="12"/>
    </row>
    <row r="159" customFormat="false" ht="23.85" hidden="false" customHeight="false" outlineLevel="0" collapsed="false">
      <c r="A159" s="6" t="s">
        <v>1685</v>
      </c>
      <c r="B159" s="6" t="s">
        <v>167</v>
      </c>
      <c r="C159" s="6" t="s">
        <v>606</v>
      </c>
      <c r="D159" s="6" t="str">
        <f aca="false">IFERROR(INDEX(Mundarija!$D:$D,MATCH(B159,Mundarija!$A:$A,0)),"kod topilmadi")</f>
        <v>9.5. Standart protokol, xulosa va tavsiyalarni shakllantirish.</v>
      </c>
      <c r="E159" s="6" t="s">
        <v>1686</v>
      </c>
      <c r="F159" s="11" t="s">
        <v>1687</v>
      </c>
      <c r="G159" s="6" t="s">
        <v>1649</v>
      </c>
      <c r="H159" s="6" t="s">
        <v>1650</v>
      </c>
      <c r="I159" s="6" t="s">
        <v>877</v>
      </c>
      <c r="J159" s="6" t="s">
        <v>877</v>
      </c>
      <c r="K159" s="6" t="s">
        <v>878</v>
      </c>
      <c r="L159" s="6" t="s">
        <v>904</v>
      </c>
      <c r="M159" s="6" t="s">
        <v>912</v>
      </c>
      <c r="N159" s="12" t="s">
        <v>881</v>
      </c>
      <c r="O159" s="6" t="s">
        <v>882</v>
      </c>
      <c r="P159" s="6" t="s">
        <v>2</v>
      </c>
      <c r="Q159" s="6" t="s">
        <v>20</v>
      </c>
      <c r="R159" s="12"/>
      <c r="S159" s="12"/>
      <c r="T159" s="12"/>
      <c r="U159" s="12"/>
      <c r="V159" s="12"/>
      <c r="W159" s="12"/>
      <c r="X159" s="6" t="str">
        <f aca="false">IF(COUNT(R159:W159)=6,SUM(R159:W159),"ko‘rilmagan")</f>
        <v>ko‘rilmagan</v>
      </c>
      <c r="Y159" s="12"/>
    </row>
    <row r="160" customFormat="false" ht="23.85" hidden="false" customHeight="false" outlineLevel="0" collapsed="false">
      <c r="A160" s="6" t="s">
        <v>1688</v>
      </c>
      <c r="B160" s="6" t="s">
        <v>167</v>
      </c>
      <c r="C160" s="6" t="s">
        <v>179</v>
      </c>
      <c r="D160" s="6" t="str">
        <f aca="false">IFERROR(INDEX(Mundarija!$D:$D,MATCH(B160,Mundarija!$A:$A,0)),"kod topilmadi")</f>
        <v>9.5. Standart protokol, xulosa va tavsiyalarni shakllantirish.</v>
      </c>
      <c r="E160" s="6" t="s">
        <v>1689</v>
      </c>
      <c r="F160" s="11" t="s">
        <v>1690</v>
      </c>
      <c r="G160" s="6" t="s">
        <v>1259</v>
      </c>
      <c r="H160" s="6" t="s">
        <v>960</v>
      </c>
      <c r="I160" s="6" t="s">
        <v>877</v>
      </c>
      <c r="J160" s="6" t="s">
        <v>877</v>
      </c>
      <c r="K160" s="6" t="s">
        <v>878</v>
      </c>
      <c r="L160" s="6" t="s">
        <v>904</v>
      </c>
      <c r="M160" s="6" t="s">
        <v>891</v>
      </c>
      <c r="N160" s="12" t="s">
        <v>881</v>
      </c>
      <c r="O160" s="6" t="s">
        <v>882</v>
      </c>
      <c r="P160" s="6" t="s">
        <v>2</v>
      </c>
      <c r="Q160" s="6" t="s">
        <v>20</v>
      </c>
      <c r="R160" s="12"/>
      <c r="S160" s="12"/>
      <c r="T160" s="12"/>
      <c r="U160" s="12"/>
      <c r="V160" s="12"/>
      <c r="W160" s="12"/>
      <c r="X160" s="6" t="str">
        <f aca="false">IF(COUNT(R160:W160)=6,SUM(R160:W160),"ko‘rilmagan")</f>
        <v>ko‘rilmagan</v>
      </c>
      <c r="Y160" s="12"/>
    </row>
    <row r="161" customFormat="false" ht="23.85" hidden="false" customHeight="false" outlineLevel="0" collapsed="false">
      <c r="A161" s="6" t="s">
        <v>1691</v>
      </c>
      <c r="B161" s="6" t="s">
        <v>167</v>
      </c>
      <c r="C161" s="6" t="s">
        <v>274</v>
      </c>
      <c r="D161" s="6" t="str">
        <f aca="false">IFERROR(INDEX(Mundarija!$D:$D,MATCH(B161,Mundarija!$A:$A,0)),"kod topilmadi")</f>
        <v>9.5. Standart protokol, xulosa va tavsiyalarni shakllantirish.</v>
      </c>
      <c r="E161" s="6" t="s">
        <v>1692</v>
      </c>
      <c r="F161" s="11" t="s">
        <v>1693</v>
      </c>
      <c r="G161" s="6" t="s">
        <v>1694</v>
      </c>
      <c r="H161" s="6" t="s">
        <v>1695</v>
      </c>
      <c r="I161" s="6" t="s">
        <v>877</v>
      </c>
      <c r="J161" s="6" t="s">
        <v>877</v>
      </c>
      <c r="K161" s="6" t="s">
        <v>878</v>
      </c>
      <c r="L161" s="6" t="s">
        <v>904</v>
      </c>
      <c r="M161" s="6" t="s">
        <v>891</v>
      </c>
      <c r="N161" s="12" t="s">
        <v>881</v>
      </c>
      <c r="O161" s="6" t="s">
        <v>882</v>
      </c>
      <c r="P161" s="6" t="s">
        <v>2</v>
      </c>
      <c r="Q161" s="6" t="s">
        <v>20</v>
      </c>
      <c r="R161" s="12"/>
      <c r="S161" s="12"/>
      <c r="T161" s="12"/>
      <c r="U161" s="12"/>
      <c r="V161" s="12"/>
      <c r="W161" s="12"/>
      <c r="X161" s="6" t="str">
        <f aca="false">IF(COUNT(R161:W161)=6,SUM(R161:W161),"ko‘rilmagan")</f>
        <v>ko‘rilmagan</v>
      </c>
      <c r="Y161" s="12"/>
    </row>
    <row r="162" customFormat="false" ht="23.85" hidden="false" customHeight="false" outlineLevel="0" collapsed="false">
      <c r="A162" s="6" t="s">
        <v>1696</v>
      </c>
      <c r="B162" s="6" t="s">
        <v>188</v>
      </c>
      <c r="C162" s="6"/>
      <c r="D162" s="6" t="str">
        <f aca="false">IFERROR(INDEX(Mundarija!$D:$D,MATCH(B162,Mundarija!$A:$A,0)),"kod topilmadi")</f>
        <v>10.7. Jigar elastografiyasi: ko‘rsatmalar, texnika va cheklovlar.</v>
      </c>
      <c r="E162" s="6" t="s">
        <v>1697</v>
      </c>
      <c r="F162" s="11" t="s">
        <v>1698</v>
      </c>
      <c r="G162" s="6" t="s">
        <v>1699</v>
      </c>
      <c r="H162" s="6" t="s">
        <v>1700</v>
      </c>
      <c r="I162" s="6" t="s">
        <v>877</v>
      </c>
      <c r="J162" s="6" t="s">
        <v>877</v>
      </c>
      <c r="K162" s="6" t="s">
        <v>878</v>
      </c>
      <c r="L162" s="6" t="s">
        <v>904</v>
      </c>
      <c r="M162" s="6" t="s">
        <v>891</v>
      </c>
      <c r="N162" s="12" t="s">
        <v>881</v>
      </c>
      <c r="O162" s="6" t="s">
        <v>882</v>
      </c>
      <c r="P162" s="6" t="s">
        <v>2</v>
      </c>
      <c r="Q162" s="6" t="s">
        <v>20</v>
      </c>
      <c r="R162" s="12"/>
      <c r="S162" s="12"/>
      <c r="T162" s="12"/>
      <c r="U162" s="12"/>
      <c r="V162" s="12"/>
      <c r="W162" s="12"/>
      <c r="X162" s="6" t="str">
        <f aca="false">IF(COUNT(R162:W162)=6,SUM(R162:W162),"ko‘rilmagan")</f>
        <v>ko‘rilmagan</v>
      </c>
      <c r="Y162" s="12" t="s">
        <v>1701</v>
      </c>
    </row>
    <row r="163" customFormat="false" ht="23.85" hidden="false" customHeight="false" outlineLevel="0" collapsed="false">
      <c r="A163" s="6" t="s">
        <v>1702</v>
      </c>
      <c r="B163" s="6" t="s">
        <v>206</v>
      </c>
      <c r="C163" s="6"/>
      <c r="D163" s="6" t="str">
        <f aca="false">IFERROR(INDEX(Mundarija!$D:$D,MATCH(B163,Mundarija!$A:$A,0)),"kod topilmadi")</f>
        <v>11.6. Umumiy o‘t yo‘li (CBD)ni turli kesimlarda topish va tekshirish.</v>
      </c>
      <c r="E163" s="6" t="s">
        <v>1703</v>
      </c>
      <c r="F163" s="11" t="s">
        <v>1704</v>
      </c>
      <c r="G163" s="6" t="s">
        <v>1705</v>
      </c>
      <c r="H163" s="6" t="s">
        <v>1706</v>
      </c>
      <c r="I163" s="6" t="s">
        <v>877</v>
      </c>
      <c r="J163" s="6" t="s">
        <v>877</v>
      </c>
      <c r="K163" s="6" t="s">
        <v>878</v>
      </c>
      <c r="L163" s="6" t="s">
        <v>904</v>
      </c>
      <c r="M163" s="6" t="s">
        <v>891</v>
      </c>
      <c r="N163" s="12" t="s">
        <v>881</v>
      </c>
      <c r="O163" s="6" t="s">
        <v>882</v>
      </c>
      <c r="P163" s="6" t="s">
        <v>2</v>
      </c>
      <c r="Q163" s="6" t="s">
        <v>20</v>
      </c>
      <c r="R163" s="12"/>
      <c r="S163" s="12"/>
      <c r="T163" s="12"/>
      <c r="U163" s="12"/>
      <c r="V163" s="12"/>
      <c r="W163" s="12"/>
      <c r="X163" s="6" t="str">
        <f aca="false">IF(COUNT(R163:W163)=6,SUM(R163:W163),"ko‘rilmagan")</f>
        <v>ko‘rilmagan</v>
      </c>
      <c r="Y163" s="12" t="s">
        <v>1701</v>
      </c>
    </row>
    <row r="164" customFormat="false" ht="23.85" hidden="false" customHeight="false" outlineLevel="0" collapsed="false">
      <c r="A164" s="6" t="s">
        <v>1707</v>
      </c>
      <c r="B164" s="6" t="s">
        <v>206</v>
      </c>
      <c r="C164" s="6"/>
      <c r="D164" s="6" t="str">
        <f aca="false">IFERROR(INDEX(Mundarija!$D:$D,MATCH(B164,Mundarija!$A:$A,0)),"kod topilmadi")</f>
        <v>11.6. Umumiy o‘t yo‘li (CBD)ni turli kesimlarda topish va tekshirish.</v>
      </c>
      <c r="E164" s="6" t="s">
        <v>1708</v>
      </c>
      <c r="F164" s="11" t="s">
        <v>1709</v>
      </c>
      <c r="G164" s="6" t="s">
        <v>887</v>
      </c>
      <c r="H164" s="6" t="s">
        <v>888</v>
      </c>
      <c r="I164" s="6" t="s">
        <v>877</v>
      </c>
      <c r="J164" s="6" t="s">
        <v>877</v>
      </c>
      <c r="K164" s="6" t="s">
        <v>878</v>
      </c>
      <c r="L164" s="6" t="s">
        <v>904</v>
      </c>
      <c r="M164" s="6" t="s">
        <v>891</v>
      </c>
      <c r="N164" s="12" t="s">
        <v>881</v>
      </c>
      <c r="O164" s="6" t="s">
        <v>882</v>
      </c>
      <c r="P164" s="6" t="s">
        <v>2</v>
      </c>
      <c r="Q164" s="6" t="s">
        <v>20</v>
      </c>
      <c r="R164" s="12"/>
      <c r="S164" s="12"/>
      <c r="T164" s="12"/>
      <c r="U164" s="12"/>
      <c r="V164" s="12"/>
      <c r="W164" s="12"/>
      <c r="X164" s="6" t="str">
        <f aca="false">IF(COUNT(R164:W164)=6,SUM(R164:W164),"ko‘rilmagan")</f>
        <v>ko‘rilmagan</v>
      </c>
      <c r="Y164" s="12" t="s">
        <v>1701</v>
      </c>
    </row>
    <row r="165" customFormat="false" ht="23.85" hidden="false" customHeight="false" outlineLevel="0" collapsed="false">
      <c r="A165" s="6" t="s">
        <v>1710</v>
      </c>
      <c r="B165" s="6" t="s">
        <v>245</v>
      </c>
      <c r="C165" s="6"/>
      <c r="D165" s="6" t="str">
        <f aca="false">IFERROR(INDEX(Mundarija!$D:$D,MATCH(B165,Mundarija!$A:$A,0)),"kod topilmadi")</f>
        <v>14.7. Buyrak transplantatini tekshirish.</v>
      </c>
      <c r="E165" s="6" t="s">
        <v>1711</v>
      </c>
      <c r="F165" s="11" t="s">
        <v>1712</v>
      </c>
      <c r="G165" s="6" t="s">
        <v>1259</v>
      </c>
      <c r="H165" s="6" t="s">
        <v>960</v>
      </c>
      <c r="I165" s="6" t="s">
        <v>877</v>
      </c>
      <c r="J165" s="6" t="s">
        <v>877</v>
      </c>
      <c r="K165" s="6" t="s">
        <v>878</v>
      </c>
      <c r="L165" s="6" t="s">
        <v>904</v>
      </c>
      <c r="M165" s="6" t="s">
        <v>1713</v>
      </c>
      <c r="N165" s="12" t="s">
        <v>881</v>
      </c>
      <c r="O165" s="6" t="s">
        <v>882</v>
      </c>
      <c r="P165" s="6" t="s">
        <v>2</v>
      </c>
      <c r="Q165" s="6" t="s">
        <v>20</v>
      </c>
      <c r="R165" s="12"/>
      <c r="S165" s="12"/>
      <c r="T165" s="12"/>
      <c r="U165" s="12"/>
      <c r="V165" s="12"/>
      <c r="W165" s="12"/>
      <c r="X165" s="6" t="str">
        <f aca="false">IF(COUNT(R165:W165)=6,SUM(R165:W165),"ko‘rilmagan")</f>
        <v>ko‘rilmagan</v>
      </c>
      <c r="Y165" s="12" t="s">
        <v>1701</v>
      </c>
    </row>
    <row r="166" customFormat="false" ht="23.85" hidden="false" customHeight="false" outlineLevel="0" collapsed="false">
      <c r="A166" s="6" t="s">
        <v>1714</v>
      </c>
      <c r="B166" s="6" t="s">
        <v>260</v>
      </c>
      <c r="C166" s="6"/>
      <c r="D166" s="6" t="str">
        <f aca="false">IFERROR(INDEX(Mundarija!$D:$D,MATCH(B166,Mundarija!$A:$A,0)),"kod topilmadi")</f>
        <v>15.4. Erkin suyuqlik, peritoneal va mezenterial o‘zgarishlar.</v>
      </c>
      <c r="E166" s="6" t="s">
        <v>1715</v>
      </c>
      <c r="F166" s="11" t="s">
        <v>1716</v>
      </c>
      <c r="G166" s="6" t="s">
        <v>1717</v>
      </c>
      <c r="H166" s="6" t="s">
        <v>1718</v>
      </c>
      <c r="I166" s="6" t="s">
        <v>877</v>
      </c>
      <c r="J166" s="6" t="s">
        <v>877</v>
      </c>
      <c r="K166" s="6" t="s">
        <v>878</v>
      </c>
      <c r="L166" s="6" t="s">
        <v>879</v>
      </c>
      <c r="M166" s="6" t="s">
        <v>891</v>
      </c>
      <c r="N166" s="12" t="s">
        <v>881</v>
      </c>
      <c r="O166" s="6" t="s">
        <v>882</v>
      </c>
      <c r="P166" s="6" t="s">
        <v>2</v>
      </c>
      <c r="Q166" s="6" t="s">
        <v>20</v>
      </c>
      <c r="R166" s="12"/>
      <c r="S166" s="12"/>
      <c r="T166" s="12"/>
      <c r="U166" s="12"/>
      <c r="V166" s="12"/>
      <c r="W166" s="12"/>
      <c r="X166" s="6" t="str">
        <f aca="false">IF(COUNT(R166:W166)=6,SUM(R166:W166),"ko‘rilmagan")</f>
        <v>ko‘rilmagan</v>
      </c>
      <c r="Y166" s="12" t="s">
        <v>1701</v>
      </c>
    </row>
    <row r="167" customFormat="false" ht="23.85" hidden="false" customHeight="false" outlineLevel="0" collapsed="false">
      <c r="A167" s="6" t="s">
        <v>1719</v>
      </c>
      <c r="B167" s="6" t="s">
        <v>276</v>
      </c>
      <c r="C167" s="6"/>
      <c r="D167" s="6" t="str">
        <f aca="false">IFERROR(INDEX(Mundarija!$D:$D,MATCH(B167,Mundarija!$A:$A,0)),"kod topilmadi")</f>
        <v>16.3. Hayz sikli davomida endometriy va tuxumdon o‘zgarishlari.</v>
      </c>
      <c r="E167" s="6" t="s">
        <v>1720</v>
      </c>
      <c r="F167" s="11" t="s">
        <v>1721</v>
      </c>
      <c r="G167" s="6" t="s">
        <v>1259</v>
      </c>
      <c r="H167" s="6" t="s">
        <v>960</v>
      </c>
      <c r="I167" s="6" t="s">
        <v>877</v>
      </c>
      <c r="J167" s="6" t="s">
        <v>877</v>
      </c>
      <c r="K167" s="6" t="s">
        <v>878</v>
      </c>
      <c r="L167" s="6" t="s">
        <v>879</v>
      </c>
      <c r="M167" s="6" t="s">
        <v>962</v>
      </c>
      <c r="N167" s="12" t="s">
        <v>881</v>
      </c>
      <c r="O167" s="6" t="s">
        <v>882</v>
      </c>
      <c r="P167" s="6" t="s">
        <v>2</v>
      </c>
      <c r="Q167" s="6" t="s">
        <v>20</v>
      </c>
      <c r="R167" s="12"/>
      <c r="S167" s="12"/>
      <c r="T167" s="12"/>
      <c r="U167" s="12"/>
      <c r="V167" s="12"/>
      <c r="W167" s="12"/>
      <c r="X167" s="6" t="str">
        <f aca="false">IF(COUNT(R167:W167)=6,SUM(R167:W167),"ko‘rilmagan")</f>
        <v>ko‘rilmagan</v>
      </c>
      <c r="Y167" s="12"/>
    </row>
    <row r="168" customFormat="false" ht="23.85" hidden="false" customHeight="false" outlineLevel="0" collapsed="false">
      <c r="A168" s="6" t="s">
        <v>1722</v>
      </c>
      <c r="B168" s="6" t="s">
        <v>276</v>
      </c>
      <c r="C168" s="6"/>
      <c r="D168" s="6" t="str">
        <f aca="false">IFERROR(INDEX(Mundarija!$D:$D,MATCH(B168,Mundarija!$A:$A,0)),"kod topilmadi")</f>
        <v>16.3. Hayz sikli davomida endometriy va tuxumdon o‘zgarishlari.</v>
      </c>
      <c r="E168" s="6" t="s">
        <v>1723</v>
      </c>
      <c r="F168" s="11" t="s">
        <v>1724</v>
      </c>
      <c r="G168" s="6" t="s">
        <v>1725</v>
      </c>
      <c r="H168" s="6" t="s">
        <v>1726</v>
      </c>
      <c r="I168" s="6" t="s">
        <v>877</v>
      </c>
      <c r="J168" s="6" t="s">
        <v>877</v>
      </c>
      <c r="K168" s="6" t="s">
        <v>878</v>
      </c>
      <c r="L168" s="6" t="s">
        <v>904</v>
      </c>
      <c r="M168" s="6" t="s">
        <v>1713</v>
      </c>
      <c r="N168" s="12" t="s">
        <v>881</v>
      </c>
      <c r="O168" s="6" t="s">
        <v>882</v>
      </c>
      <c r="P168" s="6" t="s">
        <v>2</v>
      </c>
      <c r="Q168" s="6" t="s">
        <v>20</v>
      </c>
      <c r="R168" s="12"/>
      <c r="S168" s="12"/>
      <c r="T168" s="12"/>
      <c r="U168" s="12"/>
      <c r="V168" s="12"/>
      <c r="W168" s="12"/>
      <c r="X168" s="6" t="str">
        <f aca="false">IF(COUNT(R168:W168)=6,SUM(R168:W168),"ko‘rilmagan")</f>
        <v>ko‘rilmagan</v>
      </c>
      <c r="Y168" s="12"/>
    </row>
    <row r="169" customFormat="false" ht="23.85" hidden="false" customHeight="false" outlineLevel="0" collapsed="false">
      <c r="A169" s="6" t="s">
        <v>1727</v>
      </c>
      <c r="B169" s="6" t="s">
        <v>278</v>
      </c>
      <c r="C169" s="6"/>
      <c r="D169" s="6" t="str">
        <f aca="false">IFERROR(INDEX(Mundarija!$D:$D,MATCH(B169,Mundarija!$A:$A,0)),"kod topilmadi")</f>
        <v>16.4. Mioma, adenomioz va endometrial patologiyalar.</v>
      </c>
      <c r="E169" s="6" t="s">
        <v>1728</v>
      </c>
      <c r="F169" s="11" t="s">
        <v>1729</v>
      </c>
      <c r="G169" s="6" t="s">
        <v>1694</v>
      </c>
      <c r="H169" s="6" t="s">
        <v>1695</v>
      </c>
      <c r="I169" s="6" t="s">
        <v>877</v>
      </c>
      <c r="J169" s="6" t="s">
        <v>877</v>
      </c>
      <c r="K169" s="6" t="s">
        <v>878</v>
      </c>
      <c r="L169" s="6" t="s">
        <v>904</v>
      </c>
      <c r="M169" s="6" t="s">
        <v>912</v>
      </c>
      <c r="N169" s="12" t="s">
        <v>881</v>
      </c>
      <c r="O169" s="6" t="s">
        <v>882</v>
      </c>
      <c r="P169" s="6" t="s">
        <v>2</v>
      </c>
      <c r="Q169" s="6" t="s">
        <v>20</v>
      </c>
      <c r="R169" s="12"/>
      <c r="S169" s="12"/>
      <c r="T169" s="12"/>
      <c r="U169" s="12"/>
      <c r="V169" s="12"/>
      <c r="W169" s="12"/>
      <c r="X169" s="6" t="str">
        <f aca="false">IF(COUNT(R169:W169)=6,SUM(R169:W169),"ko‘rilmagan")</f>
        <v>ko‘rilmagan</v>
      </c>
      <c r="Y169" s="12"/>
    </row>
    <row r="170" customFormat="false" ht="23.85" hidden="false" customHeight="false" outlineLevel="0" collapsed="false">
      <c r="A170" s="6" t="s">
        <v>1730</v>
      </c>
      <c r="B170" s="6" t="s">
        <v>278</v>
      </c>
      <c r="C170" s="6"/>
      <c r="D170" s="6" t="str">
        <f aca="false">IFERROR(INDEX(Mundarija!$D:$D,MATCH(B170,Mundarija!$A:$A,0)),"kod topilmadi")</f>
        <v>16.4. Mioma, adenomioz va endometrial patologiyalar.</v>
      </c>
      <c r="E170" s="6" t="s">
        <v>1731</v>
      </c>
      <c r="F170" s="11" t="s">
        <v>1732</v>
      </c>
      <c r="G170" s="6" t="s">
        <v>1269</v>
      </c>
      <c r="H170" s="6" t="s">
        <v>1733</v>
      </c>
      <c r="I170" s="6" t="s">
        <v>877</v>
      </c>
      <c r="J170" s="6" t="s">
        <v>877</v>
      </c>
      <c r="K170" s="6" t="s">
        <v>878</v>
      </c>
      <c r="L170" s="6" t="s">
        <v>904</v>
      </c>
      <c r="M170" s="6" t="s">
        <v>1713</v>
      </c>
      <c r="N170" s="12" t="s">
        <v>881</v>
      </c>
      <c r="O170" s="6" t="s">
        <v>882</v>
      </c>
      <c r="P170" s="6" t="s">
        <v>2</v>
      </c>
      <c r="Q170" s="6" t="s">
        <v>20</v>
      </c>
      <c r="R170" s="12"/>
      <c r="S170" s="12"/>
      <c r="T170" s="12"/>
      <c r="U170" s="12"/>
      <c r="V170" s="12"/>
      <c r="W170" s="12"/>
      <c r="X170" s="6" t="str">
        <f aca="false">IF(COUNT(R170:W170)=6,SUM(R170:W170),"ko‘rilmagan")</f>
        <v>ko‘rilmagan</v>
      </c>
      <c r="Y170" s="12"/>
    </row>
    <row r="171" customFormat="false" ht="23.85" hidden="false" customHeight="false" outlineLevel="0" collapsed="false">
      <c r="A171" s="6" t="s">
        <v>1734</v>
      </c>
      <c r="B171" s="6" t="s">
        <v>280</v>
      </c>
      <c r="C171" s="6"/>
      <c r="D171" s="6" t="str">
        <f aca="false">IFERROR(INDEX(Mundarija!$D:$D,MATCH(B171,Mundarija!$A:$A,0)),"kod topilmadi")</f>
        <v>16.5. Tuxumdon kistalari va adneksal hosilalar.</v>
      </c>
      <c r="E171" s="6" t="s">
        <v>1735</v>
      </c>
      <c r="F171" s="11" t="s">
        <v>1736</v>
      </c>
      <c r="G171" s="6" t="s">
        <v>1259</v>
      </c>
      <c r="H171" s="6" t="s">
        <v>960</v>
      </c>
      <c r="I171" s="6" t="s">
        <v>877</v>
      </c>
      <c r="J171" s="6" t="s">
        <v>877</v>
      </c>
      <c r="K171" s="6" t="s">
        <v>878</v>
      </c>
      <c r="L171" s="6" t="s">
        <v>904</v>
      </c>
      <c r="M171" s="6" t="s">
        <v>962</v>
      </c>
      <c r="N171" s="12" t="s">
        <v>881</v>
      </c>
      <c r="O171" s="6" t="s">
        <v>882</v>
      </c>
      <c r="P171" s="6" t="s">
        <v>2</v>
      </c>
      <c r="Q171" s="6" t="s">
        <v>20</v>
      </c>
      <c r="R171" s="12"/>
      <c r="S171" s="12"/>
      <c r="T171" s="12"/>
      <c r="U171" s="12"/>
      <c r="V171" s="12"/>
      <c r="W171" s="12"/>
      <c r="X171" s="6" t="str">
        <f aca="false">IF(COUNT(R171:W171)=6,SUM(R171:W171),"ko‘rilmagan")</f>
        <v>ko‘rilmagan</v>
      </c>
      <c r="Y171" s="12"/>
    </row>
    <row r="172" customFormat="false" ht="23.85" hidden="false" customHeight="false" outlineLevel="0" collapsed="false">
      <c r="A172" s="6" t="s">
        <v>1737</v>
      </c>
      <c r="B172" s="6" t="s">
        <v>280</v>
      </c>
      <c r="C172" s="6" t="s">
        <v>284</v>
      </c>
      <c r="D172" s="6" t="str">
        <f aca="false">IFERROR(INDEX(Mundarija!$D:$D,MATCH(B172,Mundarija!$A:$A,0)),"kod topilmadi")</f>
        <v>16.5. Tuxumdon kistalari va adneksal hosilalar.</v>
      </c>
      <c r="E172" s="6" t="s">
        <v>1738</v>
      </c>
      <c r="F172" s="11" t="s">
        <v>1739</v>
      </c>
      <c r="G172" s="6" t="s">
        <v>1269</v>
      </c>
      <c r="H172" s="6" t="s">
        <v>1733</v>
      </c>
      <c r="I172" s="6" t="s">
        <v>877</v>
      </c>
      <c r="J172" s="6" t="s">
        <v>877</v>
      </c>
      <c r="K172" s="6" t="s">
        <v>878</v>
      </c>
      <c r="L172" s="6" t="s">
        <v>904</v>
      </c>
      <c r="M172" s="6" t="s">
        <v>1713</v>
      </c>
      <c r="N172" s="12" t="s">
        <v>881</v>
      </c>
      <c r="O172" s="6" t="s">
        <v>882</v>
      </c>
      <c r="P172" s="6" t="s">
        <v>2</v>
      </c>
      <c r="Q172" s="6" t="s">
        <v>20</v>
      </c>
      <c r="R172" s="12"/>
      <c r="S172" s="12"/>
      <c r="T172" s="12"/>
      <c r="U172" s="12"/>
      <c r="V172" s="12"/>
      <c r="W172" s="12"/>
      <c r="X172" s="6" t="str">
        <f aca="false">IF(COUNT(R172:W172)=6,SUM(R172:W172),"ko‘rilmagan")</f>
        <v>ko‘rilmagan</v>
      </c>
      <c r="Y172" s="12"/>
    </row>
    <row r="173" customFormat="false" ht="23.85" hidden="false" customHeight="false" outlineLevel="0" collapsed="false">
      <c r="A173" s="6" t="s">
        <v>1740</v>
      </c>
      <c r="B173" s="6" t="s">
        <v>280</v>
      </c>
      <c r="C173" s="6"/>
      <c r="D173" s="6" t="str">
        <f aca="false">IFERROR(INDEX(Mundarija!$D:$D,MATCH(B173,Mundarija!$A:$A,0)),"kod topilmadi")</f>
        <v>16.5. Tuxumdon kistalari va adneksal hosilalar.</v>
      </c>
      <c r="E173" s="6" t="s">
        <v>1741</v>
      </c>
      <c r="F173" s="11" t="s">
        <v>1742</v>
      </c>
      <c r="G173" s="6" t="s">
        <v>1442</v>
      </c>
      <c r="H173" s="6" t="s">
        <v>910</v>
      </c>
      <c r="I173" s="6" t="s">
        <v>877</v>
      </c>
      <c r="J173" s="6" t="s">
        <v>877</v>
      </c>
      <c r="K173" s="6" t="s">
        <v>878</v>
      </c>
      <c r="L173" s="6" t="s">
        <v>904</v>
      </c>
      <c r="M173" s="6" t="s">
        <v>912</v>
      </c>
      <c r="N173" s="12" t="s">
        <v>881</v>
      </c>
      <c r="O173" s="6" t="s">
        <v>882</v>
      </c>
      <c r="P173" s="6" t="s">
        <v>2</v>
      </c>
      <c r="Q173" s="6" t="s">
        <v>20</v>
      </c>
      <c r="R173" s="12"/>
      <c r="S173" s="12"/>
      <c r="T173" s="12"/>
      <c r="U173" s="12"/>
      <c r="V173" s="12"/>
      <c r="W173" s="12"/>
      <c r="X173" s="6" t="str">
        <f aca="false">IF(COUNT(R173:W173)=6,SUM(R173:W173),"ko‘rilmagan")</f>
        <v>ko‘rilmagan</v>
      </c>
      <c r="Y173" s="12"/>
    </row>
    <row r="174" customFormat="false" ht="23.85" hidden="false" customHeight="false" outlineLevel="0" collapsed="false">
      <c r="A174" s="6" t="s">
        <v>1743</v>
      </c>
      <c r="B174" s="6" t="s">
        <v>284</v>
      </c>
      <c r="C174" s="6"/>
      <c r="D174" s="6" t="str">
        <f aca="false">IFERROR(INDEX(Mundarija!$D:$D,MATCH(B174,Mundarija!$A:$A,0)),"kod topilmadi")</f>
        <v>16.7. Endometrioz, chanoq yallig‘lanish kasalliklari va gidrosalpinks.</v>
      </c>
      <c r="E174" s="6" t="s">
        <v>1744</v>
      </c>
      <c r="F174" s="11" t="s">
        <v>1745</v>
      </c>
      <c r="G174" s="6" t="s">
        <v>1746</v>
      </c>
      <c r="H174" s="6" t="s">
        <v>1747</v>
      </c>
      <c r="I174" s="6" t="s">
        <v>877</v>
      </c>
      <c r="J174" s="6" t="s">
        <v>877</v>
      </c>
      <c r="K174" s="6" t="s">
        <v>878</v>
      </c>
      <c r="L174" s="6" t="s">
        <v>1748</v>
      </c>
      <c r="M174" s="6" t="s">
        <v>912</v>
      </c>
      <c r="N174" s="12" t="s">
        <v>881</v>
      </c>
      <c r="O174" s="6" t="s">
        <v>882</v>
      </c>
      <c r="P174" s="6" t="s">
        <v>2</v>
      </c>
      <c r="Q174" s="6" t="s">
        <v>20</v>
      </c>
      <c r="R174" s="12"/>
      <c r="S174" s="12"/>
      <c r="T174" s="12"/>
      <c r="U174" s="12"/>
      <c r="V174" s="12"/>
      <c r="W174" s="12"/>
      <c r="X174" s="6" t="str">
        <f aca="false">IF(COUNT(R174:W174)=6,SUM(R174:W174),"ko‘rilmagan")</f>
        <v>ko‘rilmagan</v>
      </c>
      <c r="Y174" s="12"/>
    </row>
    <row r="175" customFormat="false" ht="23.85" hidden="false" customHeight="false" outlineLevel="0" collapsed="false">
      <c r="A175" s="6" t="s">
        <v>1749</v>
      </c>
      <c r="B175" s="6" t="s">
        <v>284</v>
      </c>
      <c r="C175" s="6"/>
      <c r="D175" s="6" t="str">
        <f aca="false">IFERROR(INDEX(Mundarija!$D:$D,MATCH(B175,Mundarija!$A:$A,0)),"kod topilmadi")</f>
        <v>16.7. Endometrioz, chanoq yallig‘lanish kasalliklari va gidrosalpinks.</v>
      </c>
      <c r="E175" s="6" t="s">
        <v>1750</v>
      </c>
      <c r="F175" s="11" t="s">
        <v>1751</v>
      </c>
      <c r="G175" s="6" t="s">
        <v>1269</v>
      </c>
      <c r="H175" s="6" t="s">
        <v>1733</v>
      </c>
      <c r="I175" s="6" t="s">
        <v>877</v>
      </c>
      <c r="J175" s="6" t="s">
        <v>877</v>
      </c>
      <c r="K175" s="6" t="s">
        <v>878</v>
      </c>
      <c r="L175" s="6" t="s">
        <v>904</v>
      </c>
      <c r="M175" s="6" t="s">
        <v>912</v>
      </c>
      <c r="N175" s="12" t="s">
        <v>881</v>
      </c>
      <c r="O175" s="6" t="s">
        <v>882</v>
      </c>
      <c r="P175" s="6" t="s">
        <v>2</v>
      </c>
      <c r="Q175" s="6" t="s">
        <v>20</v>
      </c>
      <c r="R175" s="12"/>
      <c r="S175" s="12"/>
      <c r="T175" s="12"/>
      <c r="U175" s="12"/>
      <c r="V175" s="12"/>
      <c r="W175" s="12"/>
      <c r="X175" s="6" t="str">
        <f aca="false">IF(COUNT(R175:W175)=6,SUM(R175:W175),"ko‘rilmagan")</f>
        <v>ko‘rilmagan</v>
      </c>
      <c r="Y175" s="12"/>
    </row>
    <row r="176" customFormat="false" ht="23.85" hidden="false" customHeight="false" outlineLevel="0" collapsed="false">
      <c r="A176" s="6" t="s">
        <v>1752</v>
      </c>
      <c r="B176" s="6" t="s">
        <v>284</v>
      </c>
      <c r="C176" s="6"/>
      <c r="D176" s="6" t="str">
        <f aca="false">IFERROR(INDEX(Mundarija!$D:$D,MATCH(B176,Mundarija!$A:$A,0)),"kod topilmadi")</f>
        <v>16.7. Endometrioz, chanoq yallig‘lanish kasalliklari va gidrosalpinks.</v>
      </c>
      <c r="E176" s="6" t="s">
        <v>1753</v>
      </c>
      <c r="F176" s="11" t="s">
        <v>1754</v>
      </c>
      <c r="G176" s="6" t="s">
        <v>1269</v>
      </c>
      <c r="H176" s="6" t="s">
        <v>1733</v>
      </c>
      <c r="I176" s="6" t="s">
        <v>877</v>
      </c>
      <c r="J176" s="6" t="s">
        <v>877</v>
      </c>
      <c r="K176" s="6" t="s">
        <v>878</v>
      </c>
      <c r="L176" s="6" t="s">
        <v>904</v>
      </c>
      <c r="M176" s="6" t="s">
        <v>912</v>
      </c>
      <c r="N176" s="12" t="s">
        <v>881</v>
      </c>
      <c r="O176" s="6" t="s">
        <v>882</v>
      </c>
      <c r="P176" s="6" t="s">
        <v>2</v>
      </c>
      <c r="Q176" s="6" t="s">
        <v>20</v>
      </c>
      <c r="R176" s="12"/>
      <c r="S176" s="12"/>
      <c r="T176" s="12"/>
      <c r="U176" s="12"/>
      <c r="V176" s="12"/>
      <c r="W176" s="12"/>
      <c r="X176" s="6" t="str">
        <f aca="false">IF(COUNT(R176:W176)=6,SUM(R176:W176),"ko‘rilmagan")</f>
        <v>ko‘rilmagan</v>
      </c>
      <c r="Y176" s="12"/>
    </row>
    <row r="177" customFormat="false" ht="23.85" hidden="false" customHeight="false" outlineLevel="0" collapsed="false">
      <c r="A177" s="6" t="s">
        <v>1755</v>
      </c>
      <c r="B177" s="6" t="s">
        <v>288</v>
      </c>
      <c r="C177" s="6"/>
      <c r="D177" s="6" t="str">
        <f aca="false">IFERROR(INDEX(Mundarija!$D:$D,MATCH(B177,Mundarija!$A:$A,0)),"kod topilmadi")</f>
        <v>16.9. Kontratseptiv vositalar, jumladan bachadon ichi vositasi.</v>
      </c>
      <c r="E177" s="6" t="s">
        <v>1756</v>
      </c>
      <c r="F177" s="11" t="s">
        <v>1757</v>
      </c>
      <c r="G177" s="6" t="s">
        <v>1138</v>
      </c>
      <c r="H177" s="6" t="s">
        <v>910</v>
      </c>
      <c r="I177" s="6" t="s">
        <v>877</v>
      </c>
      <c r="J177" s="6" t="s">
        <v>877</v>
      </c>
      <c r="K177" s="6" t="s">
        <v>878</v>
      </c>
      <c r="L177" s="6" t="s">
        <v>879</v>
      </c>
      <c r="M177" s="6" t="s">
        <v>1713</v>
      </c>
      <c r="N177" s="12" t="s">
        <v>881</v>
      </c>
      <c r="O177" s="6" t="s">
        <v>882</v>
      </c>
      <c r="P177" s="6" t="s">
        <v>2</v>
      </c>
      <c r="Q177" s="6" t="s">
        <v>20</v>
      </c>
      <c r="R177" s="12"/>
      <c r="S177" s="12"/>
      <c r="T177" s="12"/>
      <c r="U177" s="12"/>
      <c r="V177" s="12"/>
      <c r="W177" s="12"/>
      <c r="X177" s="6" t="str">
        <f aca="false">IF(COUNT(R177:W177)=6,SUM(R177:W177),"ko‘rilmagan")</f>
        <v>ko‘rilmagan</v>
      </c>
      <c r="Y177" s="12"/>
    </row>
    <row r="178" customFormat="false" ht="23.85" hidden="false" customHeight="false" outlineLevel="0" collapsed="false">
      <c r="A178" s="6" t="s">
        <v>1758</v>
      </c>
      <c r="B178" s="6" t="s">
        <v>290</v>
      </c>
      <c r="C178" s="6"/>
      <c r="D178" s="6" t="str">
        <f aca="false">IFERROR(INDEX(Mundarija!$D:$D,MATCH(B178,Mundarija!$A:$A,0)),"kod topilmadi")</f>
        <v>16.10. Bolalar va o‘smirlar ginekologiyasi.</v>
      </c>
      <c r="E178" s="6" t="s">
        <v>1759</v>
      </c>
      <c r="F178" s="11" t="s">
        <v>1760</v>
      </c>
      <c r="G178" s="6" t="s">
        <v>1761</v>
      </c>
      <c r="H178" s="6" t="s">
        <v>1762</v>
      </c>
      <c r="I178" s="6" t="s">
        <v>877</v>
      </c>
      <c r="J178" s="6" t="s">
        <v>877</v>
      </c>
      <c r="K178" s="6" t="s">
        <v>878</v>
      </c>
      <c r="L178" s="6" t="s">
        <v>904</v>
      </c>
      <c r="M178" s="6" t="s">
        <v>912</v>
      </c>
      <c r="N178" s="12" t="s">
        <v>881</v>
      </c>
      <c r="O178" s="6" t="s">
        <v>882</v>
      </c>
      <c r="P178" s="6" t="s">
        <v>2</v>
      </c>
      <c r="Q178" s="6" t="s">
        <v>20</v>
      </c>
      <c r="R178" s="12"/>
      <c r="S178" s="12"/>
      <c r="T178" s="12"/>
      <c r="U178" s="12"/>
      <c r="V178" s="12"/>
      <c r="W178" s="12"/>
      <c r="X178" s="6" t="str">
        <f aca="false">IF(COUNT(R178:W178)=6,SUM(R178:W178),"ko‘rilmagan")</f>
        <v>ko‘rilmagan</v>
      </c>
      <c r="Y178" s="12"/>
    </row>
    <row r="179" customFormat="false" ht="23.85" hidden="false" customHeight="false" outlineLevel="0" collapsed="false">
      <c r="A179" s="6" t="s">
        <v>1763</v>
      </c>
      <c r="B179" s="6" t="s">
        <v>290</v>
      </c>
      <c r="C179" s="6"/>
      <c r="D179" s="6" t="str">
        <f aca="false">IFERROR(INDEX(Mundarija!$D:$D,MATCH(B179,Mundarija!$A:$A,0)),"kod topilmadi")</f>
        <v>16.10. Bolalar va o‘smirlar ginekologiyasi.</v>
      </c>
      <c r="E179" s="6" t="s">
        <v>1764</v>
      </c>
      <c r="F179" s="11" t="s">
        <v>1765</v>
      </c>
      <c r="G179" s="6" t="s">
        <v>1766</v>
      </c>
      <c r="H179" s="6" t="s">
        <v>1767</v>
      </c>
      <c r="I179" s="6" t="s">
        <v>877</v>
      </c>
      <c r="J179" s="6" t="s">
        <v>877</v>
      </c>
      <c r="K179" s="6" t="s">
        <v>878</v>
      </c>
      <c r="L179" s="6" t="s">
        <v>904</v>
      </c>
      <c r="M179" s="6" t="s">
        <v>912</v>
      </c>
      <c r="N179" s="12" t="s">
        <v>881</v>
      </c>
      <c r="O179" s="6" t="s">
        <v>882</v>
      </c>
      <c r="P179" s="6" t="s">
        <v>2</v>
      </c>
      <c r="Q179" s="6" t="s">
        <v>20</v>
      </c>
      <c r="R179" s="12"/>
      <c r="S179" s="12"/>
      <c r="T179" s="12"/>
      <c r="U179" s="12"/>
      <c r="V179" s="12"/>
      <c r="W179" s="12"/>
      <c r="X179" s="6" t="str">
        <f aca="false">IF(COUNT(R179:W179)=6,SUM(R179:W179),"ko‘rilmagan")</f>
        <v>ko‘rilmagan</v>
      </c>
      <c r="Y179" s="12"/>
    </row>
    <row r="180" customFormat="false" ht="23.85" hidden="false" customHeight="false" outlineLevel="0" collapsed="false">
      <c r="A180" s="6" t="s">
        <v>1768</v>
      </c>
      <c r="B180" s="6" t="s">
        <v>292</v>
      </c>
      <c r="C180" s="6"/>
      <c r="D180" s="6" t="str">
        <f aca="false">IFERROR(INDEX(Mundarija!$D:$D,MATCH(B180,Mundarija!$A:$A,0)),"kod topilmadi")</f>
        <v>17.1. Moyak va epididimis anatomiyasi.</v>
      </c>
      <c r="E180" s="6" t="s">
        <v>1769</v>
      </c>
      <c r="F180" s="11" t="s">
        <v>1770</v>
      </c>
      <c r="G180" s="6" t="s">
        <v>1229</v>
      </c>
      <c r="H180" s="6" t="s">
        <v>1771</v>
      </c>
      <c r="I180" s="6" t="s">
        <v>877</v>
      </c>
      <c r="J180" s="6" t="s">
        <v>877</v>
      </c>
      <c r="K180" s="6" t="s">
        <v>878</v>
      </c>
      <c r="L180" s="6" t="s">
        <v>879</v>
      </c>
      <c r="M180" s="6" t="s">
        <v>912</v>
      </c>
      <c r="N180" s="12" t="s">
        <v>881</v>
      </c>
      <c r="O180" s="6" t="s">
        <v>882</v>
      </c>
      <c r="P180" s="6" t="s">
        <v>2</v>
      </c>
      <c r="Q180" s="6" t="s">
        <v>20</v>
      </c>
      <c r="R180" s="12"/>
      <c r="S180" s="12"/>
      <c r="T180" s="12"/>
      <c r="U180" s="12"/>
      <c r="V180" s="12"/>
      <c r="W180" s="12"/>
      <c r="X180" s="6" t="str">
        <f aca="false">IF(COUNT(R180:W180)=6,SUM(R180:W180),"ko‘rilmagan")</f>
        <v>ko‘rilmagan</v>
      </c>
      <c r="Y180" s="12"/>
    </row>
    <row r="181" customFormat="false" ht="23.85" hidden="false" customHeight="false" outlineLevel="0" collapsed="false">
      <c r="A181" s="6" t="s">
        <v>1772</v>
      </c>
      <c r="B181" s="6" t="s">
        <v>297</v>
      </c>
      <c r="C181" s="6"/>
      <c r="D181" s="6" t="str">
        <f aca="false">IFERROR(INDEX(Mundarija!$D:$D,MATCH(B181,Mundarija!$A:$A,0)),"kod topilmadi")</f>
        <v>17.3. Epididimit, orxit va skrotal abssess.</v>
      </c>
      <c r="E181" s="6" t="s">
        <v>1773</v>
      </c>
      <c r="F181" s="11" t="s">
        <v>1774</v>
      </c>
      <c r="G181" s="6" t="s">
        <v>1269</v>
      </c>
      <c r="H181" s="6" t="s">
        <v>1733</v>
      </c>
      <c r="I181" s="6" t="s">
        <v>877</v>
      </c>
      <c r="J181" s="6" t="s">
        <v>877</v>
      </c>
      <c r="K181" s="6" t="s">
        <v>878</v>
      </c>
      <c r="L181" s="6" t="s">
        <v>904</v>
      </c>
      <c r="M181" s="6" t="s">
        <v>912</v>
      </c>
      <c r="N181" s="12" t="s">
        <v>881</v>
      </c>
      <c r="O181" s="6" t="s">
        <v>882</v>
      </c>
      <c r="P181" s="6" t="s">
        <v>2</v>
      </c>
      <c r="Q181" s="6" t="s">
        <v>20</v>
      </c>
      <c r="R181" s="12"/>
      <c r="S181" s="12"/>
      <c r="T181" s="12"/>
      <c r="U181" s="12"/>
      <c r="V181" s="12"/>
      <c r="W181" s="12"/>
      <c r="X181" s="6" t="str">
        <f aca="false">IF(COUNT(R181:W181)=6,SUM(R181:W181),"ko‘rilmagan")</f>
        <v>ko‘rilmagan</v>
      </c>
      <c r="Y181" s="12"/>
    </row>
    <row r="182" customFormat="false" ht="23.85" hidden="false" customHeight="false" outlineLevel="0" collapsed="false">
      <c r="A182" s="6" t="s">
        <v>1775</v>
      </c>
      <c r="B182" s="6" t="s">
        <v>297</v>
      </c>
      <c r="C182" s="6"/>
      <c r="D182" s="6" t="str">
        <f aca="false">IFERROR(INDEX(Mundarija!$D:$D,MATCH(B182,Mundarija!$A:$A,0)),"kod topilmadi")</f>
        <v>17.3. Epididimit, orxit va skrotal abssess.</v>
      </c>
      <c r="E182" s="6" t="s">
        <v>1776</v>
      </c>
      <c r="F182" s="11" t="s">
        <v>1777</v>
      </c>
      <c r="G182" s="6" t="s">
        <v>1778</v>
      </c>
      <c r="H182" s="6" t="s">
        <v>1779</v>
      </c>
      <c r="I182" s="6" t="s">
        <v>877</v>
      </c>
      <c r="J182" s="6" t="s">
        <v>877</v>
      </c>
      <c r="K182" s="6" t="s">
        <v>878</v>
      </c>
      <c r="L182" s="6" t="s">
        <v>904</v>
      </c>
      <c r="M182" s="6" t="s">
        <v>912</v>
      </c>
      <c r="N182" s="12" t="s">
        <v>881</v>
      </c>
      <c r="O182" s="6" t="s">
        <v>882</v>
      </c>
      <c r="P182" s="6" t="s">
        <v>2</v>
      </c>
      <c r="Q182" s="6" t="s">
        <v>20</v>
      </c>
      <c r="R182" s="12"/>
      <c r="S182" s="12"/>
      <c r="T182" s="12"/>
      <c r="U182" s="12"/>
      <c r="V182" s="12"/>
      <c r="W182" s="12"/>
      <c r="X182" s="6" t="str">
        <f aca="false">IF(COUNT(R182:W182)=6,SUM(R182:W182),"ko‘rilmagan")</f>
        <v>ko‘rilmagan</v>
      </c>
      <c r="Y182" s="12"/>
    </row>
    <row r="183" customFormat="false" ht="23.85" hidden="false" customHeight="false" outlineLevel="0" collapsed="false">
      <c r="A183" s="6" t="s">
        <v>1780</v>
      </c>
      <c r="B183" s="6" t="s">
        <v>297</v>
      </c>
      <c r="C183" s="6"/>
      <c r="D183" s="6" t="str">
        <f aca="false">IFERROR(INDEX(Mundarija!$D:$D,MATCH(B183,Mundarija!$A:$A,0)),"kod topilmadi")</f>
        <v>17.3. Epididimit, orxit va skrotal abssess.</v>
      </c>
      <c r="E183" s="6" t="s">
        <v>1781</v>
      </c>
      <c r="F183" s="11" t="s">
        <v>1782</v>
      </c>
      <c r="G183" s="6" t="s">
        <v>1783</v>
      </c>
      <c r="H183" s="6" t="s">
        <v>1784</v>
      </c>
      <c r="I183" s="6" t="s">
        <v>877</v>
      </c>
      <c r="J183" s="6" t="s">
        <v>877</v>
      </c>
      <c r="K183" s="6" t="s">
        <v>878</v>
      </c>
      <c r="L183" s="6" t="s">
        <v>879</v>
      </c>
      <c r="M183" s="6" t="s">
        <v>891</v>
      </c>
      <c r="N183" s="12" t="s">
        <v>881</v>
      </c>
      <c r="O183" s="6" t="s">
        <v>882</v>
      </c>
      <c r="P183" s="6" t="s">
        <v>2</v>
      </c>
      <c r="Q183" s="6" t="s">
        <v>20</v>
      </c>
      <c r="R183" s="12"/>
      <c r="S183" s="12"/>
      <c r="T183" s="12"/>
      <c r="U183" s="12"/>
      <c r="V183" s="12"/>
      <c r="W183" s="12"/>
      <c r="X183" s="6" t="str">
        <f aca="false">IF(COUNT(R183:W183)=6,SUM(R183:W183),"ko‘rilmagan")</f>
        <v>ko‘rilmagan</v>
      </c>
      <c r="Y183" s="12"/>
    </row>
    <row r="184" customFormat="false" ht="23.85" hidden="false" customHeight="false" outlineLevel="0" collapsed="false">
      <c r="A184" s="6" t="s">
        <v>1785</v>
      </c>
      <c r="B184" s="6" t="s">
        <v>299</v>
      </c>
      <c r="C184" s="6"/>
      <c r="D184" s="6" t="str">
        <f aca="false">IFERROR(INDEX(Mundarija!$D:$D,MATCH(B184,Mundarija!$A:$A,0)),"kod topilmadi")</f>
        <v>17.4. Varikotsele va gidrotsele.</v>
      </c>
      <c r="E184" s="6" t="s">
        <v>1786</v>
      </c>
      <c r="F184" s="11" t="s">
        <v>1787</v>
      </c>
      <c r="G184" s="6" t="s">
        <v>1269</v>
      </c>
      <c r="H184" s="6" t="s">
        <v>1733</v>
      </c>
      <c r="I184" s="6" t="s">
        <v>877</v>
      </c>
      <c r="J184" s="6" t="s">
        <v>877</v>
      </c>
      <c r="K184" s="6" t="s">
        <v>878</v>
      </c>
      <c r="L184" s="6" t="s">
        <v>904</v>
      </c>
      <c r="M184" s="6" t="s">
        <v>912</v>
      </c>
      <c r="N184" s="12" t="s">
        <v>881</v>
      </c>
      <c r="O184" s="6" t="s">
        <v>882</v>
      </c>
      <c r="P184" s="6" t="s">
        <v>2</v>
      </c>
      <c r="Q184" s="6" t="s">
        <v>20</v>
      </c>
      <c r="R184" s="12"/>
      <c r="S184" s="12"/>
      <c r="T184" s="12"/>
      <c r="U184" s="12"/>
      <c r="V184" s="12"/>
      <c r="W184" s="12"/>
      <c r="X184" s="6" t="str">
        <f aca="false">IF(COUNT(R184:W184)=6,SUM(R184:W184),"ko‘rilmagan")</f>
        <v>ko‘rilmagan</v>
      </c>
      <c r="Y184" s="12"/>
    </row>
    <row r="185" customFormat="false" ht="23.85" hidden="false" customHeight="false" outlineLevel="0" collapsed="false">
      <c r="A185" s="6" t="s">
        <v>1788</v>
      </c>
      <c r="B185" s="6" t="s">
        <v>301</v>
      </c>
      <c r="C185" s="6" t="s">
        <v>1789</v>
      </c>
      <c r="D185" s="6" t="str">
        <f aca="false">IFERROR(INDEX(Mundarija!$D:$D,MATCH(B185,Mundarija!$A:$A,0)),"kod topilmadi")</f>
        <v>17.5. Moyak ichi va tashqarisidagi hosilalar.</v>
      </c>
      <c r="E185" s="6" t="s">
        <v>1790</v>
      </c>
      <c r="F185" s="11" t="s">
        <v>1791</v>
      </c>
      <c r="G185" s="6" t="s">
        <v>1259</v>
      </c>
      <c r="H185" s="6" t="s">
        <v>960</v>
      </c>
      <c r="I185" s="6" t="s">
        <v>877</v>
      </c>
      <c r="J185" s="6" t="s">
        <v>877</v>
      </c>
      <c r="K185" s="6" t="s">
        <v>878</v>
      </c>
      <c r="L185" s="6" t="s">
        <v>904</v>
      </c>
      <c r="M185" s="6" t="s">
        <v>962</v>
      </c>
      <c r="N185" s="12" t="s">
        <v>881</v>
      </c>
      <c r="O185" s="6" t="s">
        <v>882</v>
      </c>
      <c r="P185" s="6" t="s">
        <v>2</v>
      </c>
      <c r="Q185" s="6" t="s">
        <v>20</v>
      </c>
      <c r="R185" s="12"/>
      <c r="S185" s="12"/>
      <c r="T185" s="12"/>
      <c r="U185" s="12"/>
      <c r="V185" s="12"/>
      <c r="W185" s="12"/>
      <c r="X185" s="6" t="str">
        <f aca="false">IF(COUNT(R185:W185)=6,SUM(R185:W185),"ko‘rilmagan")</f>
        <v>ko‘rilmagan</v>
      </c>
      <c r="Y185" s="12"/>
    </row>
    <row r="186" customFormat="false" ht="23.85" hidden="false" customHeight="false" outlineLevel="0" collapsed="false">
      <c r="A186" s="6" t="s">
        <v>1792</v>
      </c>
      <c r="B186" s="6" t="s">
        <v>301</v>
      </c>
      <c r="C186" s="6"/>
      <c r="D186" s="6" t="str">
        <f aca="false">IFERROR(INDEX(Mundarija!$D:$D,MATCH(B186,Mundarija!$A:$A,0)),"kod topilmadi")</f>
        <v>17.5. Moyak ichi va tashqarisidagi hosilalar.</v>
      </c>
      <c r="E186" s="6" t="s">
        <v>1793</v>
      </c>
      <c r="F186" s="11" t="s">
        <v>1794</v>
      </c>
      <c r="G186" s="6" t="s">
        <v>1269</v>
      </c>
      <c r="H186" s="6" t="s">
        <v>1733</v>
      </c>
      <c r="I186" s="6" t="s">
        <v>877</v>
      </c>
      <c r="J186" s="6" t="s">
        <v>877</v>
      </c>
      <c r="K186" s="6" t="s">
        <v>878</v>
      </c>
      <c r="L186" s="6" t="s">
        <v>904</v>
      </c>
      <c r="M186" s="6" t="s">
        <v>1713</v>
      </c>
      <c r="N186" s="12" t="s">
        <v>881</v>
      </c>
      <c r="O186" s="6" t="s">
        <v>882</v>
      </c>
      <c r="P186" s="6" t="s">
        <v>2</v>
      </c>
      <c r="Q186" s="6" t="s">
        <v>20</v>
      </c>
      <c r="R186" s="12"/>
      <c r="S186" s="12"/>
      <c r="T186" s="12"/>
      <c r="U186" s="12"/>
      <c r="V186" s="12"/>
      <c r="W186" s="12"/>
      <c r="X186" s="6" t="str">
        <f aca="false">IF(COUNT(R186:W186)=6,SUM(R186:W186),"ko‘rilmagan")</f>
        <v>ko‘rilmagan</v>
      </c>
      <c r="Y186" s="12"/>
    </row>
    <row r="187" customFormat="false" ht="23.85" hidden="false" customHeight="false" outlineLevel="0" collapsed="false">
      <c r="A187" s="6" t="s">
        <v>1795</v>
      </c>
      <c r="B187" s="6" t="s">
        <v>303</v>
      </c>
      <c r="C187" s="6"/>
      <c r="D187" s="6" t="str">
        <f aca="false">IFERROR(INDEX(Mundarija!$D:$D,MATCH(B187,Mundarija!$A:$A,0)),"kod topilmadi")</f>
        <v>17.6. Skrotal travma.</v>
      </c>
      <c r="E187" s="6" t="s">
        <v>1796</v>
      </c>
      <c r="F187" s="11" t="s">
        <v>1797</v>
      </c>
      <c r="G187" s="6" t="s">
        <v>1798</v>
      </c>
      <c r="H187" s="6" t="s">
        <v>1799</v>
      </c>
      <c r="I187" s="6" t="s">
        <v>877</v>
      </c>
      <c r="J187" s="6" t="s">
        <v>877</v>
      </c>
      <c r="K187" s="6" t="s">
        <v>878</v>
      </c>
      <c r="L187" s="6" t="s">
        <v>904</v>
      </c>
      <c r="M187" s="6" t="s">
        <v>1713</v>
      </c>
      <c r="N187" s="12" t="s">
        <v>881</v>
      </c>
      <c r="O187" s="6" t="s">
        <v>882</v>
      </c>
      <c r="P187" s="6" t="s">
        <v>2</v>
      </c>
      <c r="Q187" s="6" t="s">
        <v>20</v>
      </c>
      <c r="R187" s="12"/>
      <c r="S187" s="12"/>
      <c r="T187" s="12"/>
      <c r="U187" s="12"/>
      <c r="V187" s="12"/>
      <c r="W187" s="12"/>
      <c r="X187" s="6" t="str">
        <f aca="false">IF(COUNT(R187:W187)=6,SUM(R187:W187),"ko‘rilmagan")</f>
        <v>ko‘rilmagan</v>
      </c>
      <c r="Y187" s="12"/>
    </row>
    <row r="188" customFormat="false" ht="23.85" hidden="false" customHeight="false" outlineLevel="0" collapsed="false">
      <c r="A188" s="6" t="s">
        <v>1800</v>
      </c>
      <c r="B188" s="6" t="s">
        <v>303</v>
      </c>
      <c r="C188" s="6"/>
      <c r="D188" s="6" t="str">
        <f aca="false">IFERROR(INDEX(Mundarija!$D:$D,MATCH(B188,Mundarija!$A:$A,0)),"kod topilmadi")</f>
        <v>17.6. Skrotal travma.</v>
      </c>
      <c r="E188" s="6" t="s">
        <v>1801</v>
      </c>
      <c r="F188" s="11" t="s">
        <v>1802</v>
      </c>
      <c r="G188" s="6" t="s">
        <v>1803</v>
      </c>
      <c r="H188" s="6" t="s">
        <v>1804</v>
      </c>
      <c r="I188" s="6" t="s">
        <v>877</v>
      </c>
      <c r="J188" s="6" t="s">
        <v>877</v>
      </c>
      <c r="K188" s="6" t="s">
        <v>878</v>
      </c>
      <c r="L188" s="6" t="s">
        <v>904</v>
      </c>
      <c r="M188" s="6" t="s">
        <v>1713</v>
      </c>
      <c r="N188" s="12" t="s">
        <v>881</v>
      </c>
      <c r="O188" s="6" t="s">
        <v>882</v>
      </c>
      <c r="P188" s="6" t="s">
        <v>2</v>
      </c>
      <c r="Q188" s="6" t="s">
        <v>20</v>
      </c>
      <c r="R188" s="12"/>
      <c r="S188" s="12"/>
      <c r="T188" s="12"/>
      <c r="U188" s="12"/>
      <c r="V188" s="12"/>
      <c r="W188" s="12"/>
      <c r="X188" s="6" t="str">
        <f aca="false">IF(COUNT(R188:W188)=6,SUM(R188:W188),"ko‘rilmagan")</f>
        <v>ko‘rilmagan</v>
      </c>
      <c r="Y188" s="12"/>
    </row>
    <row r="189" customFormat="false" ht="23.85" hidden="false" customHeight="false" outlineLevel="0" collapsed="false">
      <c r="A189" s="6" t="s">
        <v>1805</v>
      </c>
      <c r="B189" s="6" t="s">
        <v>305</v>
      </c>
      <c r="C189" s="6" t="s">
        <v>247</v>
      </c>
      <c r="D189" s="6" t="str">
        <f aca="false">IFERROR(INDEX(Mundarija!$D:$D,MATCH(B189,Mundarija!$A:$A,0)),"kod topilmadi")</f>
        <v>17.7. Prostata bezi va transabdominal/transrektal tekshiruv asoslari.</v>
      </c>
      <c r="E189" s="6" t="s">
        <v>1806</v>
      </c>
      <c r="F189" s="11" t="s">
        <v>1807</v>
      </c>
      <c r="G189" s="6" t="s">
        <v>1318</v>
      </c>
      <c r="H189" s="6" t="s">
        <v>1640</v>
      </c>
      <c r="I189" s="6" t="s">
        <v>877</v>
      </c>
      <c r="J189" s="6" t="s">
        <v>877</v>
      </c>
      <c r="K189" s="6" t="s">
        <v>878</v>
      </c>
      <c r="L189" s="6" t="s">
        <v>879</v>
      </c>
      <c r="M189" s="6" t="s">
        <v>891</v>
      </c>
      <c r="N189" s="12" t="s">
        <v>881</v>
      </c>
      <c r="O189" s="6" t="s">
        <v>882</v>
      </c>
      <c r="P189" s="6" t="s">
        <v>2</v>
      </c>
      <c r="Q189" s="6" t="s">
        <v>20</v>
      </c>
      <c r="R189" s="12"/>
      <c r="S189" s="12"/>
      <c r="T189" s="12"/>
      <c r="U189" s="12"/>
      <c r="V189" s="12"/>
      <c r="W189" s="12"/>
      <c r="X189" s="6" t="str">
        <f aca="false">IF(COUNT(R189:W189)=6,SUM(R189:W189),"ko‘rilmagan")</f>
        <v>ko‘rilmagan</v>
      </c>
      <c r="Y189" s="12"/>
    </row>
    <row r="190" customFormat="false" ht="23.85" hidden="false" customHeight="false" outlineLevel="0" collapsed="false">
      <c r="A190" s="6" t="s">
        <v>1808</v>
      </c>
      <c r="B190" s="6" t="s">
        <v>307</v>
      </c>
      <c r="C190" s="6" t="s">
        <v>305</v>
      </c>
      <c r="D190" s="6" t="str">
        <f aca="false">IFERROR(INDEX(Mundarija!$D:$D,MATCH(B190,Mundarija!$A:$A,0)),"kod topilmadi")</f>
        <v>17.8. Prostata kattalashuvi, yallig‘lanishi va o‘smalardan shubhalanish.</v>
      </c>
      <c r="E190" s="6" t="s">
        <v>1809</v>
      </c>
      <c r="F190" s="11" t="s">
        <v>1810</v>
      </c>
      <c r="G190" s="6" t="s">
        <v>1259</v>
      </c>
      <c r="H190" s="6" t="s">
        <v>960</v>
      </c>
      <c r="I190" s="6" t="s">
        <v>877</v>
      </c>
      <c r="J190" s="6" t="s">
        <v>877</v>
      </c>
      <c r="K190" s="6" t="s">
        <v>878</v>
      </c>
      <c r="L190" s="6" t="s">
        <v>904</v>
      </c>
      <c r="M190" s="6" t="s">
        <v>962</v>
      </c>
      <c r="N190" s="12" t="s">
        <v>881</v>
      </c>
      <c r="O190" s="6" t="s">
        <v>882</v>
      </c>
      <c r="P190" s="6" t="s">
        <v>2</v>
      </c>
      <c r="Q190" s="6" t="s">
        <v>20</v>
      </c>
      <c r="R190" s="12"/>
      <c r="S190" s="12"/>
      <c r="T190" s="12"/>
      <c r="U190" s="12"/>
      <c r="V190" s="12"/>
      <c r="W190" s="12"/>
      <c r="X190" s="6" t="str">
        <f aca="false">IF(COUNT(R190:W190)=6,SUM(R190:W190),"ko‘rilmagan")</f>
        <v>ko‘rilmagan</v>
      </c>
      <c r="Y190" s="12"/>
    </row>
    <row r="191" customFormat="false" ht="23.85" hidden="false" customHeight="false" outlineLevel="0" collapsed="false">
      <c r="A191" s="6" t="s">
        <v>1811</v>
      </c>
      <c r="B191" s="6" t="s">
        <v>307</v>
      </c>
      <c r="C191" s="6" t="s">
        <v>247</v>
      </c>
      <c r="D191" s="6" t="str">
        <f aca="false">IFERROR(INDEX(Mundarija!$D:$D,MATCH(B191,Mundarija!$A:$A,0)),"kod topilmadi")</f>
        <v>17.8. Prostata kattalashuvi, yallig‘lanishi va o‘smalardan shubhalanish.</v>
      </c>
      <c r="E191" s="6" t="s">
        <v>1812</v>
      </c>
      <c r="F191" s="11" t="s">
        <v>1813</v>
      </c>
      <c r="G191" s="6" t="s">
        <v>1229</v>
      </c>
      <c r="H191" s="6" t="s">
        <v>1771</v>
      </c>
      <c r="I191" s="6" t="s">
        <v>877</v>
      </c>
      <c r="J191" s="6" t="s">
        <v>877</v>
      </c>
      <c r="K191" s="6" t="s">
        <v>878</v>
      </c>
      <c r="L191" s="6" t="s">
        <v>879</v>
      </c>
      <c r="M191" s="6" t="s">
        <v>891</v>
      </c>
      <c r="N191" s="12" t="s">
        <v>881</v>
      </c>
      <c r="O191" s="6" t="s">
        <v>882</v>
      </c>
      <c r="P191" s="6" t="s">
        <v>2</v>
      </c>
      <c r="Q191" s="6" t="s">
        <v>20</v>
      </c>
      <c r="R191" s="12"/>
      <c r="S191" s="12"/>
      <c r="T191" s="12"/>
      <c r="U191" s="12"/>
      <c r="V191" s="12"/>
      <c r="W191" s="12"/>
      <c r="X191" s="6" t="str">
        <f aca="false">IF(COUNT(R191:W191)=6,SUM(R191:W191),"ko‘rilmagan")</f>
        <v>ko‘rilmagan</v>
      </c>
      <c r="Y191" s="12"/>
    </row>
    <row r="192" customFormat="false" ht="23.85" hidden="false" customHeight="false" outlineLevel="0" collapsed="false">
      <c r="A192" s="6" t="s">
        <v>1814</v>
      </c>
      <c r="B192" s="6" t="s">
        <v>309</v>
      </c>
      <c r="C192" s="6"/>
      <c r="D192" s="6" t="str">
        <f aca="false">IFERROR(INDEX(Mundarija!$D:$D,MATCH(B192,Mundarija!$A:$A,0)),"kod topilmadi")</f>
        <v>17.9. Jinsiy olat ultratovushi va maxsus Doppler tekshiruvlariga kirish.</v>
      </c>
      <c r="E192" s="6" t="s">
        <v>1815</v>
      </c>
      <c r="F192" s="11" t="s">
        <v>1816</v>
      </c>
      <c r="G192" s="6" t="s">
        <v>1336</v>
      </c>
      <c r="H192" s="6" t="s">
        <v>1817</v>
      </c>
      <c r="I192" s="6" t="s">
        <v>877</v>
      </c>
      <c r="J192" s="6" t="s">
        <v>877</v>
      </c>
      <c r="K192" s="6" t="s">
        <v>878</v>
      </c>
      <c r="L192" s="6" t="s">
        <v>1748</v>
      </c>
      <c r="M192" s="6" t="s">
        <v>912</v>
      </c>
      <c r="N192" s="12" t="s">
        <v>881</v>
      </c>
      <c r="O192" s="6" t="s">
        <v>882</v>
      </c>
      <c r="P192" s="6" t="s">
        <v>2</v>
      </c>
      <c r="Q192" s="6" t="s">
        <v>20</v>
      </c>
      <c r="R192" s="12"/>
      <c r="S192" s="12"/>
      <c r="T192" s="12"/>
      <c r="U192" s="12"/>
      <c r="V192" s="12"/>
      <c r="W192" s="12"/>
      <c r="X192" s="6" t="str">
        <f aca="false">IF(COUNT(R192:W192)=6,SUM(R192:W192),"ko‘rilmagan")</f>
        <v>ko‘rilmagan</v>
      </c>
      <c r="Y192" s="12"/>
    </row>
    <row r="193" customFormat="false" ht="23.85" hidden="false" customHeight="false" outlineLevel="0" collapsed="false">
      <c r="A193" s="6" t="s">
        <v>1818</v>
      </c>
      <c r="B193" s="6" t="s">
        <v>309</v>
      </c>
      <c r="C193" s="6"/>
      <c r="D193" s="6" t="str">
        <f aca="false">IFERROR(INDEX(Mundarija!$D:$D,MATCH(B193,Mundarija!$A:$A,0)),"kod topilmadi")</f>
        <v>17.9. Jinsiy olat ultratovushi va maxsus Doppler tekshiruvlariga kirish.</v>
      </c>
      <c r="E193" s="6" t="s">
        <v>1819</v>
      </c>
      <c r="F193" s="11" t="s">
        <v>1820</v>
      </c>
      <c r="G193" s="6" t="s">
        <v>1821</v>
      </c>
      <c r="H193" s="6" t="s">
        <v>1822</v>
      </c>
      <c r="I193" s="6" t="s">
        <v>1823</v>
      </c>
      <c r="J193" s="6" t="s">
        <v>877</v>
      </c>
      <c r="K193" s="6" t="s">
        <v>878</v>
      </c>
      <c r="L193" s="6" t="s">
        <v>1748</v>
      </c>
      <c r="M193" s="6" t="s">
        <v>891</v>
      </c>
      <c r="N193" s="12" t="s">
        <v>881</v>
      </c>
      <c r="O193" s="6" t="s">
        <v>882</v>
      </c>
      <c r="P193" s="6" t="s">
        <v>2</v>
      </c>
      <c r="Q193" s="6" t="s">
        <v>20</v>
      </c>
      <c r="R193" s="12"/>
      <c r="S193" s="12"/>
      <c r="T193" s="12"/>
      <c r="U193" s="12"/>
      <c r="V193" s="12"/>
      <c r="W193" s="12"/>
      <c r="X193" s="6" t="str">
        <f aca="false">IF(COUNT(R193:W193)=6,SUM(R193:W193),"ko‘rilmagan")</f>
        <v>ko‘rilmagan</v>
      </c>
      <c r="Y193" s="12"/>
    </row>
    <row r="194" customFormat="false" ht="23.85" hidden="false" customHeight="false" outlineLevel="0" collapsed="false">
      <c r="A194" s="6" t="s">
        <v>1824</v>
      </c>
      <c r="B194" s="6" t="s">
        <v>311</v>
      </c>
      <c r="C194" s="6" t="s">
        <v>315</v>
      </c>
      <c r="D194" s="6" t="str">
        <f aca="false">IFERROR(INDEX(Mundarija!$D:$D,MATCH(B194,Mundarija!$A:$A,0)),"kod topilmadi")</f>
        <v>18.1. Bachadon ichidagi homiladorlikni tasdiqlash.</v>
      </c>
      <c r="E194" s="6" t="s">
        <v>1825</v>
      </c>
      <c r="F194" s="11" t="s">
        <v>1826</v>
      </c>
      <c r="G194" s="6" t="s">
        <v>1229</v>
      </c>
      <c r="H194" s="6" t="s">
        <v>1771</v>
      </c>
      <c r="I194" s="6" t="s">
        <v>877</v>
      </c>
      <c r="J194" s="6" t="s">
        <v>877</v>
      </c>
      <c r="K194" s="6" t="s">
        <v>878</v>
      </c>
      <c r="L194" s="6" t="s">
        <v>879</v>
      </c>
      <c r="M194" s="6" t="s">
        <v>912</v>
      </c>
      <c r="N194" s="12" t="s">
        <v>881</v>
      </c>
      <c r="O194" s="6" t="s">
        <v>882</v>
      </c>
      <c r="P194" s="6" t="s">
        <v>2</v>
      </c>
      <c r="Q194" s="6" t="s">
        <v>20</v>
      </c>
      <c r="R194" s="12"/>
      <c r="S194" s="12"/>
      <c r="T194" s="12"/>
      <c r="U194" s="12"/>
      <c r="V194" s="12"/>
      <c r="W194" s="12"/>
      <c r="X194" s="6" t="str">
        <f aca="false">IF(COUNT(R194:W194)=6,SUM(R194:W194),"ko‘rilmagan")</f>
        <v>ko‘rilmagan</v>
      </c>
      <c r="Y194" s="12"/>
    </row>
    <row r="195" customFormat="false" ht="23.85" hidden="false" customHeight="false" outlineLevel="0" collapsed="false">
      <c r="A195" s="6" t="s">
        <v>1827</v>
      </c>
      <c r="B195" s="6" t="s">
        <v>311</v>
      </c>
      <c r="C195" s="6"/>
      <c r="D195" s="6" t="str">
        <f aca="false">IFERROR(INDEX(Mundarija!$D:$D,MATCH(B195,Mundarija!$A:$A,0)),"kod topilmadi")</f>
        <v>18.1. Bachadon ichidagi homiladorlikni tasdiqlash.</v>
      </c>
      <c r="E195" s="6" t="s">
        <v>1828</v>
      </c>
      <c r="F195" s="11" t="s">
        <v>1829</v>
      </c>
      <c r="G195" s="6" t="s">
        <v>1121</v>
      </c>
      <c r="H195" s="6" t="s">
        <v>1830</v>
      </c>
      <c r="I195" s="6" t="s">
        <v>877</v>
      </c>
      <c r="J195" s="6" t="s">
        <v>877</v>
      </c>
      <c r="K195" s="6" t="s">
        <v>878</v>
      </c>
      <c r="L195" s="6" t="s">
        <v>879</v>
      </c>
      <c r="M195" s="6" t="s">
        <v>891</v>
      </c>
      <c r="N195" s="12" t="s">
        <v>881</v>
      </c>
      <c r="O195" s="6" t="s">
        <v>882</v>
      </c>
      <c r="P195" s="6" t="s">
        <v>2</v>
      </c>
      <c r="Q195" s="6" t="s">
        <v>20</v>
      </c>
      <c r="R195" s="12"/>
      <c r="S195" s="12"/>
      <c r="T195" s="12"/>
      <c r="U195" s="12"/>
      <c r="V195" s="12"/>
      <c r="W195" s="12"/>
      <c r="X195" s="6" t="str">
        <f aca="false">IF(COUNT(R195:W195)=6,SUM(R195:W195),"ko‘rilmagan")</f>
        <v>ko‘rilmagan</v>
      </c>
      <c r="Y195" s="12"/>
    </row>
    <row r="196" customFormat="false" ht="23.85" hidden="false" customHeight="false" outlineLevel="0" collapsed="false">
      <c r="A196" s="6" t="s">
        <v>1831</v>
      </c>
      <c r="B196" s="6" t="s">
        <v>315</v>
      </c>
      <c r="C196" s="6"/>
      <c r="D196" s="6" t="str">
        <f aca="false">IFERROR(INDEX(Mundarija!$D:$D,MATCH(B196,Mundarija!$A:$A,0)),"kod topilmadi")</f>
        <v>18.2. Gestatsion xalta, sariq xalta va embrion.</v>
      </c>
      <c r="E196" s="6" t="s">
        <v>1832</v>
      </c>
      <c r="F196" s="11" t="s">
        <v>1833</v>
      </c>
      <c r="G196" s="6" t="s">
        <v>1834</v>
      </c>
      <c r="H196" s="6" t="s">
        <v>910</v>
      </c>
      <c r="I196" s="6" t="s">
        <v>877</v>
      </c>
      <c r="J196" s="6" t="s">
        <v>877</v>
      </c>
      <c r="K196" s="6" t="s">
        <v>878</v>
      </c>
      <c r="L196" s="6" t="s">
        <v>879</v>
      </c>
      <c r="M196" s="6" t="s">
        <v>1713</v>
      </c>
      <c r="N196" s="12" t="s">
        <v>881</v>
      </c>
      <c r="O196" s="6" t="s">
        <v>882</v>
      </c>
      <c r="P196" s="6" t="s">
        <v>2</v>
      </c>
      <c r="Q196" s="6" t="s">
        <v>20</v>
      </c>
      <c r="R196" s="12"/>
      <c r="S196" s="12"/>
      <c r="T196" s="12"/>
      <c r="U196" s="12"/>
      <c r="V196" s="12"/>
      <c r="W196" s="12"/>
      <c r="X196" s="6" t="str">
        <f aca="false">IF(COUNT(R196:W196)=6,SUM(R196:W196),"ko‘rilmagan")</f>
        <v>ko‘rilmagan</v>
      </c>
      <c r="Y196" s="12"/>
    </row>
    <row r="197" customFormat="false" ht="23.85" hidden="false" customHeight="false" outlineLevel="0" collapsed="false">
      <c r="A197" s="6" t="s">
        <v>1835</v>
      </c>
      <c r="B197" s="6" t="s">
        <v>315</v>
      </c>
      <c r="C197" s="6"/>
      <c r="D197" s="6" t="str">
        <f aca="false">IFERROR(INDEX(Mundarija!$D:$D,MATCH(B197,Mundarija!$A:$A,0)),"kod topilmadi")</f>
        <v>18.2. Gestatsion xalta, sariq xalta va embrion.</v>
      </c>
      <c r="E197" s="6" t="s">
        <v>1836</v>
      </c>
      <c r="F197" s="11" t="s">
        <v>1837</v>
      </c>
      <c r="G197" s="6" t="s">
        <v>1838</v>
      </c>
      <c r="H197" s="6" t="s">
        <v>1726</v>
      </c>
      <c r="I197" s="6" t="s">
        <v>877</v>
      </c>
      <c r="J197" s="6" t="s">
        <v>877</v>
      </c>
      <c r="K197" s="6" t="s">
        <v>878</v>
      </c>
      <c r="L197" s="6" t="s">
        <v>879</v>
      </c>
      <c r="M197" s="6" t="s">
        <v>912</v>
      </c>
      <c r="N197" s="12" t="s">
        <v>881</v>
      </c>
      <c r="O197" s="6" t="s">
        <v>882</v>
      </c>
      <c r="P197" s="6" t="s">
        <v>2</v>
      </c>
      <c r="Q197" s="6" t="s">
        <v>20</v>
      </c>
      <c r="R197" s="12"/>
      <c r="S197" s="12"/>
      <c r="T197" s="12"/>
      <c r="U197" s="12"/>
      <c r="V197" s="12"/>
      <c r="W197" s="12"/>
      <c r="X197" s="6" t="str">
        <f aca="false">IF(COUNT(R197:W197)=6,SUM(R197:W197),"ko‘rilmagan")</f>
        <v>ko‘rilmagan</v>
      </c>
      <c r="Y197" s="12"/>
    </row>
    <row r="198" customFormat="false" ht="23.85" hidden="false" customHeight="false" outlineLevel="0" collapsed="false">
      <c r="A198" s="6" t="s">
        <v>1839</v>
      </c>
      <c r="B198" s="6" t="s">
        <v>317</v>
      </c>
      <c r="C198" s="6"/>
      <c r="D198" s="6" t="str">
        <f aca="false">IFERROR(INDEX(Mundarija!$D:$D,MATCH(B198,Mundarija!$A:$A,0)),"kod topilmadi")</f>
        <v>18.3. CRL va homiladorlik muddatini aniqlash.</v>
      </c>
      <c r="E198" s="6" t="s">
        <v>1840</v>
      </c>
      <c r="F198" s="11" t="s">
        <v>1841</v>
      </c>
      <c r="G198" s="6" t="s">
        <v>1223</v>
      </c>
      <c r="H198" s="6" t="s">
        <v>1842</v>
      </c>
      <c r="I198" s="6" t="s">
        <v>877</v>
      </c>
      <c r="J198" s="6" t="s">
        <v>877</v>
      </c>
      <c r="K198" s="6" t="s">
        <v>878</v>
      </c>
      <c r="L198" s="6" t="s">
        <v>879</v>
      </c>
      <c r="M198" s="6" t="s">
        <v>912</v>
      </c>
      <c r="N198" s="12" t="s">
        <v>881</v>
      </c>
      <c r="O198" s="6" t="s">
        <v>882</v>
      </c>
      <c r="P198" s="6" t="s">
        <v>2</v>
      </c>
      <c r="Q198" s="6" t="s">
        <v>20</v>
      </c>
      <c r="R198" s="12"/>
      <c r="S198" s="12"/>
      <c r="T198" s="12"/>
      <c r="U198" s="12"/>
      <c r="V198" s="12"/>
      <c r="W198" s="12"/>
      <c r="X198" s="6" t="str">
        <f aca="false">IF(COUNT(R198:W198)=6,SUM(R198:W198),"ko‘rilmagan")</f>
        <v>ko‘rilmagan</v>
      </c>
      <c r="Y198" s="12"/>
    </row>
    <row r="199" customFormat="false" ht="23.85" hidden="false" customHeight="false" outlineLevel="0" collapsed="false">
      <c r="A199" s="6" t="s">
        <v>1843</v>
      </c>
      <c r="B199" s="6" t="s">
        <v>317</v>
      </c>
      <c r="C199" s="6"/>
      <c r="D199" s="6" t="str">
        <f aca="false">IFERROR(INDEX(Mundarija!$D:$D,MATCH(B199,Mundarija!$A:$A,0)),"kod topilmadi")</f>
        <v>18.3. CRL va homiladorlik muddatini aniqlash.</v>
      </c>
      <c r="E199" s="6" t="s">
        <v>1844</v>
      </c>
      <c r="F199" s="11" t="s">
        <v>1845</v>
      </c>
      <c r="G199" s="6" t="s">
        <v>1259</v>
      </c>
      <c r="H199" s="6" t="s">
        <v>960</v>
      </c>
      <c r="I199" s="6" t="s">
        <v>877</v>
      </c>
      <c r="J199" s="6" t="s">
        <v>877</v>
      </c>
      <c r="K199" s="6" t="s">
        <v>878</v>
      </c>
      <c r="L199" s="6" t="s">
        <v>879</v>
      </c>
      <c r="M199" s="6" t="s">
        <v>891</v>
      </c>
      <c r="N199" s="12" t="s">
        <v>881</v>
      </c>
      <c r="O199" s="6" t="s">
        <v>882</v>
      </c>
      <c r="P199" s="6" t="s">
        <v>2</v>
      </c>
      <c r="Q199" s="6" t="s">
        <v>20</v>
      </c>
      <c r="R199" s="12"/>
      <c r="S199" s="12"/>
      <c r="T199" s="12"/>
      <c r="U199" s="12"/>
      <c r="V199" s="12"/>
      <c r="W199" s="12"/>
      <c r="X199" s="6" t="str">
        <f aca="false">IF(COUNT(R199:W199)=6,SUM(R199:W199),"ko‘rilmagan")</f>
        <v>ko‘rilmagan</v>
      </c>
      <c r="Y199" s="12"/>
    </row>
    <row r="200" customFormat="false" ht="23.85" hidden="false" customHeight="false" outlineLevel="0" collapsed="false">
      <c r="A200" s="6" t="s">
        <v>1846</v>
      </c>
      <c r="B200" s="6" t="s">
        <v>319</v>
      </c>
      <c r="C200" s="6" t="s">
        <v>311</v>
      </c>
      <c r="D200" s="6" t="str">
        <f aca="false">IFERROR(INDEX(Mundarija!$D:$D,MATCH(B200,Mundarija!$A:$A,0)),"kod topilmadi")</f>
        <v>18.4. Yurak faoliyati va erta rivojlanishni baholash.</v>
      </c>
      <c r="E200" s="6" t="s">
        <v>1847</v>
      </c>
      <c r="F200" s="11" t="s">
        <v>1848</v>
      </c>
      <c r="G200" s="6" t="s">
        <v>909</v>
      </c>
      <c r="H200" s="6" t="s">
        <v>1849</v>
      </c>
      <c r="I200" s="6" t="s">
        <v>877</v>
      </c>
      <c r="J200" s="6" t="s">
        <v>877</v>
      </c>
      <c r="K200" s="6" t="s">
        <v>878</v>
      </c>
      <c r="L200" s="6" t="s">
        <v>879</v>
      </c>
      <c r="M200" s="6" t="s">
        <v>912</v>
      </c>
      <c r="N200" s="12" t="s">
        <v>881</v>
      </c>
      <c r="O200" s="6" t="s">
        <v>882</v>
      </c>
      <c r="P200" s="6" t="s">
        <v>2</v>
      </c>
      <c r="Q200" s="6" t="s">
        <v>20</v>
      </c>
      <c r="R200" s="12"/>
      <c r="S200" s="12"/>
      <c r="T200" s="12"/>
      <c r="U200" s="12"/>
      <c r="V200" s="12"/>
      <c r="W200" s="12"/>
      <c r="X200" s="6" t="str">
        <f aca="false">IF(COUNT(R200:W200)=6,SUM(R200:W200),"ko‘rilmagan")</f>
        <v>ko‘rilmagan</v>
      </c>
      <c r="Y200" s="12"/>
    </row>
    <row r="201" customFormat="false" ht="23.85" hidden="false" customHeight="false" outlineLevel="0" collapsed="false">
      <c r="A201" s="6" t="s">
        <v>1850</v>
      </c>
      <c r="B201" s="6" t="s">
        <v>321</v>
      </c>
      <c r="C201" s="6"/>
      <c r="D201" s="6" t="str">
        <f aca="false">IFERROR(INDEX(Mundarija!$D:$D,MATCH(B201,Mundarija!$A:$A,0)),"kod topilmadi")</f>
        <v>18.5. Homila tushishi va rivojlanmay qolgan homiladorlik mezonlari.</v>
      </c>
      <c r="E201" s="6" t="s">
        <v>1851</v>
      </c>
      <c r="F201" s="11" t="s">
        <v>1852</v>
      </c>
      <c r="G201" s="6" t="s">
        <v>1229</v>
      </c>
      <c r="H201" s="6" t="s">
        <v>1771</v>
      </c>
      <c r="I201" s="6" t="s">
        <v>877</v>
      </c>
      <c r="J201" s="6" t="s">
        <v>877</v>
      </c>
      <c r="K201" s="6" t="s">
        <v>878</v>
      </c>
      <c r="L201" s="6" t="s">
        <v>904</v>
      </c>
      <c r="M201" s="6" t="s">
        <v>912</v>
      </c>
      <c r="N201" s="12" t="s">
        <v>881</v>
      </c>
      <c r="O201" s="6" t="s">
        <v>882</v>
      </c>
      <c r="P201" s="6" t="s">
        <v>2</v>
      </c>
      <c r="Q201" s="6" t="s">
        <v>20</v>
      </c>
      <c r="R201" s="12"/>
      <c r="S201" s="12"/>
      <c r="T201" s="12"/>
      <c r="U201" s="12"/>
      <c r="V201" s="12"/>
      <c r="W201" s="12"/>
      <c r="X201" s="6" t="str">
        <f aca="false">IF(COUNT(R201:W201)=6,SUM(R201:W201),"ko‘rilmagan")</f>
        <v>ko‘rilmagan</v>
      </c>
      <c r="Y201" s="12"/>
    </row>
    <row r="202" customFormat="false" ht="23.85" hidden="false" customHeight="false" outlineLevel="0" collapsed="false">
      <c r="A202" s="6" t="s">
        <v>1853</v>
      </c>
      <c r="B202" s="6" t="s">
        <v>321</v>
      </c>
      <c r="C202" s="6"/>
      <c r="D202" s="6" t="str">
        <f aca="false">IFERROR(INDEX(Mundarija!$D:$D,MATCH(B202,Mundarija!$A:$A,0)),"kod topilmadi")</f>
        <v>18.5. Homila tushishi va rivojlanmay qolgan homiladorlik mezonlari.</v>
      </c>
      <c r="E202" s="6" t="s">
        <v>1854</v>
      </c>
      <c r="F202" s="11" t="s">
        <v>1855</v>
      </c>
      <c r="G202" s="6" t="s">
        <v>1245</v>
      </c>
      <c r="H202" s="6" t="s">
        <v>1856</v>
      </c>
      <c r="I202" s="6" t="s">
        <v>877</v>
      </c>
      <c r="J202" s="6" t="s">
        <v>877</v>
      </c>
      <c r="K202" s="6" t="s">
        <v>878</v>
      </c>
      <c r="L202" s="6" t="s">
        <v>904</v>
      </c>
      <c r="M202" s="6" t="s">
        <v>912</v>
      </c>
      <c r="N202" s="12" t="s">
        <v>881</v>
      </c>
      <c r="O202" s="6" t="s">
        <v>882</v>
      </c>
      <c r="P202" s="6" t="s">
        <v>2</v>
      </c>
      <c r="Q202" s="6" t="s">
        <v>20</v>
      </c>
      <c r="R202" s="12"/>
      <c r="S202" s="12"/>
      <c r="T202" s="12"/>
      <c r="U202" s="12"/>
      <c r="V202" s="12"/>
      <c r="W202" s="12"/>
      <c r="X202" s="6" t="str">
        <f aca="false">IF(COUNT(R202:W202)=6,SUM(R202:W202),"ko‘rilmagan")</f>
        <v>ko‘rilmagan</v>
      </c>
      <c r="Y202" s="12"/>
    </row>
    <row r="203" customFormat="false" ht="23.85" hidden="false" customHeight="false" outlineLevel="0" collapsed="false">
      <c r="A203" s="6" t="s">
        <v>1857</v>
      </c>
      <c r="B203" s="6" t="s">
        <v>326</v>
      </c>
      <c r="C203" s="6"/>
      <c r="D203" s="6" t="str">
        <f aca="false">IFERROR(INDEX(Mundarija!$D:$D,MATCH(B203,Mundarija!$A:$A,0)),"kod topilmadi")</f>
        <v>18.7. Trofoblastik kasalliklardan shubhalanish.</v>
      </c>
      <c r="E203" s="6" t="s">
        <v>1858</v>
      </c>
      <c r="F203" s="11" t="s">
        <v>1859</v>
      </c>
      <c r="G203" s="6" t="s">
        <v>1269</v>
      </c>
      <c r="H203" s="6" t="s">
        <v>1733</v>
      </c>
      <c r="I203" s="6" t="s">
        <v>877</v>
      </c>
      <c r="J203" s="6" t="s">
        <v>877</v>
      </c>
      <c r="K203" s="6" t="s">
        <v>878</v>
      </c>
      <c r="L203" s="6" t="s">
        <v>904</v>
      </c>
      <c r="M203" s="6" t="s">
        <v>1713</v>
      </c>
      <c r="N203" s="12" t="s">
        <v>881</v>
      </c>
      <c r="O203" s="6" t="s">
        <v>882</v>
      </c>
      <c r="P203" s="6" t="s">
        <v>2</v>
      </c>
      <c r="Q203" s="6" t="s">
        <v>20</v>
      </c>
      <c r="R203" s="12"/>
      <c r="S203" s="12"/>
      <c r="T203" s="12"/>
      <c r="U203" s="12"/>
      <c r="V203" s="12"/>
      <c r="W203" s="12"/>
      <c r="X203" s="6" t="str">
        <f aca="false">IF(COUNT(R203:W203)=6,SUM(R203:W203),"ko‘rilmagan")</f>
        <v>ko‘rilmagan</v>
      </c>
      <c r="Y203" s="12"/>
    </row>
    <row r="204" customFormat="false" ht="23.85" hidden="false" customHeight="false" outlineLevel="0" collapsed="false">
      <c r="A204" s="6" t="s">
        <v>1860</v>
      </c>
      <c r="B204" s="6" t="s">
        <v>326</v>
      </c>
      <c r="C204" s="6"/>
      <c r="D204" s="6" t="str">
        <f aca="false">IFERROR(INDEX(Mundarija!$D:$D,MATCH(B204,Mundarija!$A:$A,0)),"kod topilmadi")</f>
        <v>18.7. Trofoblastik kasalliklardan shubhalanish.</v>
      </c>
      <c r="E204" s="6" t="s">
        <v>1861</v>
      </c>
      <c r="F204" s="11" t="s">
        <v>1862</v>
      </c>
      <c r="G204" s="6" t="s">
        <v>1863</v>
      </c>
      <c r="H204" s="6" t="s">
        <v>910</v>
      </c>
      <c r="I204" s="6" t="s">
        <v>877</v>
      </c>
      <c r="J204" s="6" t="s">
        <v>877</v>
      </c>
      <c r="K204" s="6" t="s">
        <v>878</v>
      </c>
      <c r="L204" s="6" t="s">
        <v>904</v>
      </c>
      <c r="M204" s="6" t="s">
        <v>1713</v>
      </c>
      <c r="N204" s="12" t="s">
        <v>881</v>
      </c>
      <c r="O204" s="6" t="s">
        <v>882</v>
      </c>
      <c r="P204" s="6" t="s">
        <v>2</v>
      </c>
      <c r="Q204" s="6" t="s">
        <v>20</v>
      </c>
      <c r="R204" s="12"/>
      <c r="S204" s="12"/>
      <c r="T204" s="12"/>
      <c r="U204" s="12"/>
      <c r="V204" s="12"/>
      <c r="W204" s="12"/>
      <c r="X204" s="6" t="str">
        <f aca="false">IF(COUNT(R204:W204)=6,SUM(R204:W204),"ko‘rilmagan")</f>
        <v>ko‘rilmagan</v>
      </c>
      <c r="Y204" s="12"/>
    </row>
    <row r="205" customFormat="false" ht="23.85" hidden="false" customHeight="false" outlineLevel="0" collapsed="false">
      <c r="A205" s="6" t="s">
        <v>1864</v>
      </c>
      <c r="B205" s="6" t="s">
        <v>328</v>
      </c>
      <c r="C205" s="6" t="s">
        <v>331</v>
      </c>
      <c r="D205" s="6" t="str">
        <f aca="false">IFERROR(INDEX(Mundarija!$D:$D,MATCH(B205,Mundarija!$A:$A,0)),"kod topilmadi")</f>
        <v>19.1. 11–14 haftalik tekshiruv protokoli.</v>
      </c>
      <c r="E205" s="6" t="s">
        <v>1865</v>
      </c>
      <c r="F205" s="11" t="s">
        <v>1866</v>
      </c>
      <c r="G205" s="6" t="s">
        <v>1746</v>
      </c>
      <c r="H205" s="6" t="s">
        <v>1747</v>
      </c>
      <c r="I205" s="6" t="s">
        <v>877</v>
      </c>
      <c r="J205" s="6" t="s">
        <v>877</v>
      </c>
      <c r="K205" s="6" t="s">
        <v>878</v>
      </c>
      <c r="L205" s="6" t="s">
        <v>904</v>
      </c>
      <c r="M205" s="6" t="s">
        <v>912</v>
      </c>
      <c r="N205" s="12" t="s">
        <v>881</v>
      </c>
      <c r="O205" s="6" t="s">
        <v>882</v>
      </c>
      <c r="P205" s="6" t="s">
        <v>2</v>
      </c>
      <c r="Q205" s="6" t="s">
        <v>20</v>
      </c>
      <c r="R205" s="12"/>
      <c r="S205" s="12"/>
      <c r="T205" s="12"/>
      <c r="U205" s="12"/>
      <c r="V205" s="12"/>
      <c r="W205" s="12"/>
      <c r="X205" s="6" t="str">
        <f aca="false">IF(COUNT(R205:W205)=6,SUM(R205:W205),"ko‘rilmagan")</f>
        <v>ko‘rilmagan</v>
      </c>
      <c r="Y205" s="12"/>
    </row>
    <row r="206" customFormat="false" ht="23.85" hidden="false" customHeight="false" outlineLevel="0" collapsed="false">
      <c r="A206" s="6" t="s">
        <v>1867</v>
      </c>
      <c r="B206" s="6" t="s">
        <v>328</v>
      </c>
      <c r="C206" s="6" t="s">
        <v>331</v>
      </c>
      <c r="D206" s="6" t="str">
        <f aca="false">IFERROR(INDEX(Mundarija!$D:$D,MATCH(B206,Mundarija!$A:$A,0)),"kod topilmadi")</f>
        <v>19.1. 11–14 haftalik tekshiruv protokoli.</v>
      </c>
      <c r="E206" s="6" t="s">
        <v>1868</v>
      </c>
      <c r="F206" s="11" t="s">
        <v>1869</v>
      </c>
      <c r="G206" s="6" t="s">
        <v>1628</v>
      </c>
      <c r="H206" s="6" t="s">
        <v>1180</v>
      </c>
      <c r="I206" s="6" t="s">
        <v>877</v>
      </c>
      <c r="J206" s="6" t="s">
        <v>877</v>
      </c>
      <c r="K206" s="6" t="s">
        <v>878</v>
      </c>
      <c r="L206" s="6" t="s">
        <v>904</v>
      </c>
      <c r="M206" s="6" t="s">
        <v>912</v>
      </c>
      <c r="N206" s="12" t="s">
        <v>881</v>
      </c>
      <c r="O206" s="6" t="s">
        <v>882</v>
      </c>
      <c r="P206" s="6" t="s">
        <v>2</v>
      </c>
      <c r="Q206" s="6" t="s">
        <v>20</v>
      </c>
      <c r="R206" s="12"/>
      <c r="S206" s="12"/>
      <c r="T206" s="12"/>
      <c r="U206" s="12"/>
      <c r="V206" s="12"/>
      <c r="W206" s="12"/>
      <c r="X206" s="6" t="str">
        <f aca="false">IF(COUNT(R206:W206)=6,SUM(R206:W206),"ko‘rilmagan")</f>
        <v>ko‘rilmagan</v>
      </c>
      <c r="Y206" s="12"/>
    </row>
    <row r="207" customFormat="false" ht="23.85" hidden="false" customHeight="false" outlineLevel="0" collapsed="false">
      <c r="A207" s="6" t="s">
        <v>1870</v>
      </c>
      <c r="B207" s="6" t="s">
        <v>333</v>
      </c>
      <c r="C207" s="6"/>
      <c r="D207" s="6" t="str">
        <f aca="false">IFERROR(INDEX(Mundarija!$D:$D,MATCH(B207,Mundarija!$A:$A,0)),"kod topilmadi")</f>
        <v>19.3. Burun suyagi, venoz kanal va trikuspid oqimi — ko‘rsatmalar bo‘yicha.</v>
      </c>
      <c r="E207" s="6" t="s">
        <v>1871</v>
      </c>
      <c r="F207" s="11" t="s">
        <v>1872</v>
      </c>
      <c r="G207" s="6" t="s">
        <v>1873</v>
      </c>
      <c r="H207" s="6" t="s">
        <v>1874</v>
      </c>
      <c r="I207" s="6" t="s">
        <v>877</v>
      </c>
      <c r="J207" s="6" t="s">
        <v>877</v>
      </c>
      <c r="K207" s="6" t="s">
        <v>878</v>
      </c>
      <c r="L207" s="6" t="s">
        <v>904</v>
      </c>
      <c r="M207" s="6" t="s">
        <v>891</v>
      </c>
      <c r="N207" s="12" t="s">
        <v>881</v>
      </c>
      <c r="O207" s="6" t="s">
        <v>882</v>
      </c>
      <c r="P207" s="6" t="s">
        <v>2</v>
      </c>
      <c r="Q207" s="6" t="s">
        <v>20</v>
      </c>
      <c r="R207" s="12"/>
      <c r="S207" s="12"/>
      <c r="T207" s="12"/>
      <c r="U207" s="12"/>
      <c r="V207" s="12"/>
      <c r="W207" s="12"/>
      <c r="X207" s="6" t="str">
        <f aca="false">IF(COUNT(R207:W207)=6,SUM(R207:W207),"ko‘rilmagan")</f>
        <v>ko‘rilmagan</v>
      </c>
      <c r="Y207" s="12"/>
    </row>
    <row r="208" customFormat="false" ht="23.85" hidden="false" customHeight="false" outlineLevel="0" collapsed="false">
      <c r="A208" s="6" t="s">
        <v>1875</v>
      </c>
      <c r="B208" s="6" t="s">
        <v>333</v>
      </c>
      <c r="C208" s="6"/>
      <c r="D208" s="6" t="str">
        <f aca="false">IFERROR(INDEX(Mundarija!$D:$D,MATCH(B208,Mundarija!$A:$A,0)),"kod topilmadi")</f>
        <v>19.3. Burun suyagi, venoz kanal va trikuspid oqimi — ko‘rsatmalar bo‘yicha.</v>
      </c>
      <c r="E208" s="6" t="s">
        <v>1876</v>
      </c>
      <c r="F208" s="11" t="s">
        <v>1877</v>
      </c>
      <c r="G208" s="6" t="s">
        <v>1878</v>
      </c>
      <c r="H208" s="6" t="s">
        <v>1879</v>
      </c>
      <c r="I208" s="6" t="s">
        <v>877</v>
      </c>
      <c r="J208" s="6" t="s">
        <v>877</v>
      </c>
      <c r="K208" s="6" t="s">
        <v>878</v>
      </c>
      <c r="L208" s="6" t="s">
        <v>904</v>
      </c>
      <c r="M208" s="6" t="s">
        <v>891</v>
      </c>
      <c r="N208" s="12" t="s">
        <v>881</v>
      </c>
      <c r="O208" s="6" t="s">
        <v>882</v>
      </c>
      <c r="P208" s="6" t="s">
        <v>2</v>
      </c>
      <c r="Q208" s="6" t="s">
        <v>20</v>
      </c>
      <c r="R208" s="12"/>
      <c r="S208" s="12"/>
      <c r="T208" s="12"/>
      <c r="U208" s="12"/>
      <c r="V208" s="12"/>
      <c r="W208" s="12"/>
      <c r="X208" s="6" t="str">
        <f aca="false">IF(COUNT(R208:W208)=6,SUM(R208:W208),"ko‘rilmagan")</f>
        <v>ko‘rilmagan</v>
      </c>
      <c r="Y208" s="12"/>
    </row>
    <row r="209" customFormat="false" ht="23.85" hidden="false" customHeight="false" outlineLevel="0" collapsed="false">
      <c r="A209" s="6" t="s">
        <v>1880</v>
      </c>
      <c r="B209" s="6" t="s">
        <v>333</v>
      </c>
      <c r="C209" s="6"/>
      <c r="D209" s="6" t="str">
        <f aca="false">IFERROR(INDEX(Mundarija!$D:$D,MATCH(B209,Mundarija!$A:$A,0)),"kod topilmadi")</f>
        <v>19.3. Burun suyagi, venoz kanal va trikuspid oqimi — ko‘rsatmalar bo‘yicha.</v>
      </c>
      <c r="E209" s="6" t="s">
        <v>1881</v>
      </c>
      <c r="F209" s="11" t="s">
        <v>1882</v>
      </c>
      <c r="G209" s="6" t="s">
        <v>1883</v>
      </c>
      <c r="H209" s="6" t="s">
        <v>1884</v>
      </c>
      <c r="I209" s="6" t="s">
        <v>877</v>
      </c>
      <c r="J209" s="6" t="s">
        <v>877</v>
      </c>
      <c r="K209" s="6" t="s">
        <v>878</v>
      </c>
      <c r="L209" s="6" t="s">
        <v>1748</v>
      </c>
      <c r="M209" s="6" t="s">
        <v>1713</v>
      </c>
      <c r="N209" s="12" t="s">
        <v>881</v>
      </c>
      <c r="O209" s="6" t="s">
        <v>882</v>
      </c>
      <c r="P209" s="6" t="s">
        <v>2</v>
      </c>
      <c r="Q209" s="6" t="s">
        <v>20</v>
      </c>
      <c r="R209" s="12"/>
      <c r="S209" s="12"/>
      <c r="T209" s="12"/>
      <c r="U209" s="12"/>
      <c r="V209" s="12"/>
      <c r="W209" s="12"/>
      <c r="X209" s="6" t="str">
        <f aca="false">IF(COUNT(R209:W209)=6,SUM(R209:W209),"ko‘rilmagan")</f>
        <v>ko‘rilmagan</v>
      </c>
      <c r="Y209" s="12"/>
    </row>
    <row r="210" customFormat="false" ht="23.85" hidden="false" customHeight="false" outlineLevel="0" collapsed="false">
      <c r="A210" s="6" t="s">
        <v>1885</v>
      </c>
      <c r="B210" s="6" t="s">
        <v>335</v>
      </c>
      <c r="C210" s="6"/>
      <c r="D210" s="6" t="str">
        <f aca="false">IFERROR(INDEX(Mundarija!$D:$D,MATCH(B210,Mundarija!$A:$A,0)),"kod topilmadi")</f>
        <v>19.4. Aneuploidiyalar xavfini sonografik baholash.</v>
      </c>
      <c r="E210" s="6" t="s">
        <v>1886</v>
      </c>
      <c r="F210" s="11" t="s">
        <v>1887</v>
      </c>
      <c r="G210" s="6" t="s">
        <v>1888</v>
      </c>
      <c r="H210" s="6" t="s">
        <v>1889</v>
      </c>
      <c r="I210" s="6" t="s">
        <v>877</v>
      </c>
      <c r="J210" s="6" t="s">
        <v>877</v>
      </c>
      <c r="K210" s="6" t="s">
        <v>878</v>
      </c>
      <c r="L210" s="6" t="s">
        <v>1748</v>
      </c>
      <c r="M210" s="6" t="s">
        <v>912</v>
      </c>
      <c r="N210" s="12" t="s">
        <v>881</v>
      </c>
      <c r="O210" s="6" t="s">
        <v>882</v>
      </c>
      <c r="P210" s="6" t="s">
        <v>2</v>
      </c>
      <c r="Q210" s="6" t="s">
        <v>20</v>
      </c>
      <c r="R210" s="12"/>
      <c r="S210" s="12"/>
      <c r="T210" s="12"/>
      <c r="U210" s="12"/>
      <c r="V210" s="12"/>
      <c r="W210" s="12"/>
      <c r="X210" s="6" t="str">
        <f aca="false">IF(COUNT(R210:W210)=6,SUM(R210:W210),"ko‘rilmagan")</f>
        <v>ko‘rilmagan</v>
      </c>
      <c r="Y210" s="12"/>
    </row>
    <row r="211" customFormat="false" ht="35.05" hidden="false" customHeight="false" outlineLevel="0" collapsed="false">
      <c r="A211" s="6" t="s">
        <v>1890</v>
      </c>
      <c r="B211" s="6" t="s">
        <v>335</v>
      </c>
      <c r="C211" s="6" t="s">
        <v>328</v>
      </c>
      <c r="D211" s="6" t="str">
        <f aca="false">IFERROR(INDEX(Mundarija!$D:$D,MATCH(B211,Mundarija!$A:$A,0)),"kod topilmadi")</f>
        <v>19.4. Aneuploidiyalar xavfini sonografik baholash.</v>
      </c>
      <c r="E211" s="6" t="s">
        <v>1891</v>
      </c>
      <c r="F211" s="11" t="s">
        <v>1892</v>
      </c>
      <c r="G211" s="6" t="s">
        <v>1873</v>
      </c>
      <c r="H211" s="6" t="s">
        <v>1893</v>
      </c>
      <c r="I211" s="6" t="s">
        <v>877</v>
      </c>
      <c r="J211" s="6" t="s">
        <v>877</v>
      </c>
      <c r="K211" s="6" t="s">
        <v>878</v>
      </c>
      <c r="L211" s="6" t="s">
        <v>1748</v>
      </c>
      <c r="M211" s="6" t="s">
        <v>912</v>
      </c>
      <c r="N211" s="12" t="s">
        <v>881</v>
      </c>
      <c r="O211" s="6" t="s">
        <v>882</v>
      </c>
      <c r="P211" s="6" t="s">
        <v>2</v>
      </c>
      <c r="Q211" s="6" t="s">
        <v>20</v>
      </c>
      <c r="R211" s="12"/>
      <c r="S211" s="12"/>
      <c r="T211" s="12"/>
      <c r="U211" s="12"/>
      <c r="V211" s="12"/>
      <c r="W211" s="12"/>
      <c r="X211" s="6" t="str">
        <f aca="false">IF(COUNT(R211:W211)=6,SUM(R211:W211),"ko‘rilmagan")</f>
        <v>ko‘rilmagan</v>
      </c>
      <c r="Y211" s="12"/>
    </row>
    <row r="212" customFormat="false" ht="23.85" hidden="false" customHeight="false" outlineLevel="0" collapsed="false">
      <c r="A212" s="6" t="s">
        <v>1894</v>
      </c>
      <c r="B212" s="6" t="s">
        <v>335</v>
      </c>
      <c r="C212" s="6"/>
      <c r="D212" s="6" t="str">
        <f aca="false">IFERROR(INDEX(Mundarija!$D:$D,MATCH(B212,Mundarija!$A:$A,0)),"kod topilmadi")</f>
        <v>19.4. Aneuploidiyalar xavfini sonografik baholash.</v>
      </c>
      <c r="E212" s="6" t="s">
        <v>1895</v>
      </c>
      <c r="F212" s="11" t="s">
        <v>1896</v>
      </c>
      <c r="G212" s="6" t="s">
        <v>1746</v>
      </c>
      <c r="H212" s="6" t="s">
        <v>1747</v>
      </c>
      <c r="I212" s="6" t="s">
        <v>877</v>
      </c>
      <c r="J212" s="6" t="s">
        <v>877</v>
      </c>
      <c r="K212" s="6" t="s">
        <v>878</v>
      </c>
      <c r="L212" s="6" t="s">
        <v>1748</v>
      </c>
      <c r="M212" s="6" t="s">
        <v>912</v>
      </c>
      <c r="N212" s="12" t="s">
        <v>881</v>
      </c>
      <c r="O212" s="6" t="s">
        <v>882</v>
      </c>
      <c r="P212" s="6" t="s">
        <v>2</v>
      </c>
      <c r="Q212" s="6" t="s">
        <v>20</v>
      </c>
      <c r="R212" s="12"/>
      <c r="S212" s="12"/>
      <c r="T212" s="12"/>
      <c r="U212" s="12"/>
      <c r="V212" s="12"/>
      <c r="W212" s="12"/>
      <c r="X212" s="6" t="str">
        <f aca="false">IF(COUNT(R212:W212)=6,SUM(R212:W212),"ko‘rilmagan")</f>
        <v>ko‘rilmagan</v>
      </c>
      <c r="Y212" s="12"/>
    </row>
    <row r="213" customFormat="false" ht="23.85" hidden="false" customHeight="false" outlineLevel="0" collapsed="false">
      <c r="A213" s="6" t="s">
        <v>1897</v>
      </c>
      <c r="B213" s="6" t="s">
        <v>339</v>
      </c>
      <c r="C213" s="6"/>
      <c r="D213" s="6" t="str">
        <f aca="false">IFERROR(INDEX(Mundarija!$D:$D,MATCH(B213,Mundarija!$A:$A,0)),"kod topilmadi")</f>
        <v>20.1. Homila anatomiyasini tizimli tekshirish.</v>
      </c>
      <c r="E213" s="6" t="s">
        <v>1898</v>
      </c>
      <c r="F213" s="11" t="s">
        <v>1899</v>
      </c>
      <c r="G213" s="6" t="s">
        <v>1649</v>
      </c>
      <c r="H213" s="6" t="s">
        <v>1650</v>
      </c>
      <c r="I213" s="6" t="s">
        <v>877</v>
      </c>
      <c r="J213" s="6" t="s">
        <v>877</v>
      </c>
      <c r="K213" s="6" t="s">
        <v>878</v>
      </c>
      <c r="L213" s="6" t="s">
        <v>879</v>
      </c>
      <c r="M213" s="6" t="s">
        <v>912</v>
      </c>
      <c r="N213" s="12" t="s">
        <v>881</v>
      </c>
      <c r="O213" s="6" t="s">
        <v>882</v>
      </c>
      <c r="P213" s="6" t="s">
        <v>2</v>
      </c>
      <c r="Q213" s="6" t="s">
        <v>20</v>
      </c>
      <c r="R213" s="12"/>
      <c r="S213" s="12"/>
      <c r="T213" s="12"/>
      <c r="U213" s="12"/>
      <c r="V213" s="12"/>
      <c r="W213" s="12"/>
      <c r="X213" s="6" t="str">
        <f aca="false">IF(COUNT(R213:W213)=6,SUM(R213:W213),"ko‘rilmagan")</f>
        <v>ko‘rilmagan</v>
      </c>
      <c r="Y213" s="12"/>
    </row>
    <row r="214" customFormat="false" ht="23.85" hidden="false" customHeight="false" outlineLevel="0" collapsed="false">
      <c r="A214" s="6" t="s">
        <v>1900</v>
      </c>
      <c r="B214" s="6" t="s">
        <v>344</v>
      </c>
      <c r="C214" s="6" t="s">
        <v>342</v>
      </c>
      <c r="D214" s="6" t="str">
        <f aca="false">IFERROR(INDEX(Mundarija!$D:$D,MATCH(B214,Mundarija!$A:$A,0)),"kod topilmadi")</f>
        <v>20.3. Homila vaznini hisoblash va gestatsion yoshga moslik.</v>
      </c>
      <c r="E214" s="6" t="s">
        <v>1901</v>
      </c>
      <c r="F214" s="11" t="s">
        <v>1902</v>
      </c>
      <c r="G214" s="6" t="s">
        <v>1903</v>
      </c>
      <c r="H214" s="6" t="s">
        <v>910</v>
      </c>
      <c r="I214" s="6" t="s">
        <v>877</v>
      </c>
      <c r="J214" s="6" t="s">
        <v>877</v>
      </c>
      <c r="K214" s="6" t="s">
        <v>878</v>
      </c>
      <c r="L214" s="6" t="s">
        <v>904</v>
      </c>
      <c r="M214" s="6" t="s">
        <v>891</v>
      </c>
      <c r="N214" s="12" t="s">
        <v>881</v>
      </c>
      <c r="O214" s="6" t="s">
        <v>882</v>
      </c>
      <c r="P214" s="6" t="s">
        <v>2</v>
      </c>
      <c r="Q214" s="6" t="s">
        <v>20</v>
      </c>
      <c r="R214" s="12"/>
      <c r="S214" s="12"/>
      <c r="T214" s="12"/>
      <c r="U214" s="12"/>
      <c r="V214" s="12"/>
      <c r="W214" s="12"/>
      <c r="X214" s="6" t="str">
        <f aca="false">IF(COUNT(R214:W214)=6,SUM(R214:W214),"ko‘rilmagan")</f>
        <v>ko‘rilmagan</v>
      </c>
      <c r="Y214" s="12"/>
    </row>
    <row r="215" customFormat="false" ht="23.85" hidden="false" customHeight="false" outlineLevel="0" collapsed="false">
      <c r="A215" s="6" t="s">
        <v>1904</v>
      </c>
      <c r="B215" s="6" t="s">
        <v>346</v>
      </c>
      <c r="C215" s="6"/>
      <c r="D215" s="6" t="str">
        <f aca="false">IFERROR(INDEX(Mundarija!$D:$D,MATCH(B215,Mundarija!$A:$A,0)),"kod topilmadi")</f>
        <v>20.4. Bosh miya, umurtqa va yuz anatomiyasi.</v>
      </c>
      <c r="E215" s="6" t="s">
        <v>1905</v>
      </c>
      <c r="F215" s="11" t="s">
        <v>1906</v>
      </c>
      <c r="G215" s="6" t="s">
        <v>1259</v>
      </c>
      <c r="H215" s="6" t="s">
        <v>960</v>
      </c>
      <c r="I215" s="6" t="s">
        <v>877</v>
      </c>
      <c r="J215" s="6" t="s">
        <v>877</v>
      </c>
      <c r="K215" s="6" t="s">
        <v>878</v>
      </c>
      <c r="L215" s="6" t="s">
        <v>904</v>
      </c>
      <c r="M215" s="6" t="s">
        <v>962</v>
      </c>
      <c r="N215" s="12" t="s">
        <v>881</v>
      </c>
      <c r="O215" s="6" t="s">
        <v>882</v>
      </c>
      <c r="P215" s="6" t="s">
        <v>2</v>
      </c>
      <c r="Q215" s="6" t="s">
        <v>20</v>
      </c>
      <c r="R215" s="12"/>
      <c r="S215" s="12"/>
      <c r="T215" s="12"/>
      <c r="U215" s="12"/>
      <c r="V215" s="12"/>
      <c r="W215" s="12"/>
      <c r="X215" s="6" t="str">
        <f aca="false">IF(COUNT(R215:W215)=6,SUM(R215:W215),"ko‘rilmagan")</f>
        <v>ko‘rilmagan</v>
      </c>
      <c r="Y215" s="12"/>
    </row>
    <row r="216" customFormat="false" ht="23.85" hidden="false" customHeight="false" outlineLevel="0" collapsed="false">
      <c r="A216" s="6" t="s">
        <v>1907</v>
      </c>
      <c r="B216" s="6" t="s">
        <v>346</v>
      </c>
      <c r="C216" s="6"/>
      <c r="D216" s="6" t="str">
        <f aca="false">IFERROR(INDEX(Mundarija!$D:$D,MATCH(B216,Mundarija!$A:$A,0)),"kod topilmadi")</f>
        <v>20.4. Bosh miya, umurtqa va yuz anatomiyasi.</v>
      </c>
      <c r="E216" s="6" t="s">
        <v>1908</v>
      </c>
      <c r="F216" s="11" t="s">
        <v>1909</v>
      </c>
      <c r="G216" s="6" t="s">
        <v>1259</v>
      </c>
      <c r="H216" s="6" t="s">
        <v>960</v>
      </c>
      <c r="I216" s="6" t="s">
        <v>877</v>
      </c>
      <c r="J216" s="6" t="s">
        <v>877</v>
      </c>
      <c r="K216" s="6" t="s">
        <v>878</v>
      </c>
      <c r="L216" s="6" t="s">
        <v>904</v>
      </c>
      <c r="M216" s="6" t="s">
        <v>962</v>
      </c>
      <c r="N216" s="12" t="s">
        <v>881</v>
      </c>
      <c r="O216" s="6" t="s">
        <v>882</v>
      </c>
      <c r="P216" s="6" t="s">
        <v>2</v>
      </c>
      <c r="Q216" s="6" t="s">
        <v>20</v>
      </c>
      <c r="R216" s="12"/>
      <c r="S216" s="12"/>
      <c r="T216" s="12"/>
      <c r="U216" s="12"/>
      <c r="V216" s="12"/>
      <c r="W216" s="12"/>
      <c r="X216" s="6" t="str">
        <f aca="false">IF(COUNT(R216:W216)=6,SUM(R216:W216),"ko‘rilmagan")</f>
        <v>ko‘rilmagan</v>
      </c>
      <c r="Y216" s="12"/>
    </row>
    <row r="217" customFormat="false" ht="23.85" hidden="false" customHeight="false" outlineLevel="0" collapsed="false">
      <c r="A217" s="6" t="s">
        <v>1910</v>
      </c>
      <c r="B217" s="6" t="s">
        <v>346</v>
      </c>
      <c r="C217" s="6"/>
      <c r="D217" s="6" t="str">
        <f aca="false">IFERROR(INDEX(Mundarija!$D:$D,MATCH(B217,Mundarija!$A:$A,0)),"kod topilmadi")</f>
        <v>20.4. Bosh miya, umurtqa va yuz anatomiyasi.</v>
      </c>
      <c r="E217" s="6" t="s">
        <v>1911</v>
      </c>
      <c r="F217" s="11" t="s">
        <v>1912</v>
      </c>
      <c r="G217" s="6" t="s">
        <v>1259</v>
      </c>
      <c r="H217" s="6" t="s">
        <v>960</v>
      </c>
      <c r="I217" s="6" t="s">
        <v>877</v>
      </c>
      <c r="J217" s="6" t="s">
        <v>877</v>
      </c>
      <c r="K217" s="6" t="s">
        <v>878</v>
      </c>
      <c r="L217" s="6" t="s">
        <v>904</v>
      </c>
      <c r="M217" s="6" t="s">
        <v>962</v>
      </c>
      <c r="N217" s="12" t="s">
        <v>881</v>
      </c>
      <c r="O217" s="6" t="s">
        <v>882</v>
      </c>
      <c r="P217" s="6" t="s">
        <v>2</v>
      </c>
      <c r="Q217" s="6" t="s">
        <v>20</v>
      </c>
      <c r="R217" s="12"/>
      <c r="S217" s="12"/>
      <c r="T217" s="12"/>
      <c r="U217" s="12"/>
      <c r="V217" s="12"/>
      <c r="W217" s="12"/>
      <c r="X217" s="6" t="str">
        <f aca="false">IF(COUNT(R217:W217)=6,SUM(R217:W217),"ko‘rilmagan")</f>
        <v>ko‘rilmagan</v>
      </c>
      <c r="Y217" s="12"/>
    </row>
    <row r="218" customFormat="false" ht="23.85" hidden="false" customHeight="false" outlineLevel="0" collapsed="false">
      <c r="A218" s="6" t="s">
        <v>1913</v>
      </c>
      <c r="B218" s="6" t="s">
        <v>350</v>
      </c>
      <c r="C218" s="6"/>
      <c r="D218" s="6" t="str">
        <f aca="false">IFERROR(INDEX(Mundarija!$D:$D,MATCH(B218,Mundarija!$A:$A,0)),"kod topilmadi")</f>
        <v>20.6. Qorin a’zolari, buyraklar va siydik pufagi.</v>
      </c>
      <c r="E218" s="6" t="s">
        <v>1914</v>
      </c>
      <c r="F218" s="11" t="s">
        <v>1915</v>
      </c>
      <c r="G218" s="6" t="s">
        <v>1259</v>
      </c>
      <c r="H218" s="6" t="s">
        <v>960</v>
      </c>
      <c r="I218" s="6" t="s">
        <v>877</v>
      </c>
      <c r="J218" s="6" t="s">
        <v>877</v>
      </c>
      <c r="K218" s="6" t="s">
        <v>878</v>
      </c>
      <c r="L218" s="6" t="s">
        <v>904</v>
      </c>
      <c r="M218" s="6" t="s">
        <v>962</v>
      </c>
      <c r="N218" s="12" t="s">
        <v>881</v>
      </c>
      <c r="O218" s="6" t="s">
        <v>882</v>
      </c>
      <c r="P218" s="6" t="s">
        <v>2</v>
      </c>
      <c r="Q218" s="6" t="s">
        <v>20</v>
      </c>
      <c r="R218" s="12"/>
      <c r="S218" s="12"/>
      <c r="T218" s="12"/>
      <c r="U218" s="12"/>
      <c r="V218" s="12"/>
      <c r="W218" s="12"/>
      <c r="X218" s="6" t="str">
        <f aca="false">IF(COUNT(R218:W218)=6,SUM(R218:W218),"ko‘rilmagan")</f>
        <v>ko‘rilmagan</v>
      </c>
      <c r="Y218" s="12"/>
    </row>
    <row r="219" customFormat="false" ht="23.85" hidden="false" customHeight="false" outlineLevel="0" collapsed="false">
      <c r="A219" s="6" t="s">
        <v>1916</v>
      </c>
      <c r="B219" s="6" t="s">
        <v>350</v>
      </c>
      <c r="C219" s="6"/>
      <c r="D219" s="6" t="str">
        <f aca="false">IFERROR(INDEX(Mundarija!$D:$D,MATCH(B219,Mundarija!$A:$A,0)),"kod topilmadi")</f>
        <v>20.6. Qorin a’zolari, buyraklar va siydik pufagi.</v>
      </c>
      <c r="E219" s="6" t="s">
        <v>1917</v>
      </c>
      <c r="F219" s="11" t="s">
        <v>1918</v>
      </c>
      <c r="G219" s="6" t="s">
        <v>1259</v>
      </c>
      <c r="H219" s="6" t="s">
        <v>960</v>
      </c>
      <c r="I219" s="6" t="s">
        <v>877</v>
      </c>
      <c r="J219" s="6" t="s">
        <v>877</v>
      </c>
      <c r="K219" s="6" t="s">
        <v>878</v>
      </c>
      <c r="L219" s="6" t="s">
        <v>904</v>
      </c>
      <c r="M219" s="6" t="s">
        <v>962</v>
      </c>
      <c r="N219" s="12" t="s">
        <v>881</v>
      </c>
      <c r="O219" s="6" t="s">
        <v>882</v>
      </c>
      <c r="P219" s="6" t="s">
        <v>2</v>
      </c>
      <c r="Q219" s="6" t="s">
        <v>20</v>
      </c>
      <c r="R219" s="12"/>
      <c r="S219" s="12"/>
      <c r="T219" s="12"/>
      <c r="U219" s="12"/>
      <c r="V219" s="12"/>
      <c r="W219" s="12"/>
      <c r="X219" s="6" t="str">
        <f aca="false">IF(COUNT(R219:W219)=6,SUM(R219:W219),"ko‘rilmagan")</f>
        <v>ko‘rilmagan</v>
      </c>
      <c r="Y219" s="12"/>
    </row>
    <row r="220" customFormat="false" ht="23.85" hidden="false" customHeight="false" outlineLevel="0" collapsed="false">
      <c r="A220" s="6" t="s">
        <v>1919</v>
      </c>
      <c r="B220" s="6" t="s">
        <v>354</v>
      </c>
      <c r="C220" s="6" t="s">
        <v>376</v>
      </c>
      <c r="D220" s="6" t="str">
        <f aca="false">IFERROR(INDEX(Mundarija!$D:$D,MATCH(B220,Mundarija!$A:$A,0)),"kod topilmadi")</f>
        <v>20.8. Yo‘ldosh, kindik tizimi va amniotik suyuqlik.</v>
      </c>
      <c r="E220" s="6" t="s">
        <v>1920</v>
      </c>
      <c r="F220" s="11" t="s">
        <v>1921</v>
      </c>
      <c r="G220" s="6" t="s">
        <v>1229</v>
      </c>
      <c r="H220" s="6" t="s">
        <v>1771</v>
      </c>
      <c r="I220" s="6" t="s">
        <v>877</v>
      </c>
      <c r="J220" s="6" t="s">
        <v>877</v>
      </c>
      <c r="K220" s="6" t="s">
        <v>878</v>
      </c>
      <c r="L220" s="6" t="s">
        <v>879</v>
      </c>
      <c r="M220" s="6" t="s">
        <v>912</v>
      </c>
      <c r="N220" s="12" t="s">
        <v>881</v>
      </c>
      <c r="O220" s="6" t="s">
        <v>882</v>
      </c>
      <c r="P220" s="6" t="s">
        <v>2</v>
      </c>
      <c r="Q220" s="6" t="s">
        <v>20</v>
      </c>
      <c r="R220" s="12"/>
      <c r="S220" s="12"/>
      <c r="T220" s="12"/>
      <c r="U220" s="12"/>
      <c r="V220" s="12"/>
      <c r="W220" s="12"/>
      <c r="X220" s="6" t="str">
        <f aca="false">IF(COUNT(R220:W220)=6,SUM(R220:W220),"ko‘rilmagan")</f>
        <v>ko‘rilmagan</v>
      </c>
      <c r="Y220" s="12"/>
    </row>
    <row r="221" customFormat="false" ht="23.85" hidden="false" customHeight="false" outlineLevel="0" collapsed="false">
      <c r="A221" s="6" t="s">
        <v>1922</v>
      </c>
      <c r="B221" s="6" t="s">
        <v>357</v>
      </c>
      <c r="C221" s="6"/>
      <c r="D221" s="6" t="str">
        <f aca="false">IFERROR(INDEX(Mundarija!$D:$D,MATCH(B221,Mundarija!$A:$A,0)),"kod topilmadi")</f>
        <v>20.9. Bachadon bo‘yni va muddatidan oldin tug‘ruq xavfi.</v>
      </c>
      <c r="E221" s="6" t="s">
        <v>1923</v>
      </c>
      <c r="F221" s="11" t="s">
        <v>1924</v>
      </c>
      <c r="G221" s="6" t="s">
        <v>1878</v>
      </c>
      <c r="H221" s="6" t="s">
        <v>1879</v>
      </c>
      <c r="I221" s="6" t="s">
        <v>877</v>
      </c>
      <c r="J221" s="6" t="s">
        <v>877</v>
      </c>
      <c r="K221" s="6" t="s">
        <v>878</v>
      </c>
      <c r="L221" s="6" t="s">
        <v>904</v>
      </c>
      <c r="M221" s="6" t="s">
        <v>891</v>
      </c>
      <c r="N221" s="12" t="s">
        <v>881</v>
      </c>
      <c r="O221" s="6" t="s">
        <v>882</v>
      </c>
      <c r="P221" s="6" t="s">
        <v>2</v>
      </c>
      <c r="Q221" s="6" t="s">
        <v>20</v>
      </c>
      <c r="R221" s="12"/>
      <c r="S221" s="12"/>
      <c r="T221" s="12"/>
      <c r="U221" s="12"/>
      <c r="V221" s="12"/>
      <c r="W221" s="12"/>
      <c r="X221" s="6" t="str">
        <f aca="false">IF(COUNT(R221:W221)=6,SUM(R221:W221),"ko‘rilmagan")</f>
        <v>ko‘rilmagan</v>
      </c>
      <c r="Y221" s="12"/>
    </row>
    <row r="222" customFormat="false" ht="35.05" hidden="false" customHeight="false" outlineLevel="0" collapsed="false">
      <c r="A222" s="6" t="s">
        <v>1925</v>
      </c>
      <c r="B222" s="6" t="s">
        <v>357</v>
      </c>
      <c r="C222" s="6"/>
      <c r="D222" s="6" t="str">
        <f aca="false">IFERROR(INDEX(Mundarija!$D:$D,MATCH(B222,Mundarija!$A:$A,0)),"kod topilmadi")</f>
        <v>20.9. Bachadon bo‘yni va muddatidan oldin tug‘ruq xavfi.</v>
      </c>
      <c r="E222" s="6" t="s">
        <v>1926</v>
      </c>
      <c r="F222" s="11" t="s">
        <v>1927</v>
      </c>
      <c r="G222" s="6" t="s">
        <v>1928</v>
      </c>
      <c r="H222" s="6" t="s">
        <v>910</v>
      </c>
      <c r="I222" s="6" t="s">
        <v>877</v>
      </c>
      <c r="J222" s="6" t="s">
        <v>877</v>
      </c>
      <c r="K222" s="6" t="s">
        <v>878</v>
      </c>
      <c r="L222" s="6" t="s">
        <v>904</v>
      </c>
      <c r="M222" s="6" t="s">
        <v>912</v>
      </c>
      <c r="N222" s="12" t="s">
        <v>881</v>
      </c>
      <c r="O222" s="6" t="s">
        <v>882</v>
      </c>
      <c r="P222" s="6" t="s">
        <v>2</v>
      </c>
      <c r="Q222" s="6" t="s">
        <v>20</v>
      </c>
      <c r="R222" s="12"/>
      <c r="S222" s="12"/>
      <c r="T222" s="12"/>
      <c r="U222" s="12"/>
      <c r="V222" s="12"/>
      <c r="W222" s="12"/>
      <c r="X222" s="6" t="str">
        <f aca="false">IF(COUNT(R222:W222)=6,SUM(R222:W222),"ko‘rilmagan")</f>
        <v>ko‘rilmagan</v>
      </c>
      <c r="Y222" s="12"/>
    </row>
    <row r="223" customFormat="false" ht="23.85" hidden="false" customHeight="false" outlineLevel="0" collapsed="false">
      <c r="A223" s="6" t="s">
        <v>1929</v>
      </c>
      <c r="B223" s="6" t="s">
        <v>359</v>
      </c>
      <c r="C223" s="6"/>
      <c r="D223" s="6" t="str">
        <f aca="false">IFERROR(INDEX(Mundarija!$D:$D,MATCH(B223,Mundarija!$A:$A,0)),"kod topilmadi")</f>
        <v>20.10. Ko‘p homilali homiladorlik.</v>
      </c>
      <c r="E223" s="6" t="s">
        <v>1930</v>
      </c>
      <c r="F223" s="11" t="s">
        <v>1931</v>
      </c>
      <c r="G223" s="6" t="s">
        <v>1932</v>
      </c>
      <c r="H223" s="6" t="s">
        <v>1933</v>
      </c>
      <c r="I223" s="6" t="s">
        <v>877</v>
      </c>
      <c r="J223" s="6" t="s">
        <v>877</v>
      </c>
      <c r="K223" s="6" t="s">
        <v>878</v>
      </c>
      <c r="L223" s="6" t="s">
        <v>879</v>
      </c>
      <c r="M223" s="6" t="s">
        <v>912</v>
      </c>
      <c r="N223" s="12" t="s">
        <v>881</v>
      </c>
      <c r="O223" s="6" t="s">
        <v>882</v>
      </c>
      <c r="P223" s="6" t="s">
        <v>2</v>
      </c>
      <c r="Q223" s="6" t="s">
        <v>20</v>
      </c>
      <c r="R223" s="12"/>
      <c r="S223" s="12"/>
      <c r="T223" s="12"/>
      <c r="U223" s="12"/>
      <c r="V223" s="12"/>
      <c r="W223" s="12"/>
      <c r="X223" s="6" t="str">
        <f aca="false">IF(COUNT(R223:W223)=6,SUM(R223:W223),"ko‘rilmagan")</f>
        <v>ko‘rilmagan</v>
      </c>
      <c r="Y223" s="12"/>
    </row>
    <row r="224" customFormat="false" ht="23.85" hidden="false" customHeight="false" outlineLevel="0" collapsed="false">
      <c r="A224" s="6" t="s">
        <v>1934</v>
      </c>
      <c r="B224" s="6" t="s">
        <v>361</v>
      </c>
      <c r="C224" s="6" t="s">
        <v>344</v>
      </c>
      <c r="D224" s="6" t="str">
        <f aca="false">IFERROR(INDEX(Mundarija!$D:$D,MATCH(B224,Mundarija!$A:$A,0)),"kod topilmadi")</f>
        <v>20.11. Homila o‘sishining cheklanishi (FGR) va makrosomiya.</v>
      </c>
      <c r="E224" s="6" t="s">
        <v>1935</v>
      </c>
      <c r="F224" s="11" t="s">
        <v>1936</v>
      </c>
      <c r="G224" s="6" t="s">
        <v>1746</v>
      </c>
      <c r="H224" s="6" t="s">
        <v>1747</v>
      </c>
      <c r="I224" s="6" t="s">
        <v>877</v>
      </c>
      <c r="J224" s="6" t="s">
        <v>877</v>
      </c>
      <c r="K224" s="6" t="s">
        <v>878</v>
      </c>
      <c r="L224" s="6" t="s">
        <v>1748</v>
      </c>
      <c r="M224" s="6" t="s">
        <v>912</v>
      </c>
      <c r="N224" s="12" t="s">
        <v>881</v>
      </c>
      <c r="O224" s="6" t="s">
        <v>882</v>
      </c>
      <c r="P224" s="6" t="s">
        <v>2</v>
      </c>
      <c r="Q224" s="6" t="s">
        <v>20</v>
      </c>
      <c r="R224" s="12"/>
      <c r="S224" s="12"/>
      <c r="T224" s="12"/>
      <c r="U224" s="12"/>
      <c r="V224" s="12"/>
      <c r="W224" s="12"/>
      <c r="X224" s="6" t="str">
        <f aca="false">IF(COUNT(R224:W224)=6,SUM(R224:W224),"ko‘rilmagan")</f>
        <v>ko‘rilmagan</v>
      </c>
      <c r="Y224" s="12"/>
    </row>
    <row r="225" customFormat="false" ht="23.85" hidden="false" customHeight="false" outlineLevel="0" collapsed="false">
      <c r="A225" s="6" t="s">
        <v>1937</v>
      </c>
      <c r="B225" s="6" t="s">
        <v>361</v>
      </c>
      <c r="C225" s="6"/>
      <c r="D225" s="6" t="str">
        <f aca="false">IFERROR(INDEX(Mundarija!$D:$D,MATCH(B225,Mundarija!$A:$A,0)),"kod topilmadi")</f>
        <v>20.11. Homila o‘sishining cheklanishi (FGR) va makrosomiya.</v>
      </c>
      <c r="E225" s="6" t="s">
        <v>1938</v>
      </c>
      <c r="F225" s="11" t="s">
        <v>1939</v>
      </c>
      <c r="G225" s="6" t="s">
        <v>1940</v>
      </c>
      <c r="H225" s="6" t="s">
        <v>1941</v>
      </c>
      <c r="I225" s="6" t="s">
        <v>877</v>
      </c>
      <c r="J225" s="6" t="s">
        <v>877</v>
      </c>
      <c r="K225" s="6" t="s">
        <v>878</v>
      </c>
      <c r="L225" s="6" t="s">
        <v>1748</v>
      </c>
      <c r="M225" s="6" t="s">
        <v>912</v>
      </c>
      <c r="N225" s="12" t="s">
        <v>881</v>
      </c>
      <c r="O225" s="6" t="s">
        <v>882</v>
      </c>
      <c r="P225" s="6" t="s">
        <v>2</v>
      </c>
      <c r="Q225" s="6" t="s">
        <v>20</v>
      </c>
      <c r="R225" s="12"/>
      <c r="S225" s="12"/>
      <c r="T225" s="12"/>
      <c r="U225" s="12"/>
      <c r="V225" s="12"/>
      <c r="W225" s="12"/>
      <c r="X225" s="6" t="str">
        <f aca="false">IF(COUNT(R225:W225)=6,SUM(R225:W225),"ko‘rilmagan")</f>
        <v>ko‘rilmagan</v>
      </c>
      <c r="Y225" s="12"/>
    </row>
    <row r="226" customFormat="false" ht="23.85" hidden="false" customHeight="false" outlineLevel="0" collapsed="false">
      <c r="A226" s="6" t="s">
        <v>1942</v>
      </c>
      <c r="B226" s="6" t="s">
        <v>363</v>
      </c>
      <c r="C226" s="6" t="s">
        <v>354</v>
      </c>
      <c r="D226" s="6" t="str">
        <f aca="false">IFERROR(INDEX(Mundarija!$D:$D,MATCH(B226,Mundarija!$A:$A,0)),"kod topilmadi")</f>
        <v>20.12. Homila anomaliyalarini aniqlash va yo‘naltirish.</v>
      </c>
      <c r="E226" s="6" t="s">
        <v>1943</v>
      </c>
      <c r="F226" s="11" t="s">
        <v>1944</v>
      </c>
      <c r="G226" s="6" t="s">
        <v>1259</v>
      </c>
      <c r="H226" s="6" t="s">
        <v>960</v>
      </c>
      <c r="I226" s="6" t="s">
        <v>877</v>
      </c>
      <c r="J226" s="6" t="s">
        <v>877</v>
      </c>
      <c r="K226" s="6" t="s">
        <v>878</v>
      </c>
      <c r="L226" s="6" t="s">
        <v>904</v>
      </c>
      <c r="M226" s="6" t="s">
        <v>962</v>
      </c>
      <c r="N226" s="12" t="s">
        <v>881</v>
      </c>
      <c r="O226" s="6" t="s">
        <v>882</v>
      </c>
      <c r="P226" s="6" t="s">
        <v>2</v>
      </c>
      <c r="Q226" s="6" t="s">
        <v>20</v>
      </c>
      <c r="R226" s="12"/>
      <c r="S226" s="12"/>
      <c r="T226" s="12"/>
      <c r="U226" s="12"/>
      <c r="V226" s="12"/>
      <c r="W226" s="12"/>
      <c r="X226" s="6" t="str">
        <f aca="false">IF(COUNT(R226:W226)=6,SUM(R226:W226),"ko‘rilmagan")</f>
        <v>ko‘rilmagan</v>
      </c>
      <c r="Y226" s="12"/>
    </row>
    <row r="227" customFormat="false" ht="23.85" hidden="false" customHeight="false" outlineLevel="0" collapsed="false">
      <c r="A227" s="6" t="s">
        <v>1945</v>
      </c>
      <c r="B227" s="6" t="s">
        <v>365</v>
      </c>
      <c r="C227" s="6" t="s">
        <v>374</v>
      </c>
      <c r="D227" s="6" t="str">
        <f aca="false">IFERROR(INDEX(Mundarija!$D:$D,MATCH(B227,Mundarija!$A:$A,0)),"kod topilmadi")</f>
        <v>21.1. Bachadon arteriyalari Doppleri.</v>
      </c>
      <c r="E227" s="6" t="s">
        <v>1946</v>
      </c>
      <c r="F227" s="11" t="s">
        <v>1947</v>
      </c>
      <c r="G227" s="6" t="s">
        <v>1888</v>
      </c>
      <c r="H227" s="6" t="s">
        <v>1889</v>
      </c>
      <c r="I227" s="6" t="s">
        <v>877</v>
      </c>
      <c r="J227" s="6" t="s">
        <v>877</v>
      </c>
      <c r="K227" s="6" t="s">
        <v>878</v>
      </c>
      <c r="L227" s="6" t="s">
        <v>1748</v>
      </c>
      <c r="M227" s="6" t="s">
        <v>891</v>
      </c>
      <c r="N227" s="12" t="s">
        <v>881</v>
      </c>
      <c r="O227" s="6" t="s">
        <v>882</v>
      </c>
      <c r="P227" s="6" t="s">
        <v>2</v>
      </c>
      <c r="Q227" s="6" t="s">
        <v>20</v>
      </c>
      <c r="R227" s="12"/>
      <c r="S227" s="12"/>
      <c r="T227" s="12"/>
      <c r="U227" s="12"/>
      <c r="V227" s="12"/>
      <c r="W227" s="12"/>
      <c r="X227" s="6" t="str">
        <f aca="false">IF(COUNT(R227:W227)=6,SUM(R227:W227),"ko‘rilmagan")</f>
        <v>ko‘rilmagan</v>
      </c>
      <c r="Y227" s="12"/>
    </row>
    <row r="228" customFormat="false" ht="23.85" hidden="false" customHeight="false" outlineLevel="0" collapsed="false">
      <c r="A228" s="6" t="s">
        <v>1948</v>
      </c>
      <c r="B228" s="6" t="s">
        <v>365</v>
      </c>
      <c r="C228" s="6"/>
      <c r="D228" s="6" t="str">
        <f aca="false">IFERROR(INDEX(Mundarija!$D:$D,MATCH(B228,Mundarija!$A:$A,0)),"kod topilmadi")</f>
        <v>21.1. Bachadon arteriyalari Doppleri.</v>
      </c>
      <c r="E228" s="6" t="s">
        <v>1949</v>
      </c>
      <c r="F228" s="11" t="s">
        <v>1950</v>
      </c>
      <c r="G228" s="6" t="s">
        <v>1259</v>
      </c>
      <c r="H228" s="6" t="s">
        <v>960</v>
      </c>
      <c r="I228" s="6" t="s">
        <v>877</v>
      </c>
      <c r="J228" s="6" t="s">
        <v>877</v>
      </c>
      <c r="K228" s="6" t="s">
        <v>878</v>
      </c>
      <c r="L228" s="6" t="s">
        <v>904</v>
      </c>
      <c r="M228" s="6" t="s">
        <v>891</v>
      </c>
      <c r="N228" s="12" t="s">
        <v>881</v>
      </c>
      <c r="O228" s="6" t="s">
        <v>882</v>
      </c>
      <c r="P228" s="6" t="s">
        <v>2</v>
      </c>
      <c r="Q228" s="6" t="s">
        <v>20</v>
      </c>
      <c r="R228" s="12"/>
      <c r="S228" s="12"/>
      <c r="T228" s="12"/>
      <c r="U228" s="12"/>
      <c r="V228" s="12"/>
      <c r="W228" s="12"/>
      <c r="X228" s="6" t="str">
        <f aca="false">IF(COUNT(R228:W228)=6,SUM(R228:W228),"ko‘rilmagan")</f>
        <v>ko‘rilmagan</v>
      </c>
      <c r="Y228" s="12"/>
    </row>
    <row r="229" customFormat="false" ht="23.85" hidden="false" customHeight="false" outlineLevel="0" collapsed="false">
      <c r="A229" s="6" t="s">
        <v>1951</v>
      </c>
      <c r="B229" s="6" t="s">
        <v>365</v>
      </c>
      <c r="C229" s="6"/>
      <c r="D229" s="6" t="str">
        <f aca="false">IFERROR(INDEX(Mundarija!$D:$D,MATCH(B229,Mundarija!$A:$A,0)),"kod topilmadi")</f>
        <v>21.1. Bachadon arteriyalari Doppleri.</v>
      </c>
      <c r="E229" s="6" t="s">
        <v>1952</v>
      </c>
      <c r="F229" s="11" t="s">
        <v>1953</v>
      </c>
      <c r="G229" s="6" t="s">
        <v>1259</v>
      </c>
      <c r="H229" s="6" t="s">
        <v>960</v>
      </c>
      <c r="I229" s="6" t="s">
        <v>877</v>
      </c>
      <c r="J229" s="6" t="s">
        <v>877</v>
      </c>
      <c r="K229" s="6" t="s">
        <v>878</v>
      </c>
      <c r="L229" s="6" t="s">
        <v>904</v>
      </c>
      <c r="M229" s="6" t="s">
        <v>962</v>
      </c>
      <c r="N229" s="12" t="s">
        <v>881</v>
      </c>
      <c r="O229" s="6" t="s">
        <v>882</v>
      </c>
      <c r="P229" s="6" t="s">
        <v>2</v>
      </c>
      <c r="Q229" s="6" t="s">
        <v>20</v>
      </c>
      <c r="R229" s="12"/>
      <c r="S229" s="12"/>
      <c r="T229" s="12"/>
      <c r="U229" s="12"/>
      <c r="V229" s="12"/>
      <c r="W229" s="12"/>
      <c r="X229" s="6" t="str">
        <f aca="false">IF(COUNT(R229:W229)=6,SUM(R229:W229),"ko‘rilmagan")</f>
        <v>ko‘rilmagan</v>
      </c>
      <c r="Y229" s="12"/>
    </row>
    <row r="230" customFormat="false" ht="23.85" hidden="false" customHeight="false" outlineLevel="0" collapsed="false">
      <c r="A230" s="6" t="s">
        <v>1954</v>
      </c>
      <c r="B230" s="6" t="s">
        <v>368</v>
      </c>
      <c r="C230" s="6"/>
      <c r="D230" s="6" t="str">
        <f aca="false">IFERROR(INDEX(Mundarija!$D:$D,MATCH(B230,Mundarija!$A:$A,0)),"kod topilmadi")</f>
        <v>21.2. Kindik arteriyasi Doppleri.</v>
      </c>
      <c r="E230" s="6" t="s">
        <v>1955</v>
      </c>
      <c r="F230" s="11" t="s">
        <v>1956</v>
      </c>
      <c r="G230" s="6" t="s">
        <v>1259</v>
      </c>
      <c r="H230" s="6" t="s">
        <v>960</v>
      </c>
      <c r="I230" s="6" t="s">
        <v>877</v>
      </c>
      <c r="J230" s="6" t="s">
        <v>877</v>
      </c>
      <c r="K230" s="6" t="s">
        <v>878</v>
      </c>
      <c r="L230" s="6" t="s">
        <v>904</v>
      </c>
      <c r="M230" s="6" t="s">
        <v>962</v>
      </c>
      <c r="N230" s="12" t="s">
        <v>881</v>
      </c>
      <c r="O230" s="6" t="s">
        <v>882</v>
      </c>
      <c r="P230" s="6" t="s">
        <v>2</v>
      </c>
      <c r="Q230" s="6" t="s">
        <v>20</v>
      </c>
      <c r="R230" s="12"/>
      <c r="S230" s="12"/>
      <c r="T230" s="12"/>
      <c r="U230" s="12"/>
      <c r="V230" s="12"/>
      <c r="W230" s="12"/>
      <c r="X230" s="6" t="str">
        <f aca="false">IF(COUNT(R230:W230)=6,SUM(R230:W230),"ko‘rilmagan")</f>
        <v>ko‘rilmagan</v>
      </c>
      <c r="Y230" s="12"/>
    </row>
    <row r="231" customFormat="false" ht="23.85" hidden="false" customHeight="false" outlineLevel="0" collapsed="false">
      <c r="A231" s="6" t="s">
        <v>1957</v>
      </c>
      <c r="B231" s="6" t="s">
        <v>368</v>
      </c>
      <c r="C231" s="6"/>
      <c r="D231" s="6" t="str">
        <f aca="false">IFERROR(INDEX(Mundarija!$D:$D,MATCH(B231,Mundarija!$A:$A,0)),"kod topilmadi")</f>
        <v>21.2. Kindik arteriyasi Doppleri.</v>
      </c>
      <c r="E231" s="6" t="s">
        <v>1958</v>
      </c>
      <c r="F231" s="11" t="s">
        <v>1959</v>
      </c>
      <c r="G231" s="6" t="s">
        <v>1838</v>
      </c>
      <c r="H231" s="6" t="s">
        <v>1726</v>
      </c>
      <c r="I231" s="6" t="s">
        <v>877</v>
      </c>
      <c r="J231" s="6" t="s">
        <v>877</v>
      </c>
      <c r="K231" s="6" t="s">
        <v>878</v>
      </c>
      <c r="L231" s="6" t="s">
        <v>904</v>
      </c>
      <c r="M231" s="6" t="s">
        <v>912</v>
      </c>
      <c r="N231" s="12" t="s">
        <v>881</v>
      </c>
      <c r="O231" s="6" t="s">
        <v>882</v>
      </c>
      <c r="P231" s="6" t="s">
        <v>2</v>
      </c>
      <c r="Q231" s="6" t="s">
        <v>20</v>
      </c>
      <c r="R231" s="12"/>
      <c r="S231" s="12"/>
      <c r="T231" s="12"/>
      <c r="U231" s="12"/>
      <c r="V231" s="12"/>
      <c r="W231" s="12"/>
      <c r="X231" s="6" t="str">
        <f aca="false">IF(COUNT(R231:W231)=6,SUM(R231:W231),"ko‘rilmagan")</f>
        <v>ko‘rilmagan</v>
      </c>
      <c r="Y231" s="12"/>
    </row>
    <row r="232" customFormat="false" ht="23.85" hidden="false" customHeight="false" outlineLevel="0" collapsed="false">
      <c r="A232" s="6" t="s">
        <v>1960</v>
      </c>
      <c r="B232" s="6" t="s">
        <v>370</v>
      </c>
      <c r="C232" s="6"/>
      <c r="D232" s="6" t="str">
        <f aca="false">IFERROR(INDEX(Mundarija!$D:$D,MATCH(B232,Mundarija!$A:$A,0)),"kod topilmadi")</f>
        <v>21.3. O‘rta miya arteriyasi (MCA) va klinik ko‘rsatmalar.</v>
      </c>
      <c r="E232" s="6" t="s">
        <v>1961</v>
      </c>
      <c r="F232" s="11" t="s">
        <v>1962</v>
      </c>
      <c r="G232" s="6" t="s">
        <v>1259</v>
      </c>
      <c r="H232" s="6" t="s">
        <v>960</v>
      </c>
      <c r="I232" s="6" t="s">
        <v>877</v>
      </c>
      <c r="J232" s="6" t="s">
        <v>877</v>
      </c>
      <c r="K232" s="6" t="s">
        <v>878</v>
      </c>
      <c r="L232" s="6" t="s">
        <v>904</v>
      </c>
      <c r="M232" s="6" t="s">
        <v>962</v>
      </c>
      <c r="N232" s="12" t="s">
        <v>881</v>
      </c>
      <c r="O232" s="6" t="s">
        <v>882</v>
      </c>
      <c r="P232" s="6" t="s">
        <v>2</v>
      </c>
      <c r="Q232" s="6" t="s">
        <v>20</v>
      </c>
      <c r="R232" s="12"/>
      <c r="S232" s="12"/>
      <c r="T232" s="12"/>
      <c r="U232" s="12"/>
      <c r="V232" s="12"/>
      <c r="W232" s="12"/>
      <c r="X232" s="6" t="str">
        <f aca="false">IF(COUNT(R232:W232)=6,SUM(R232:W232),"ko‘rilmagan")</f>
        <v>ko‘rilmagan</v>
      </c>
      <c r="Y232" s="12"/>
    </row>
    <row r="233" customFormat="false" ht="23.85" hidden="false" customHeight="false" outlineLevel="0" collapsed="false">
      <c r="A233" s="6" t="s">
        <v>1963</v>
      </c>
      <c r="B233" s="6" t="s">
        <v>370</v>
      </c>
      <c r="C233" s="6" t="s">
        <v>372</v>
      </c>
      <c r="D233" s="6" t="str">
        <f aca="false">IFERROR(INDEX(Mundarija!$D:$D,MATCH(B233,Mundarija!$A:$A,0)),"kod topilmadi")</f>
        <v>21.3. O‘rta miya arteriyasi (MCA) va klinik ko‘rsatmalar.</v>
      </c>
      <c r="E233" s="6" t="s">
        <v>1964</v>
      </c>
      <c r="F233" s="11" t="s">
        <v>1965</v>
      </c>
      <c r="G233" s="6" t="s">
        <v>1878</v>
      </c>
      <c r="H233" s="6" t="s">
        <v>1879</v>
      </c>
      <c r="I233" s="6" t="s">
        <v>877</v>
      </c>
      <c r="J233" s="6" t="s">
        <v>877</v>
      </c>
      <c r="K233" s="6" t="s">
        <v>878</v>
      </c>
      <c r="L233" s="6" t="s">
        <v>904</v>
      </c>
      <c r="M233" s="6" t="s">
        <v>912</v>
      </c>
      <c r="N233" s="12" t="s">
        <v>881</v>
      </c>
      <c r="O233" s="6" t="s">
        <v>882</v>
      </c>
      <c r="P233" s="6" t="s">
        <v>2</v>
      </c>
      <c r="Q233" s="6" t="s">
        <v>20</v>
      </c>
      <c r="R233" s="12"/>
      <c r="S233" s="12"/>
      <c r="T233" s="12"/>
      <c r="U233" s="12"/>
      <c r="V233" s="12"/>
      <c r="W233" s="12"/>
      <c r="X233" s="6" t="str">
        <f aca="false">IF(COUNT(R233:W233)=6,SUM(R233:W233),"ko‘rilmagan")</f>
        <v>ko‘rilmagan</v>
      </c>
      <c r="Y233" s="12"/>
    </row>
    <row r="234" customFormat="false" ht="23.85" hidden="false" customHeight="false" outlineLevel="0" collapsed="false">
      <c r="A234" s="6" t="s">
        <v>1966</v>
      </c>
      <c r="B234" s="6" t="s">
        <v>372</v>
      </c>
      <c r="C234" s="6"/>
      <c r="D234" s="6" t="str">
        <f aca="false">IFERROR(INDEX(Mundarija!$D:$D,MATCH(B234,Mundarija!$A:$A,0)),"kod topilmadi")</f>
        <v>21.4. Serebroplatsentar nisbat va gemodinamik baholash.</v>
      </c>
      <c r="E234" s="6" t="s">
        <v>1967</v>
      </c>
      <c r="F234" s="11" t="s">
        <v>1968</v>
      </c>
      <c r="G234" s="6" t="s">
        <v>1969</v>
      </c>
      <c r="H234" s="6" t="s">
        <v>1970</v>
      </c>
      <c r="I234" s="6" t="s">
        <v>877</v>
      </c>
      <c r="J234" s="6" t="s">
        <v>877</v>
      </c>
      <c r="K234" s="6" t="s">
        <v>878</v>
      </c>
      <c r="L234" s="6" t="s">
        <v>904</v>
      </c>
      <c r="M234" s="6" t="s">
        <v>912</v>
      </c>
      <c r="N234" s="12" t="s">
        <v>881</v>
      </c>
      <c r="O234" s="6" t="s">
        <v>882</v>
      </c>
      <c r="P234" s="6" t="s">
        <v>2</v>
      </c>
      <c r="Q234" s="6" t="s">
        <v>20</v>
      </c>
      <c r="R234" s="12"/>
      <c r="S234" s="12"/>
      <c r="T234" s="12"/>
      <c r="U234" s="12"/>
      <c r="V234" s="12"/>
      <c r="W234" s="12"/>
      <c r="X234" s="6" t="str">
        <f aca="false">IF(COUNT(R234:W234)=6,SUM(R234:W234),"ko‘rilmagan")</f>
        <v>ko‘rilmagan</v>
      </c>
      <c r="Y234" s="12"/>
    </row>
    <row r="235" customFormat="false" ht="23.85" hidden="false" customHeight="false" outlineLevel="0" collapsed="false">
      <c r="A235" s="6" t="s">
        <v>1971</v>
      </c>
      <c r="B235" s="6" t="s">
        <v>374</v>
      </c>
      <c r="C235" s="6" t="s">
        <v>361</v>
      </c>
      <c r="D235" s="6" t="str">
        <f aca="false">IFERROR(INDEX(Mundarija!$D:$D,MATCH(B235,Mundarija!$A:$A,0)),"kod topilmadi")</f>
        <v>21.5. FGR va preeklampsiya xavfini baholashda Doppler.</v>
      </c>
      <c r="E235" s="6" t="s">
        <v>1972</v>
      </c>
      <c r="F235" s="11" t="s">
        <v>1973</v>
      </c>
      <c r="G235" s="6" t="s">
        <v>1974</v>
      </c>
      <c r="H235" s="6" t="s">
        <v>1975</v>
      </c>
      <c r="I235" s="6" t="s">
        <v>877</v>
      </c>
      <c r="J235" s="6" t="s">
        <v>877</v>
      </c>
      <c r="K235" s="6" t="s">
        <v>878</v>
      </c>
      <c r="L235" s="6" t="s">
        <v>1748</v>
      </c>
      <c r="M235" s="6" t="s">
        <v>912</v>
      </c>
      <c r="N235" s="12" t="s">
        <v>881</v>
      </c>
      <c r="O235" s="6" t="s">
        <v>882</v>
      </c>
      <c r="P235" s="6" t="s">
        <v>2</v>
      </c>
      <c r="Q235" s="6" t="s">
        <v>20</v>
      </c>
      <c r="R235" s="12"/>
      <c r="S235" s="12"/>
      <c r="T235" s="12"/>
      <c r="U235" s="12"/>
      <c r="V235" s="12"/>
      <c r="W235" s="12"/>
      <c r="X235" s="6" t="str">
        <f aca="false">IF(COUNT(R235:W235)=6,SUM(R235:W235),"ko‘rilmagan")</f>
        <v>ko‘rilmagan</v>
      </c>
      <c r="Y235" s="12"/>
    </row>
    <row r="236" customFormat="false" ht="23.85" hidden="false" customHeight="false" outlineLevel="0" collapsed="false">
      <c r="A236" s="6" t="s">
        <v>1976</v>
      </c>
      <c r="B236" s="6" t="s">
        <v>374</v>
      </c>
      <c r="C236" s="6" t="s">
        <v>1977</v>
      </c>
      <c r="D236" s="6" t="str">
        <f aca="false">IFERROR(INDEX(Mundarija!$D:$D,MATCH(B236,Mundarija!$A:$A,0)),"kod topilmadi")</f>
        <v>21.5. FGR va preeklampsiya xavfini baholashda Doppler.</v>
      </c>
      <c r="E236" s="6" t="s">
        <v>1978</v>
      </c>
      <c r="F236" s="11" t="s">
        <v>1979</v>
      </c>
      <c r="G236" s="6" t="s">
        <v>1229</v>
      </c>
      <c r="H236" s="6" t="s">
        <v>1771</v>
      </c>
      <c r="I236" s="6" t="s">
        <v>877</v>
      </c>
      <c r="J236" s="6" t="s">
        <v>877</v>
      </c>
      <c r="K236" s="6" t="s">
        <v>878</v>
      </c>
      <c r="L236" s="6" t="s">
        <v>904</v>
      </c>
      <c r="M236" s="6" t="s">
        <v>912</v>
      </c>
      <c r="N236" s="12" t="s">
        <v>881</v>
      </c>
      <c r="O236" s="6" t="s">
        <v>882</v>
      </c>
      <c r="P236" s="6" t="s">
        <v>2</v>
      </c>
      <c r="Q236" s="6" t="s">
        <v>20</v>
      </c>
      <c r="R236" s="12"/>
      <c r="S236" s="12"/>
      <c r="T236" s="12"/>
      <c r="U236" s="12"/>
      <c r="V236" s="12"/>
      <c r="W236" s="12"/>
      <c r="X236" s="6" t="str">
        <f aca="false">IF(COUNT(R236:W236)=6,SUM(R236:W236),"ko‘rilmagan")</f>
        <v>ko‘rilmagan</v>
      </c>
      <c r="Y236" s="12"/>
    </row>
    <row r="237" customFormat="false" ht="23.85" hidden="false" customHeight="false" outlineLevel="0" collapsed="false">
      <c r="A237" s="6" t="s">
        <v>1980</v>
      </c>
      <c r="B237" s="6" t="s">
        <v>374</v>
      </c>
      <c r="C237" s="6"/>
      <c r="D237" s="6" t="str">
        <f aca="false">IFERROR(INDEX(Mundarija!$D:$D,MATCH(B237,Mundarija!$A:$A,0)),"kod topilmadi")</f>
        <v>21.5. FGR va preeklampsiya xavfini baholashda Doppler.</v>
      </c>
      <c r="E237" s="6" t="s">
        <v>1981</v>
      </c>
      <c r="F237" s="11" t="s">
        <v>1982</v>
      </c>
      <c r="G237" s="6" t="s">
        <v>1504</v>
      </c>
      <c r="H237" s="6" t="s">
        <v>1779</v>
      </c>
      <c r="I237" s="6" t="s">
        <v>877</v>
      </c>
      <c r="J237" s="6" t="s">
        <v>877</v>
      </c>
      <c r="K237" s="6" t="s">
        <v>878</v>
      </c>
      <c r="L237" s="6" t="s">
        <v>904</v>
      </c>
      <c r="M237" s="6" t="s">
        <v>891</v>
      </c>
      <c r="N237" s="12" t="s">
        <v>881</v>
      </c>
      <c r="O237" s="6" t="s">
        <v>882</v>
      </c>
      <c r="P237" s="6" t="s">
        <v>2</v>
      </c>
      <c r="Q237" s="6" t="s">
        <v>20</v>
      </c>
      <c r="R237" s="12"/>
      <c r="S237" s="12"/>
      <c r="T237" s="12"/>
      <c r="U237" s="12"/>
      <c r="V237" s="12"/>
      <c r="W237" s="12"/>
      <c r="X237" s="6" t="str">
        <f aca="false">IF(COUNT(R237:W237)=6,SUM(R237:W237),"ko‘rilmagan")</f>
        <v>ko‘rilmagan</v>
      </c>
      <c r="Y237" s="12"/>
    </row>
    <row r="238" customFormat="false" ht="23.85" hidden="false" customHeight="false" outlineLevel="0" collapsed="false">
      <c r="A238" s="6" t="s">
        <v>1983</v>
      </c>
      <c r="B238" s="6" t="s">
        <v>376</v>
      </c>
      <c r="C238" s="6"/>
      <c r="D238" s="6" t="str">
        <f aca="false">IFERROR(INDEX(Mundarija!$D:$D,MATCH(B238,Mundarija!$A:$A,0)),"kod topilmadi")</f>
        <v>21.6. Biofizik profil va amniotik suyuqlikni baholash.</v>
      </c>
      <c r="E238" s="6" t="s">
        <v>1984</v>
      </c>
      <c r="F238" s="11" t="s">
        <v>1985</v>
      </c>
      <c r="G238" s="6" t="s">
        <v>1318</v>
      </c>
      <c r="H238" s="6" t="s">
        <v>1640</v>
      </c>
      <c r="I238" s="6" t="s">
        <v>877</v>
      </c>
      <c r="J238" s="6" t="s">
        <v>877</v>
      </c>
      <c r="K238" s="6" t="s">
        <v>878</v>
      </c>
      <c r="L238" s="6" t="s">
        <v>879</v>
      </c>
      <c r="M238" s="6" t="s">
        <v>891</v>
      </c>
      <c r="N238" s="12" t="s">
        <v>881</v>
      </c>
      <c r="O238" s="6" t="s">
        <v>882</v>
      </c>
      <c r="P238" s="6" t="s">
        <v>2</v>
      </c>
      <c r="Q238" s="6" t="s">
        <v>20</v>
      </c>
      <c r="R238" s="12"/>
      <c r="S238" s="12"/>
      <c r="T238" s="12"/>
      <c r="U238" s="12"/>
      <c r="V238" s="12"/>
      <c r="W238" s="12"/>
      <c r="X238" s="6" t="str">
        <f aca="false">IF(COUNT(R238:W238)=6,SUM(R238:W238),"ko‘rilmagan")</f>
        <v>ko‘rilmagan</v>
      </c>
      <c r="Y238" s="12"/>
    </row>
    <row r="239" customFormat="false" ht="23.85" hidden="false" customHeight="false" outlineLevel="0" collapsed="false">
      <c r="A239" s="6" t="s">
        <v>1986</v>
      </c>
      <c r="B239" s="6" t="s">
        <v>376</v>
      </c>
      <c r="C239" s="6"/>
      <c r="D239" s="6" t="str">
        <f aca="false">IFERROR(INDEX(Mundarija!$D:$D,MATCH(B239,Mundarija!$A:$A,0)),"kod topilmadi")</f>
        <v>21.6. Biofizik profil va amniotik suyuqlikni baholash.</v>
      </c>
      <c r="E239" s="6" t="s">
        <v>1987</v>
      </c>
      <c r="F239" s="11" t="s">
        <v>1988</v>
      </c>
      <c r="G239" s="6" t="s">
        <v>1318</v>
      </c>
      <c r="H239" s="6" t="s">
        <v>1640</v>
      </c>
      <c r="I239" s="6" t="s">
        <v>877</v>
      </c>
      <c r="J239" s="6" t="s">
        <v>877</v>
      </c>
      <c r="K239" s="6" t="s">
        <v>878</v>
      </c>
      <c r="L239" s="6" t="s">
        <v>879</v>
      </c>
      <c r="M239" s="6" t="s">
        <v>891</v>
      </c>
      <c r="N239" s="12" t="s">
        <v>881</v>
      </c>
      <c r="O239" s="6" t="s">
        <v>882</v>
      </c>
      <c r="P239" s="6" t="s">
        <v>2</v>
      </c>
      <c r="Q239" s="6" t="s">
        <v>20</v>
      </c>
      <c r="R239" s="12"/>
      <c r="S239" s="12"/>
      <c r="T239" s="12"/>
      <c r="U239" s="12"/>
      <c r="V239" s="12"/>
      <c r="W239" s="12"/>
      <c r="X239" s="6" t="str">
        <f aca="false">IF(COUNT(R239:W239)=6,SUM(R239:W239),"ko‘rilmagan")</f>
        <v>ko‘rilmagan</v>
      </c>
      <c r="Y239" s="12"/>
    </row>
    <row r="240" customFormat="false" ht="23.85" hidden="false" customHeight="false" outlineLevel="0" collapsed="false">
      <c r="A240" s="6" t="s">
        <v>1989</v>
      </c>
      <c r="B240" s="6" t="s">
        <v>376</v>
      </c>
      <c r="C240" s="6"/>
      <c r="D240" s="6" t="str">
        <f aca="false">IFERROR(INDEX(Mundarija!$D:$D,MATCH(B240,Mundarija!$A:$A,0)),"kod topilmadi")</f>
        <v>21.6. Biofizik profil va amniotik suyuqlikni baholash.</v>
      </c>
      <c r="E240" s="6" t="s">
        <v>1990</v>
      </c>
      <c r="F240" s="11" t="s">
        <v>1991</v>
      </c>
      <c r="G240" s="6" t="s">
        <v>1992</v>
      </c>
      <c r="H240" s="6" t="s">
        <v>1993</v>
      </c>
      <c r="I240" s="6" t="s">
        <v>877</v>
      </c>
      <c r="J240" s="6" t="s">
        <v>877</v>
      </c>
      <c r="K240" s="6" t="s">
        <v>878</v>
      </c>
      <c r="L240" s="6" t="s">
        <v>879</v>
      </c>
      <c r="M240" s="6" t="s">
        <v>912</v>
      </c>
      <c r="N240" s="12" t="s">
        <v>881</v>
      </c>
      <c r="O240" s="6" t="s">
        <v>882</v>
      </c>
      <c r="P240" s="6" t="s">
        <v>2</v>
      </c>
      <c r="Q240" s="6" t="s">
        <v>20</v>
      </c>
      <c r="R240" s="12"/>
      <c r="S240" s="12"/>
      <c r="T240" s="12"/>
      <c r="U240" s="12"/>
      <c r="V240" s="12"/>
      <c r="W240" s="12"/>
      <c r="X240" s="6" t="str">
        <f aca="false">IF(COUNT(R240:W240)=6,SUM(R240:W240),"ko‘rilmagan")</f>
        <v>ko‘rilmagan</v>
      </c>
      <c r="Y240" s="12"/>
    </row>
    <row r="241" customFormat="false" ht="23.85" hidden="false" customHeight="false" outlineLevel="0" collapsed="false">
      <c r="A241" s="6" t="s">
        <v>1994</v>
      </c>
      <c r="B241" s="6" t="s">
        <v>378</v>
      </c>
      <c r="C241" s="6"/>
      <c r="D241" s="6" t="str">
        <f aca="false">IFERROR(INDEX(Mundarija!$D:$D,MATCH(B241,Mundarija!$A:$A,0)),"kod topilmadi")</f>
        <v>21.7. Egizak homiladorlik asoratlari.</v>
      </c>
      <c r="E241" s="6" t="s">
        <v>1995</v>
      </c>
      <c r="F241" s="11" t="s">
        <v>1996</v>
      </c>
      <c r="G241" s="6" t="s">
        <v>1997</v>
      </c>
      <c r="H241" s="6" t="s">
        <v>1998</v>
      </c>
      <c r="I241" s="6" t="s">
        <v>877</v>
      </c>
      <c r="J241" s="6" t="s">
        <v>877</v>
      </c>
      <c r="K241" s="6" t="s">
        <v>878</v>
      </c>
      <c r="L241" s="6" t="s">
        <v>1748</v>
      </c>
      <c r="M241" s="6" t="s">
        <v>912</v>
      </c>
      <c r="N241" s="12" t="s">
        <v>881</v>
      </c>
      <c r="O241" s="6" t="s">
        <v>882</v>
      </c>
      <c r="P241" s="6" t="s">
        <v>2</v>
      </c>
      <c r="Q241" s="6" t="s">
        <v>20</v>
      </c>
      <c r="R241" s="12"/>
      <c r="S241" s="12"/>
      <c r="T241" s="12"/>
      <c r="U241" s="12"/>
      <c r="V241" s="12"/>
      <c r="W241" s="12"/>
      <c r="X241" s="6" t="str">
        <f aca="false">IF(COUNT(R241:W241)=6,SUM(R241:W241),"ko‘rilmagan")</f>
        <v>ko‘rilmagan</v>
      </c>
      <c r="Y241" s="12"/>
    </row>
    <row r="242" customFormat="false" ht="23.85" hidden="false" customHeight="false" outlineLevel="0" collapsed="false">
      <c r="A242" s="6" t="s">
        <v>1999</v>
      </c>
      <c r="B242" s="6" t="s">
        <v>378</v>
      </c>
      <c r="C242" s="6"/>
      <c r="D242" s="6" t="str">
        <f aca="false">IFERROR(INDEX(Mundarija!$D:$D,MATCH(B242,Mundarija!$A:$A,0)),"kod topilmadi")</f>
        <v>21.7. Egizak homiladorlik asoratlari.</v>
      </c>
      <c r="E242" s="6" t="s">
        <v>2000</v>
      </c>
      <c r="F242" s="11" t="s">
        <v>2001</v>
      </c>
      <c r="G242" s="6" t="s">
        <v>2002</v>
      </c>
      <c r="H242" s="6" t="s">
        <v>2003</v>
      </c>
      <c r="I242" s="6" t="s">
        <v>877</v>
      </c>
      <c r="J242" s="6" t="s">
        <v>877</v>
      </c>
      <c r="K242" s="6" t="s">
        <v>878</v>
      </c>
      <c r="L242" s="6" t="s">
        <v>904</v>
      </c>
      <c r="M242" s="6" t="s">
        <v>912</v>
      </c>
      <c r="N242" s="12" t="s">
        <v>881</v>
      </c>
      <c r="O242" s="6" t="s">
        <v>882</v>
      </c>
      <c r="P242" s="6" t="s">
        <v>2</v>
      </c>
      <c r="Q242" s="6" t="s">
        <v>20</v>
      </c>
      <c r="R242" s="12"/>
      <c r="S242" s="12"/>
      <c r="T242" s="12"/>
      <c r="U242" s="12"/>
      <c r="V242" s="12"/>
      <c r="W242" s="12"/>
      <c r="X242" s="6" t="str">
        <f aca="false">IF(COUNT(R242:W242)=6,SUM(R242:W242),"ko‘rilmagan")</f>
        <v>ko‘rilmagan</v>
      </c>
      <c r="Y242" s="12"/>
    </row>
    <row r="243" customFormat="false" ht="23.85" hidden="false" customHeight="false" outlineLevel="0" collapsed="false">
      <c r="A243" s="6" t="s">
        <v>2004</v>
      </c>
      <c r="B243" s="6" t="s">
        <v>378</v>
      </c>
      <c r="C243" s="6"/>
      <c r="D243" s="6" t="str">
        <f aca="false">IFERROR(INDEX(Mundarija!$D:$D,MATCH(B243,Mundarija!$A:$A,0)),"kod topilmadi")</f>
        <v>21.7. Egizak homiladorlik asoratlari.</v>
      </c>
      <c r="E243" s="6" t="s">
        <v>2005</v>
      </c>
      <c r="F243" s="11" t="s">
        <v>2006</v>
      </c>
      <c r="G243" s="6" t="s">
        <v>2007</v>
      </c>
      <c r="H243" s="6" t="s">
        <v>2008</v>
      </c>
      <c r="I243" s="6" t="s">
        <v>877</v>
      </c>
      <c r="J243" s="6" t="s">
        <v>877</v>
      </c>
      <c r="K243" s="6" t="s">
        <v>878</v>
      </c>
      <c r="L243" s="6" t="s">
        <v>1748</v>
      </c>
      <c r="M243" s="6" t="s">
        <v>912</v>
      </c>
      <c r="N243" s="12" t="s">
        <v>881</v>
      </c>
      <c r="O243" s="6" t="s">
        <v>882</v>
      </c>
      <c r="P243" s="6" t="s">
        <v>2</v>
      </c>
      <c r="Q243" s="6" t="s">
        <v>20</v>
      </c>
      <c r="R243" s="12"/>
      <c r="S243" s="12"/>
      <c r="T243" s="12"/>
      <c r="U243" s="12"/>
      <c r="V243" s="12"/>
      <c r="W243" s="12"/>
      <c r="X243" s="6" t="str">
        <f aca="false">IF(COUNT(R243:W243)=6,SUM(R243:W243),"ko‘rilmagan")</f>
        <v>ko‘rilmagan</v>
      </c>
      <c r="Y243" s="12"/>
    </row>
    <row r="244" customFormat="false" ht="23.85" hidden="false" customHeight="false" outlineLevel="0" collapsed="false">
      <c r="A244" s="6" t="s">
        <v>2009</v>
      </c>
      <c r="B244" s="6" t="s">
        <v>382</v>
      </c>
      <c r="C244" s="6"/>
      <c r="D244" s="6" t="str">
        <f aca="false">IFERROR(INDEX(Mundarija!$D:$D,MATCH(B244,Mundarija!$A:$A,0)),"kod topilmadi")</f>
        <v>21.9. 3D/4D akusherlik tekshiruvi va uning cheklovlari.</v>
      </c>
      <c r="E244" s="6" t="s">
        <v>2010</v>
      </c>
      <c r="F244" s="11" t="s">
        <v>2011</v>
      </c>
      <c r="G244" s="6" t="s">
        <v>2012</v>
      </c>
      <c r="H244" s="6" t="s">
        <v>2013</v>
      </c>
      <c r="I244" s="6" t="s">
        <v>877</v>
      </c>
      <c r="J244" s="6" t="s">
        <v>877</v>
      </c>
      <c r="K244" s="6" t="s">
        <v>878</v>
      </c>
      <c r="L244" s="6" t="s">
        <v>1748</v>
      </c>
      <c r="M244" s="6" t="s">
        <v>891</v>
      </c>
      <c r="N244" s="12" t="s">
        <v>881</v>
      </c>
      <c r="O244" s="6" t="s">
        <v>882</v>
      </c>
      <c r="P244" s="6" t="s">
        <v>2</v>
      </c>
      <c r="Q244" s="6" t="s">
        <v>20</v>
      </c>
      <c r="R244" s="12"/>
      <c r="S244" s="12"/>
      <c r="T244" s="12"/>
      <c r="U244" s="12"/>
      <c r="V244" s="12"/>
      <c r="W244" s="12"/>
      <c r="X244" s="6" t="str">
        <f aca="false">IF(COUNT(R244:W244)=6,SUM(R244:W244),"ko‘rilmagan")</f>
        <v>ko‘rilmagan</v>
      </c>
      <c r="Y244" s="12"/>
    </row>
    <row r="245" customFormat="false" ht="23.85" hidden="false" customHeight="false" outlineLevel="0" collapsed="false">
      <c r="A245" s="6" t="s">
        <v>2014</v>
      </c>
      <c r="B245" s="6" t="s">
        <v>398</v>
      </c>
      <c r="C245" s="6"/>
      <c r="D245" s="6" t="str">
        <f aca="false">IFERROR(INDEX(Mundarija!$D:$D,MATCH(B245,Mundarija!$A:$A,0)),"kod topilmadi")</f>
        <v>22.7. UZI nazoratida biopsiyaga nazariy kirish.</v>
      </c>
      <c r="E245" s="6" t="s">
        <v>2015</v>
      </c>
      <c r="F245" s="11" t="s">
        <v>2016</v>
      </c>
      <c r="G245" s="6" t="s">
        <v>2017</v>
      </c>
      <c r="H245" s="6" t="s">
        <v>2018</v>
      </c>
      <c r="I245" s="6" t="s">
        <v>877</v>
      </c>
      <c r="J245" s="6" t="s">
        <v>877</v>
      </c>
      <c r="K245" s="6" t="s">
        <v>878</v>
      </c>
      <c r="L245" s="6" t="s">
        <v>1748</v>
      </c>
      <c r="M245" s="6" t="s">
        <v>891</v>
      </c>
      <c r="N245" s="12" t="s">
        <v>881</v>
      </c>
      <c r="O245" s="6" t="s">
        <v>882</v>
      </c>
      <c r="P245" s="6" t="s">
        <v>2</v>
      </c>
      <c r="Q245" s="6" t="s">
        <v>20</v>
      </c>
      <c r="R245" s="12"/>
      <c r="S245" s="12"/>
      <c r="T245" s="12"/>
      <c r="U245" s="12"/>
      <c r="V245" s="12"/>
      <c r="W245" s="12"/>
      <c r="X245" s="6" t="str">
        <f aca="false">IF(COUNT(R245:W245)=6,SUM(R245:W245),"ko‘rilmagan")</f>
        <v>ko‘rilmagan</v>
      </c>
      <c r="Y245" s="12"/>
    </row>
    <row r="246" customFormat="false" ht="23.85" hidden="false" customHeight="false" outlineLevel="0" collapsed="false">
      <c r="A246" s="6" t="s">
        <v>2019</v>
      </c>
      <c r="B246" s="6" t="s">
        <v>398</v>
      </c>
      <c r="C246" s="6"/>
      <c r="D246" s="6" t="str">
        <f aca="false">IFERROR(INDEX(Mundarija!$D:$D,MATCH(B246,Mundarija!$A:$A,0)),"kod topilmadi")</f>
        <v>22.7. UZI nazoratida biopsiyaga nazariy kirish.</v>
      </c>
      <c r="E246" s="6" t="s">
        <v>2020</v>
      </c>
      <c r="F246" s="11" t="s">
        <v>2021</v>
      </c>
      <c r="G246" s="6" t="s">
        <v>2022</v>
      </c>
      <c r="H246" s="6" t="s">
        <v>2023</v>
      </c>
      <c r="I246" s="6" t="s">
        <v>877</v>
      </c>
      <c r="J246" s="6" t="s">
        <v>877</v>
      </c>
      <c r="K246" s="6" t="s">
        <v>878</v>
      </c>
      <c r="L246" s="6" t="s">
        <v>1748</v>
      </c>
      <c r="M246" s="6" t="s">
        <v>891</v>
      </c>
      <c r="N246" s="12" t="s">
        <v>881</v>
      </c>
      <c r="O246" s="6" t="s">
        <v>882</v>
      </c>
      <c r="P246" s="6" t="s">
        <v>2</v>
      </c>
      <c r="Q246" s="6" t="s">
        <v>20</v>
      </c>
      <c r="R246" s="12"/>
      <c r="S246" s="12"/>
      <c r="T246" s="12"/>
      <c r="U246" s="12"/>
      <c r="V246" s="12"/>
      <c r="W246" s="12"/>
      <c r="X246" s="6" t="str">
        <f aca="false">IF(COUNT(R246:W246)=6,SUM(R246:W246),"ko‘rilmagan")</f>
        <v>ko‘rilmagan</v>
      </c>
      <c r="Y246" s="12"/>
    </row>
    <row r="247" customFormat="false" ht="23.85" hidden="false" customHeight="false" outlineLevel="0" collapsed="false">
      <c r="A247" s="6" t="s">
        <v>2024</v>
      </c>
      <c r="B247" s="6" t="s">
        <v>400</v>
      </c>
      <c r="C247" s="6"/>
      <c r="D247" s="6" t="str">
        <f aca="false">IFERROR(INDEX(Mundarija!$D:$D,MATCH(B247,Mundarija!$A:$A,0)),"kod topilmadi")</f>
        <v>23.1. Normal anatomiya va yoshga bog‘liq o‘zgarishlar.</v>
      </c>
      <c r="E247" s="6" t="s">
        <v>2025</v>
      </c>
      <c r="F247" s="11" t="s">
        <v>2026</v>
      </c>
      <c r="G247" s="6" t="s">
        <v>2027</v>
      </c>
      <c r="H247" s="6" t="s">
        <v>2028</v>
      </c>
      <c r="I247" s="6" t="s">
        <v>877</v>
      </c>
      <c r="J247" s="6" t="s">
        <v>877</v>
      </c>
      <c r="K247" s="6" t="s">
        <v>878</v>
      </c>
      <c r="L247" s="6" t="s">
        <v>879</v>
      </c>
      <c r="M247" s="6" t="s">
        <v>912</v>
      </c>
      <c r="N247" s="12" t="s">
        <v>881</v>
      </c>
      <c r="O247" s="6" t="s">
        <v>882</v>
      </c>
      <c r="P247" s="6" t="s">
        <v>2</v>
      </c>
      <c r="Q247" s="6" t="s">
        <v>20</v>
      </c>
      <c r="R247" s="12"/>
      <c r="S247" s="12"/>
      <c r="T247" s="12"/>
      <c r="U247" s="12"/>
      <c r="V247" s="12"/>
      <c r="W247" s="12"/>
      <c r="X247" s="6" t="str">
        <f aca="false">IF(COUNT(R247:W247)=6,SUM(R247:W247),"ko‘rilmagan")</f>
        <v>ko‘rilmagan</v>
      </c>
      <c r="Y247" s="12"/>
    </row>
    <row r="248" customFormat="false" ht="23.85" hidden="false" customHeight="false" outlineLevel="0" collapsed="false">
      <c r="A248" s="6" t="s">
        <v>2029</v>
      </c>
      <c r="B248" s="6" t="s">
        <v>400</v>
      </c>
      <c r="C248" s="6" t="s">
        <v>403</v>
      </c>
      <c r="D248" s="6" t="str">
        <f aca="false">IFERROR(INDEX(Mundarija!$D:$D,MATCH(B248,Mundarija!$A:$A,0)),"kod topilmadi")</f>
        <v>23.1. Normal anatomiya va yoshga bog‘liq o‘zgarishlar.</v>
      </c>
      <c r="E248" s="6" t="s">
        <v>2030</v>
      </c>
      <c r="F248" s="11" t="s">
        <v>2031</v>
      </c>
      <c r="G248" s="6" t="s">
        <v>1235</v>
      </c>
      <c r="H248" s="6" t="s">
        <v>910</v>
      </c>
      <c r="I248" s="6" t="s">
        <v>877</v>
      </c>
      <c r="J248" s="6" t="s">
        <v>877</v>
      </c>
      <c r="K248" s="6" t="s">
        <v>878</v>
      </c>
      <c r="L248" s="6" t="s">
        <v>879</v>
      </c>
      <c r="M248" s="6" t="s">
        <v>912</v>
      </c>
      <c r="N248" s="12" t="s">
        <v>881</v>
      </c>
      <c r="O248" s="6" t="s">
        <v>882</v>
      </c>
      <c r="P248" s="6" t="s">
        <v>2</v>
      </c>
      <c r="Q248" s="6" t="s">
        <v>20</v>
      </c>
      <c r="R248" s="12"/>
      <c r="S248" s="12"/>
      <c r="T248" s="12"/>
      <c r="U248" s="12"/>
      <c r="V248" s="12"/>
      <c r="W248" s="12"/>
      <c r="X248" s="6" t="str">
        <f aca="false">IF(COUNT(R248:W248)=6,SUM(R248:W248),"ko‘rilmagan")</f>
        <v>ko‘rilmagan</v>
      </c>
      <c r="Y248" s="12"/>
    </row>
    <row r="249" customFormat="false" ht="23.85" hidden="false" customHeight="false" outlineLevel="0" collapsed="false">
      <c r="A249" s="6" t="s">
        <v>2032</v>
      </c>
      <c r="B249" s="6" t="s">
        <v>403</v>
      </c>
      <c r="C249" s="6"/>
      <c r="D249" s="6" t="str">
        <f aca="false">IFERROR(INDEX(Mundarija!$D:$D,MATCH(B249,Mundarija!$A:$A,0)),"kod topilmadi")</f>
        <v>23.2. Tekshiruv texnikasi va standart tekisliklar.</v>
      </c>
      <c r="E249" s="6" t="s">
        <v>2033</v>
      </c>
      <c r="F249" s="11" t="s">
        <v>2034</v>
      </c>
      <c r="G249" s="6" t="s">
        <v>1259</v>
      </c>
      <c r="H249" s="6" t="s">
        <v>960</v>
      </c>
      <c r="I249" s="6" t="s">
        <v>877</v>
      </c>
      <c r="J249" s="6" t="s">
        <v>877</v>
      </c>
      <c r="K249" s="6" t="s">
        <v>878</v>
      </c>
      <c r="L249" s="6" t="s">
        <v>879</v>
      </c>
      <c r="M249" s="6" t="s">
        <v>891</v>
      </c>
      <c r="N249" s="12" t="s">
        <v>881</v>
      </c>
      <c r="O249" s="6" t="s">
        <v>882</v>
      </c>
      <c r="P249" s="6" t="s">
        <v>2</v>
      </c>
      <c r="Q249" s="6" t="s">
        <v>20</v>
      </c>
      <c r="R249" s="12"/>
      <c r="S249" s="12"/>
      <c r="T249" s="12"/>
      <c r="U249" s="12"/>
      <c r="V249" s="12"/>
      <c r="W249" s="12"/>
      <c r="X249" s="6" t="str">
        <f aca="false">IF(COUNT(R249:W249)=6,SUM(R249:W249),"ko‘rilmagan")</f>
        <v>ko‘rilmagan</v>
      </c>
      <c r="Y249" s="12"/>
    </row>
    <row r="250" customFormat="false" ht="23.85" hidden="false" customHeight="false" outlineLevel="0" collapsed="false">
      <c r="A250" s="6" t="s">
        <v>2035</v>
      </c>
      <c r="B250" s="6" t="s">
        <v>407</v>
      </c>
      <c r="C250" s="6" t="s">
        <v>2036</v>
      </c>
      <c r="D250" s="6" t="str">
        <f aca="false">IFERROR(INDEX(Mundarija!$D:$D,MATCH(B250,Mundarija!$A:$A,0)),"kod topilmadi")</f>
        <v>23.4. Malign o‘smalarning sonografik belgilari.</v>
      </c>
      <c r="E250" s="6" t="s">
        <v>2037</v>
      </c>
      <c r="F250" s="11" t="s">
        <v>2038</v>
      </c>
      <c r="G250" s="6" t="s">
        <v>1259</v>
      </c>
      <c r="H250" s="6" t="s">
        <v>960</v>
      </c>
      <c r="I250" s="6" t="s">
        <v>877</v>
      </c>
      <c r="J250" s="6" t="s">
        <v>877</v>
      </c>
      <c r="K250" s="6" t="s">
        <v>878</v>
      </c>
      <c r="L250" s="6" t="s">
        <v>904</v>
      </c>
      <c r="M250" s="6" t="s">
        <v>962</v>
      </c>
      <c r="N250" s="12" t="s">
        <v>881</v>
      </c>
      <c r="O250" s="6" t="s">
        <v>882</v>
      </c>
      <c r="P250" s="6" t="s">
        <v>2</v>
      </c>
      <c r="Q250" s="6" t="s">
        <v>20</v>
      </c>
      <c r="R250" s="12"/>
      <c r="S250" s="12"/>
      <c r="T250" s="12"/>
      <c r="U250" s="12"/>
      <c r="V250" s="12"/>
      <c r="W250" s="12"/>
      <c r="X250" s="6" t="str">
        <f aca="false">IF(COUNT(R250:W250)=6,SUM(R250:W250),"ko‘rilmagan")</f>
        <v>ko‘rilmagan</v>
      </c>
      <c r="Y250" s="12"/>
    </row>
    <row r="251" customFormat="false" ht="23.85" hidden="false" customHeight="false" outlineLevel="0" collapsed="false">
      <c r="A251" s="6" t="s">
        <v>2039</v>
      </c>
      <c r="B251" s="6" t="s">
        <v>411</v>
      </c>
      <c r="C251" s="6"/>
      <c r="D251" s="6" t="str">
        <f aca="false">IFERROR(INDEX(Mundarija!$D:$D,MATCH(B251,Mundarija!$A:$A,0)),"kod topilmadi")</f>
        <v>23.6. Sut bezi yallig‘lanishi va abssess.</v>
      </c>
      <c r="E251" s="6" t="s">
        <v>2040</v>
      </c>
      <c r="F251" s="11" t="s">
        <v>2041</v>
      </c>
      <c r="G251" s="6" t="s">
        <v>2042</v>
      </c>
      <c r="H251" s="6" t="s">
        <v>2043</v>
      </c>
      <c r="I251" s="6" t="s">
        <v>877</v>
      </c>
      <c r="J251" s="6" t="s">
        <v>877</v>
      </c>
      <c r="K251" s="6" t="s">
        <v>878</v>
      </c>
      <c r="L251" s="6" t="s">
        <v>904</v>
      </c>
      <c r="M251" s="6" t="s">
        <v>1713</v>
      </c>
      <c r="N251" s="12" t="s">
        <v>881</v>
      </c>
      <c r="O251" s="6" t="s">
        <v>882</v>
      </c>
      <c r="P251" s="6" t="s">
        <v>2</v>
      </c>
      <c r="Q251" s="6" t="s">
        <v>20</v>
      </c>
      <c r="R251" s="12"/>
      <c r="S251" s="12"/>
      <c r="T251" s="12"/>
      <c r="U251" s="12"/>
      <c r="V251" s="12"/>
      <c r="W251" s="12"/>
      <c r="X251" s="6" t="str">
        <f aca="false">IF(COUNT(R251:W251)=6,SUM(R251:W251),"ko‘rilmagan")</f>
        <v>ko‘rilmagan</v>
      </c>
      <c r="Y251" s="12"/>
    </row>
    <row r="252" customFormat="false" ht="23.85" hidden="false" customHeight="false" outlineLevel="0" collapsed="false">
      <c r="A252" s="6" t="s">
        <v>2044</v>
      </c>
      <c r="B252" s="6" t="s">
        <v>411</v>
      </c>
      <c r="C252" s="6"/>
      <c r="D252" s="6" t="str">
        <f aca="false">IFERROR(INDEX(Mundarija!$D:$D,MATCH(B252,Mundarija!$A:$A,0)),"kod topilmadi")</f>
        <v>23.6. Sut bezi yallig‘lanishi va abssess.</v>
      </c>
      <c r="E252" s="6" t="s">
        <v>2045</v>
      </c>
      <c r="F252" s="11" t="s">
        <v>2046</v>
      </c>
      <c r="G252" s="6" t="s">
        <v>2047</v>
      </c>
      <c r="H252" s="6" t="s">
        <v>1030</v>
      </c>
      <c r="I252" s="6" t="s">
        <v>2048</v>
      </c>
      <c r="J252" s="6" t="s">
        <v>877</v>
      </c>
      <c r="K252" s="6" t="s">
        <v>878</v>
      </c>
      <c r="L252" s="6" t="s">
        <v>879</v>
      </c>
      <c r="M252" s="6" t="s">
        <v>912</v>
      </c>
      <c r="N252" s="12" t="s">
        <v>881</v>
      </c>
      <c r="O252" s="6" t="s">
        <v>882</v>
      </c>
      <c r="P252" s="6" t="s">
        <v>2</v>
      </c>
      <c r="Q252" s="6" t="s">
        <v>20</v>
      </c>
      <c r="R252" s="12"/>
      <c r="S252" s="12"/>
      <c r="T252" s="12"/>
      <c r="U252" s="12"/>
      <c r="V252" s="12"/>
      <c r="W252" s="12"/>
      <c r="X252" s="6" t="str">
        <f aca="false">IF(COUNT(R252:W252)=6,SUM(R252:W252),"ko‘rilmagan")</f>
        <v>ko‘rilmagan</v>
      </c>
      <c r="Y252" s="12"/>
    </row>
    <row r="253" customFormat="false" ht="23.85" hidden="false" customHeight="false" outlineLevel="0" collapsed="false">
      <c r="A253" s="6" t="s">
        <v>2049</v>
      </c>
      <c r="B253" s="6" t="s">
        <v>415</v>
      </c>
      <c r="C253" s="6"/>
      <c r="D253" s="6" t="str">
        <f aca="false">IFERROR(INDEX(Mundarija!$D:$D,MATCH(B253,Mundarija!$A:$A,0)),"kod topilmadi")</f>
        <v>23.8. Implantlar va maxsus klinik vaziyatlar.</v>
      </c>
      <c r="E253" s="6" t="s">
        <v>2050</v>
      </c>
      <c r="F253" s="11" t="s">
        <v>2051</v>
      </c>
      <c r="G253" s="6" t="s">
        <v>1318</v>
      </c>
      <c r="H253" s="6" t="s">
        <v>1640</v>
      </c>
      <c r="I253" s="6" t="s">
        <v>2052</v>
      </c>
      <c r="J253" s="6" t="s">
        <v>877</v>
      </c>
      <c r="K253" s="6" t="s">
        <v>878</v>
      </c>
      <c r="L253" s="6" t="s">
        <v>904</v>
      </c>
      <c r="M253" s="6" t="s">
        <v>891</v>
      </c>
      <c r="N253" s="12" t="s">
        <v>881</v>
      </c>
      <c r="O253" s="6" t="s">
        <v>882</v>
      </c>
      <c r="P253" s="6" t="s">
        <v>2</v>
      </c>
      <c r="Q253" s="6" t="s">
        <v>20</v>
      </c>
      <c r="R253" s="12"/>
      <c r="S253" s="12"/>
      <c r="T253" s="12"/>
      <c r="U253" s="12"/>
      <c r="V253" s="12"/>
      <c r="W253" s="12"/>
      <c r="X253" s="6" t="str">
        <f aca="false">IF(COUNT(R253:W253)=6,SUM(R253:W253),"ko‘rilmagan")</f>
        <v>ko‘rilmagan</v>
      </c>
      <c r="Y253" s="12"/>
    </row>
    <row r="254" customFormat="false" ht="23.85" hidden="false" customHeight="false" outlineLevel="0" collapsed="false">
      <c r="A254" s="6" t="s">
        <v>2053</v>
      </c>
      <c r="B254" s="6" t="s">
        <v>417</v>
      </c>
      <c r="C254" s="6"/>
      <c r="D254" s="6" t="str">
        <f aca="false">IFERROR(INDEX(Mundarija!$D:$D,MATCH(B254,Mundarija!$A:$A,0)),"kod topilmadi")</f>
        <v>24.1. So‘lak bezlari va sialolitiaz.</v>
      </c>
      <c r="E254" s="6" t="s">
        <v>2054</v>
      </c>
      <c r="F254" s="11" t="s">
        <v>2055</v>
      </c>
      <c r="G254" s="6" t="s">
        <v>2056</v>
      </c>
      <c r="H254" s="6" t="s">
        <v>2057</v>
      </c>
      <c r="I254" s="6" t="s">
        <v>877</v>
      </c>
      <c r="J254" s="6" t="s">
        <v>877</v>
      </c>
      <c r="K254" s="6" t="s">
        <v>878</v>
      </c>
      <c r="L254" s="6" t="s">
        <v>879</v>
      </c>
      <c r="M254" s="6" t="s">
        <v>912</v>
      </c>
      <c r="N254" s="12" t="s">
        <v>881</v>
      </c>
      <c r="O254" s="6" t="s">
        <v>882</v>
      </c>
      <c r="P254" s="6" t="s">
        <v>2</v>
      </c>
      <c r="Q254" s="6" t="s">
        <v>20</v>
      </c>
      <c r="R254" s="12"/>
      <c r="S254" s="12"/>
      <c r="T254" s="12"/>
      <c r="U254" s="12"/>
      <c r="V254" s="12"/>
      <c r="W254" s="12"/>
      <c r="X254" s="6" t="str">
        <f aca="false">IF(COUNT(R254:W254)=6,SUM(R254:W254),"ko‘rilmagan")</f>
        <v>ko‘rilmagan</v>
      </c>
      <c r="Y254" s="12"/>
    </row>
    <row r="255" customFormat="false" ht="23.85" hidden="false" customHeight="false" outlineLevel="0" collapsed="false">
      <c r="A255" s="6" t="s">
        <v>2058</v>
      </c>
      <c r="B255" s="6" t="s">
        <v>417</v>
      </c>
      <c r="C255" s="6"/>
      <c r="D255" s="6" t="str">
        <f aca="false">IFERROR(INDEX(Mundarija!$D:$D,MATCH(B255,Mundarija!$A:$A,0)),"kod topilmadi")</f>
        <v>24.1. So‘lak bezlari va sialolitiaz.</v>
      </c>
      <c r="E255" s="6" t="s">
        <v>2059</v>
      </c>
      <c r="F255" s="11" t="s">
        <v>2060</v>
      </c>
      <c r="G255" s="6" t="s">
        <v>1269</v>
      </c>
      <c r="H255" s="6" t="s">
        <v>1733</v>
      </c>
      <c r="I255" s="6" t="s">
        <v>877</v>
      </c>
      <c r="J255" s="6" t="s">
        <v>877</v>
      </c>
      <c r="K255" s="6" t="s">
        <v>878</v>
      </c>
      <c r="L255" s="6" t="s">
        <v>904</v>
      </c>
      <c r="M255" s="6" t="s">
        <v>1713</v>
      </c>
      <c r="N255" s="12" t="s">
        <v>881</v>
      </c>
      <c r="O255" s="6" t="s">
        <v>882</v>
      </c>
      <c r="P255" s="6" t="s">
        <v>2</v>
      </c>
      <c r="Q255" s="6" t="s">
        <v>20</v>
      </c>
      <c r="R255" s="12"/>
      <c r="S255" s="12"/>
      <c r="T255" s="12"/>
      <c r="U255" s="12"/>
      <c r="V255" s="12"/>
      <c r="W255" s="12"/>
      <c r="X255" s="6" t="str">
        <f aca="false">IF(COUNT(R255:W255)=6,SUM(R255:W255),"ko‘rilmagan")</f>
        <v>ko‘rilmagan</v>
      </c>
      <c r="Y255" s="12"/>
    </row>
    <row r="256" customFormat="false" ht="23.85" hidden="false" customHeight="false" outlineLevel="0" collapsed="false">
      <c r="A256" s="6" t="s">
        <v>2061</v>
      </c>
      <c r="B256" s="6" t="s">
        <v>417</v>
      </c>
      <c r="C256" s="6"/>
      <c r="D256" s="6" t="str">
        <f aca="false">IFERROR(INDEX(Mundarija!$D:$D,MATCH(B256,Mundarija!$A:$A,0)),"kod topilmadi")</f>
        <v>24.1. So‘lak bezlari va sialolitiaz.</v>
      </c>
      <c r="E256" s="6" t="s">
        <v>2062</v>
      </c>
      <c r="F256" s="11" t="s">
        <v>2063</v>
      </c>
      <c r="G256" s="6" t="s">
        <v>1269</v>
      </c>
      <c r="H256" s="6" t="s">
        <v>1733</v>
      </c>
      <c r="I256" s="6" t="s">
        <v>877</v>
      </c>
      <c r="J256" s="6" t="s">
        <v>877</v>
      </c>
      <c r="K256" s="6" t="s">
        <v>878</v>
      </c>
      <c r="L256" s="6" t="s">
        <v>904</v>
      </c>
      <c r="M256" s="6" t="s">
        <v>1713</v>
      </c>
      <c r="N256" s="12" t="s">
        <v>881</v>
      </c>
      <c r="O256" s="6" t="s">
        <v>882</v>
      </c>
      <c r="P256" s="6" t="s">
        <v>2</v>
      </c>
      <c r="Q256" s="6" t="s">
        <v>20</v>
      </c>
      <c r="R256" s="12"/>
      <c r="S256" s="12"/>
      <c r="T256" s="12"/>
      <c r="U256" s="12"/>
      <c r="V256" s="12"/>
      <c r="W256" s="12"/>
      <c r="X256" s="6" t="str">
        <f aca="false">IF(COUNT(R256:W256)=6,SUM(R256:W256),"ko‘rilmagan")</f>
        <v>ko‘rilmagan</v>
      </c>
      <c r="Y256" s="12"/>
    </row>
    <row r="257" customFormat="false" ht="23.85" hidden="false" customHeight="false" outlineLevel="0" collapsed="false">
      <c r="A257" s="6" t="s">
        <v>2064</v>
      </c>
      <c r="B257" s="6" t="s">
        <v>420</v>
      </c>
      <c r="C257" s="6"/>
      <c r="D257" s="6" t="str">
        <f aca="false">IFERROR(INDEX(Mundarija!$D:$D,MATCH(B257,Mundarija!$A:$A,0)),"kod topilmadi")</f>
        <v>24.2. Yuzaki va periferik limfa tugunlari.</v>
      </c>
      <c r="E257" s="6" t="s">
        <v>2065</v>
      </c>
      <c r="F257" s="11" t="s">
        <v>2066</v>
      </c>
      <c r="G257" s="6" t="s">
        <v>874</v>
      </c>
      <c r="H257" s="6" t="s">
        <v>2067</v>
      </c>
      <c r="I257" s="6" t="s">
        <v>877</v>
      </c>
      <c r="J257" s="6" t="s">
        <v>877</v>
      </c>
      <c r="K257" s="6" t="s">
        <v>878</v>
      </c>
      <c r="L257" s="6" t="s">
        <v>879</v>
      </c>
      <c r="M257" s="6" t="s">
        <v>912</v>
      </c>
      <c r="N257" s="12" t="s">
        <v>881</v>
      </c>
      <c r="O257" s="6" t="s">
        <v>882</v>
      </c>
      <c r="P257" s="6" t="s">
        <v>2</v>
      </c>
      <c r="Q257" s="6" t="s">
        <v>20</v>
      </c>
      <c r="R257" s="12"/>
      <c r="S257" s="12"/>
      <c r="T257" s="12"/>
      <c r="U257" s="12"/>
      <c r="V257" s="12"/>
      <c r="W257" s="12"/>
      <c r="X257" s="6" t="str">
        <f aca="false">IF(COUNT(R257:W257)=6,SUM(R257:W257),"ko‘rilmagan")</f>
        <v>ko‘rilmagan</v>
      </c>
      <c r="Y257" s="12"/>
    </row>
    <row r="258" customFormat="false" ht="23.85" hidden="false" customHeight="false" outlineLevel="0" collapsed="false">
      <c r="A258" s="6" t="s">
        <v>2068</v>
      </c>
      <c r="B258" s="6" t="s">
        <v>420</v>
      </c>
      <c r="C258" s="6" t="s">
        <v>394</v>
      </c>
      <c r="D258" s="6" t="str">
        <f aca="false">IFERROR(INDEX(Mundarija!$D:$D,MATCH(B258,Mundarija!$A:$A,0)),"kod topilmadi")</f>
        <v>24.2. Yuzaki va periferik limfa tugunlari.</v>
      </c>
      <c r="E258" s="6" t="s">
        <v>2069</v>
      </c>
      <c r="F258" s="11" t="s">
        <v>2070</v>
      </c>
      <c r="G258" s="6" t="s">
        <v>1746</v>
      </c>
      <c r="H258" s="6" t="s">
        <v>1747</v>
      </c>
      <c r="I258" s="6" t="s">
        <v>877</v>
      </c>
      <c r="J258" s="6" t="s">
        <v>877</v>
      </c>
      <c r="K258" s="6" t="s">
        <v>878</v>
      </c>
      <c r="L258" s="6" t="s">
        <v>904</v>
      </c>
      <c r="M258" s="6" t="s">
        <v>912</v>
      </c>
      <c r="N258" s="12" t="s">
        <v>881</v>
      </c>
      <c r="O258" s="6" t="s">
        <v>882</v>
      </c>
      <c r="P258" s="6" t="s">
        <v>2</v>
      </c>
      <c r="Q258" s="6" t="s">
        <v>20</v>
      </c>
      <c r="R258" s="12"/>
      <c r="S258" s="12"/>
      <c r="T258" s="12"/>
      <c r="U258" s="12"/>
      <c r="V258" s="12"/>
      <c r="W258" s="12"/>
      <c r="X258" s="6" t="str">
        <f aca="false">IF(COUNT(R258:W258)=6,SUM(R258:W258),"ko‘rilmagan")</f>
        <v>ko‘rilmagan</v>
      </c>
      <c r="Y258" s="12"/>
    </row>
    <row r="259" customFormat="false" ht="23.85" hidden="false" customHeight="false" outlineLevel="0" collapsed="false">
      <c r="A259" s="6" t="s">
        <v>2071</v>
      </c>
      <c r="B259" s="6" t="s">
        <v>420</v>
      </c>
      <c r="C259" s="6" t="s">
        <v>394</v>
      </c>
      <c r="D259" s="6" t="str">
        <f aca="false">IFERROR(INDEX(Mundarija!$D:$D,MATCH(B259,Mundarija!$A:$A,0)),"kod topilmadi")</f>
        <v>24.2. Yuzaki va periferik limfa tugunlari.</v>
      </c>
      <c r="E259" s="6" t="s">
        <v>2072</v>
      </c>
      <c r="F259" s="11" t="s">
        <v>2073</v>
      </c>
      <c r="G259" s="6" t="s">
        <v>1235</v>
      </c>
      <c r="H259" s="6" t="s">
        <v>910</v>
      </c>
      <c r="I259" s="6" t="s">
        <v>877</v>
      </c>
      <c r="J259" s="6" t="s">
        <v>877</v>
      </c>
      <c r="K259" s="6" t="s">
        <v>878</v>
      </c>
      <c r="L259" s="6" t="s">
        <v>904</v>
      </c>
      <c r="M259" s="6" t="s">
        <v>912</v>
      </c>
      <c r="N259" s="12" t="s">
        <v>881</v>
      </c>
      <c r="O259" s="6" t="s">
        <v>882</v>
      </c>
      <c r="P259" s="6" t="s">
        <v>2</v>
      </c>
      <c r="Q259" s="6" t="s">
        <v>20</v>
      </c>
      <c r="R259" s="12"/>
      <c r="S259" s="12"/>
      <c r="T259" s="12"/>
      <c r="U259" s="12"/>
      <c r="V259" s="12"/>
      <c r="W259" s="12"/>
      <c r="X259" s="6" t="str">
        <f aca="false">IF(COUNT(R259:W259)=6,SUM(R259:W259),"ko‘rilmagan")</f>
        <v>ko‘rilmagan</v>
      </c>
      <c r="Y259" s="12"/>
    </row>
    <row r="260" customFormat="false" ht="23.85" hidden="false" customHeight="false" outlineLevel="0" collapsed="false">
      <c r="A260" s="6" t="s">
        <v>2074</v>
      </c>
      <c r="B260" s="6" t="s">
        <v>422</v>
      </c>
      <c r="C260" s="6"/>
      <c r="D260" s="6" t="str">
        <f aca="false">IFERROR(INDEX(Mundarija!$D:$D,MATCH(B260,Mundarija!$A:$A,0)),"kod topilmadi")</f>
        <v>24.3. Teri osti va yumshoq to‘qima hosilalari.</v>
      </c>
      <c r="E260" s="6" t="s">
        <v>2075</v>
      </c>
      <c r="F260" s="11" t="s">
        <v>2076</v>
      </c>
      <c r="G260" s="6" t="s">
        <v>1245</v>
      </c>
      <c r="H260" s="6" t="s">
        <v>1856</v>
      </c>
      <c r="I260" s="6" t="s">
        <v>877</v>
      </c>
      <c r="J260" s="6" t="s">
        <v>877</v>
      </c>
      <c r="K260" s="6" t="s">
        <v>878</v>
      </c>
      <c r="L260" s="6" t="s">
        <v>879</v>
      </c>
      <c r="M260" s="6" t="s">
        <v>912</v>
      </c>
      <c r="N260" s="12" t="s">
        <v>881</v>
      </c>
      <c r="O260" s="6" t="s">
        <v>882</v>
      </c>
      <c r="P260" s="6" t="s">
        <v>2</v>
      </c>
      <c r="Q260" s="6" t="s">
        <v>20</v>
      </c>
      <c r="R260" s="12"/>
      <c r="S260" s="12"/>
      <c r="T260" s="12"/>
      <c r="U260" s="12"/>
      <c r="V260" s="12"/>
      <c r="W260" s="12"/>
      <c r="X260" s="6" t="str">
        <f aca="false">IF(COUNT(R260:W260)=6,SUM(R260:W260),"ko‘rilmagan")</f>
        <v>ko‘rilmagan</v>
      </c>
      <c r="Y260" s="12"/>
    </row>
    <row r="261" customFormat="false" ht="23.85" hidden="false" customHeight="false" outlineLevel="0" collapsed="false">
      <c r="A261" s="6" t="s">
        <v>2077</v>
      </c>
      <c r="B261" s="6" t="s">
        <v>422</v>
      </c>
      <c r="C261" s="6"/>
      <c r="D261" s="6" t="str">
        <f aca="false">IFERROR(INDEX(Mundarija!$D:$D,MATCH(B261,Mundarija!$A:$A,0)),"kod topilmadi")</f>
        <v>24.3. Teri osti va yumshoq to‘qima hosilalari.</v>
      </c>
      <c r="E261" s="6" t="s">
        <v>2078</v>
      </c>
      <c r="F261" s="11" t="s">
        <v>2079</v>
      </c>
      <c r="G261" s="6" t="s">
        <v>1245</v>
      </c>
      <c r="H261" s="6" t="s">
        <v>1856</v>
      </c>
      <c r="I261" s="6" t="s">
        <v>877</v>
      </c>
      <c r="J261" s="6" t="s">
        <v>877</v>
      </c>
      <c r="K261" s="6" t="s">
        <v>878</v>
      </c>
      <c r="L261" s="6" t="s">
        <v>904</v>
      </c>
      <c r="M261" s="6" t="s">
        <v>1713</v>
      </c>
      <c r="N261" s="12" t="s">
        <v>881</v>
      </c>
      <c r="O261" s="6" t="s">
        <v>882</v>
      </c>
      <c r="P261" s="6" t="s">
        <v>2</v>
      </c>
      <c r="Q261" s="6" t="s">
        <v>20</v>
      </c>
      <c r="R261" s="12"/>
      <c r="S261" s="12"/>
      <c r="T261" s="12"/>
      <c r="U261" s="12"/>
      <c r="V261" s="12"/>
      <c r="W261" s="12"/>
      <c r="X261" s="6" t="str">
        <f aca="false">IF(COUNT(R261:W261)=6,SUM(R261:W261),"ko‘rilmagan")</f>
        <v>ko‘rilmagan</v>
      </c>
      <c r="Y261" s="12"/>
    </row>
    <row r="262" customFormat="false" ht="23.85" hidden="false" customHeight="false" outlineLevel="0" collapsed="false">
      <c r="A262" s="6" t="s">
        <v>2080</v>
      </c>
      <c r="B262" s="6" t="s">
        <v>422</v>
      </c>
      <c r="C262" s="6"/>
      <c r="D262" s="6" t="str">
        <f aca="false">IFERROR(INDEX(Mundarija!$D:$D,MATCH(B262,Mundarija!$A:$A,0)),"kod topilmadi")</f>
        <v>24.3. Teri osti va yumshoq to‘qima hosilalari.</v>
      </c>
      <c r="E262" s="6" t="s">
        <v>2081</v>
      </c>
      <c r="F262" s="11" t="s">
        <v>2082</v>
      </c>
      <c r="G262" s="6" t="s">
        <v>1269</v>
      </c>
      <c r="H262" s="6" t="s">
        <v>1733</v>
      </c>
      <c r="I262" s="6" t="s">
        <v>877</v>
      </c>
      <c r="J262" s="6" t="s">
        <v>877</v>
      </c>
      <c r="K262" s="6" t="s">
        <v>878</v>
      </c>
      <c r="L262" s="6" t="s">
        <v>904</v>
      </c>
      <c r="M262" s="6" t="s">
        <v>1713</v>
      </c>
      <c r="N262" s="12" t="s">
        <v>881</v>
      </c>
      <c r="O262" s="6" t="s">
        <v>882</v>
      </c>
      <c r="P262" s="6" t="s">
        <v>2</v>
      </c>
      <c r="Q262" s="6" t="s">
        <v>20</v>
      </c>
      <c r="R262" s="12"/>
      <c r="S262" s="12"/>
      <c r="T262" s="12"/>
      <c r="U262" s="12"/>
      <c r="V262" s="12"/>
      <c r="W262" s="12"/>
      <c r="X262" s="6" t="str">
        <f aca="false">IF(COUNT(R262:W262)=6,SUM(R262:W262),"ko‘rilmagan")</f>
        <v>ko‘rilmagan</v>
      </c>
      <c r="Y262" s="12"/>
    </row>
    <row r="263" customFormat="false" ht="23.85" hidden="false" customHeight="false" outlineLevel="0" collapsed="false">
      <c r="A263" s="6" t="s">
        <v>2083</v>
      </c>
      <c r="B263" s="6" t="s">
        <v>424</v>
      </c>
      <c r="C263" s="6"/>
      <c r="D263" s="6" t="str">
        <f aca="false">IFERROR(INDEX(Mundarija!$D:$D,MATCH(B263,Mundarija!$A:$A,0)),"kod topilmadi")</f>
        <v>24.4. Ko‘z va retrobulbar sohaning maxsus tekshiruvlariga kirish.</v>
      </c>
      <c r="E263" s="6" t="s">
        <v>2084</v>
      </c>
      <c r="F263" s="11" t="s">
        <v>2085</v>
      </c>
      <c r="G263" s="6" t="s">
        <v>1264</v>
      </c>
      <c r="H263" s="6" t="s">
        <v>2086</v>
      </c>
      <c r="I263" s="6" t="s">
        <v>877</v>
      </c>
      <c r="J263" s="6" t="s">
        <v>877</v>
      </c>
      <c r="K263" s="6" t="s">
        <v>878</v>
      </c>
      <c r="L263" s="6" t="s">
        <v>904</v>
      </c>
      <c r="M263" s="6" t="s">
        <v>891</v>
      </c>
      <c r="N263" s="12" t="s">
        <v>881</v>
      </c>
      <c r="O263" s="6" t="s">
        <v>882</v>
      </c>
      <c r="P263" s="6" t="s">
        <v>2</v>
      </c>
      <c r="Q263" s="6" t="s">
        <v>20</v>
      </c>
      <c r="R263" s="12"/>
      <c r="S263" s="12"/>
      <c r="T263" s="12"/>
      <c r="U263" s="12"/>
      <c r="V263" s="12"/>
      <c r="W263" s="12"/>
      <c r="X263" s="6" t="str">
        <f aca="false">IF(COUNT(R263:W263)=6,SUM(R263:W263),"ko‘rilmagan")</f>
        <v>ko‘rilmagan</v>
      </c>
      <c r="Y263" s="12"/>
    </row>
    <row r="264" customFormat="false" ht="23.85" hidden="false" customHeight="false" outlineLevel="0" collapsed="false">
      <c r="A264" s="6" t="s">
        <v>2087</v>
      </c>
      <c r="B264" s="6" t="s">
        <v>424</v>
      </c>
      <c r="C264" s="6"/>
      <c r="D264" s="6" t="str">
        <f aca="false">IFERROR(INDEX(Mundarija!$D:$D,MATCH(B264,Mundarija!$A:$A,0)),"kod topilmadi")</f>
        <v>24.4. Ko‘z va retrobulbar sohaning maxsus tekshiruvlariga kirish.</v>
      </c>
      <c r="E264" s="6" t="s">
        <v>2088</v>
      </c>
      <c r="F264" s="11" t="s">
        <v>2089</v>
      </c>
      <c r="G264" s="6" t="s">
        <v>2090</v>
      </c>
      <c r="H264" s="6" t="s">
        <v>2091</v>
      </c>
      <c r="I264" s="6" t="s">
        <v>877</v>
      </c>
      <c r="J264" s="6" t="s">
        <v>877</v>
      </c>
      <c r="K264" s="6" t="s">
        <v>878</v>
      </c>
      <c r="L264" s="6" t="s">
        <v>879</v>
      </c>
      <c r="M264" s="6" t="s">
        <v>891</v>
      </c>
      <c r="N264" s="12" t="s">
        <v>881</v>
      </c>
      <c r="O264" s="6" t="s">
        <v>882</v>
      </c>
      <c r="P264" s="6" t="s">
        <v>2</v>
      </c>
      <c r="Q264" s="6" t="s">
        <v>20</v>
      </c>
      <c r="R264" s="12"/>
      <c r="S264" s="12"/>
      <c r="T264" s="12"/>
      <c r="U264" s="12"/>
      <c r="V264" s="12"/>
      <c r="W264" s="12"/>
      <c r="X264" s="6" t="str">
        <f aca="false">IF(COUNT(R264:W264)=6,SUM(R264:W264),"ko‘rilmagan")</f>
        <v>ko‘rilmagan</v>
      </c>
      <c r="Y264" s="12"/>
    </row>
    <row r="265" customFormat="false" ht="23.85" hidden="false" customHeight="false" outlineLevel="0" collapsed="false">
      <c r="A265" s="6" t="s">
        <v>2092</v>
      </c>
      <c r="B265" s="6" t="s">
        <v>424</v>
      </c>
      <c r="C265" s="6"/>
      <c r="D265" s="6" t="str">
        <f aca="false">IFERROR(INDEX(Mundarija!$D:$D,MATCH(B265,Mundarija!$A:$A,0)),"kod topilmadi")</f>
        <v>24.4. Ko‘z va retrobulbar sohaning maxsus tekshiruvlariga kirish.</v>
      </c>
      <c r="E265" s="6" t="s">
        <v>2093</v>
      </c>
      <c r="F265" s="11" t="s">
        <v>2094</v>
      </c>
      <c r="G265" s="6" t="s">
        <v>1618</v>
      </c>
      <c r="H265" s="6" t="s">
        <v>1619</v>
      </c>
      <c r="I265" s="6" t="s">
        <v>877</v>
      </c>
      <c r="J265" s="6" t="s">
        <v>877</v>
      </c>
      <c r="K265" s="6" t="s">
        <v>878</v>
      </c>
      <c r="L265" s="6" t="s">
        <v>879</v>
      </c>
      <c r="M265" s="6" t="s">
        <v>891</v>
      </c>
      <c r="N265" s="12" t="s">
        <v>881</v>
      </c>
      <c r="O265" s="6" t="s">
        <v>882</v>
      </c>
      <c r="P265" s="6" t="s">
        <v>2</v>
      </c>
      <c r="Q265" s="6" t="s">
        <v>20</v>
      </c>
      <c r="R265" s="12"/>
      <c r="S265" s="12"/>
      <c r="T265" s="12"/>
      <c r="U265" s="12"/>
      <c r="V265" s="12"/>
      <c r="W265" s="12"/>
      <c r="X265" s="6" t="str">
        <f aca="false">IF(COUNT(R265:W265)=6,SUM(R265:W265),"ko‘rilmagan")</f>
        <v>ko‘rilmagan</v>
      </c>
      <c r="Y265" s="12"/>
    </row>
    <row r="266" customFormat="false" ht="23.85" hidden="false" customHeight="false" outlineLevel="0" collapsed="false">
      <c r="A266" s="6" t="s">
        <v>2095</v>
      </c>
      <c r="B266" s="6" t="s">
        <v>426</v>
      </c>
      <c r="C266" s="6" t="s">
        <v>440</v>
      </c>
      <c r="D266" s="6" t="str">
        <f aca="false">IFERROR(INDEX(Mundarija!$D:$D,MATCH(B266,Mundarija!$A:$A,0)),"kod topilmadi")</f>
        <v>24.5. Yuzaki tomirlar va fistulalar.</v>
      </c>
      <c r="E266" s="6" t="s">
        <v>2096</v>
      </c>
      <c r="F266" s="11" t="s">
        <v>2097</v>
      </c>
      <c r="G266" s="6" t="s">
        <v>2098</v>
      </c>
      <c r="H266" s="6" t="s">
        <v>910</v>
      </c>
      <c r="I266" s="6" t="s">
        <v>877</v>
      </c>
      <c r="J266" s="6" t="s">
        <v>877</v>
      </c>
      <c r="K266" s="6" t="s">
        <v>878</v>
      </c>
      <c r="L266" s="6" t="s">
        <v>904</v>
      </c>
      <c r="M266" s="6" t="s">
        <v>1713</v>
      </c>
      <c r="N266" s="12" t="s">
        <v>881</v>
      </c>
      <c r="O266" s="6" t="s">
        <v>882</v>
      </c>
      <c r="P266" s="6" t="s">
        <v>2</v>
      </c>
      <c r="Q266" s="6" t="s">
        <v>20</v>
      </c>
      <c r="R266" s="12"/>
      <c r="S266" s="12"/>
      <c r="T266" s="12"/>
      <c r="U266" s="12"/>
      <c r="V266" s="12"/>
      <c r="W266" s="12"/>
      <c r="X266" s="6" t="str">
        <f aca="false">IF(COUNT(R266:W266)=6,SUM(R266:W266),"ko‘rilmagan")</f>
        <v>ko‘rilmagan</v>
      </c>
      <c r="Y266" s="12"/>
    </row>
    <row r="267" customFormat="false" ht="23.85" hidden="false" customHeight="false" outlineLevel="0" collapsed="false">
      <c r="A267" s="6" t="s">
        <v>2099</v>
      </c>
      <c r="B267" s="6" t="s">
        <v>426</v>
      </c>
      <c r="C267" s="6"/>
      <c r="D267" s="6" t="str">
        <f aca="false">IFERROR(INDEX(Mundarija!$D:$D,MATCH(B267,Mundarija!$A:$A,0)),"kod topilmadi")</f>
        <v>24.5. Yuzaki tomirlar va fistulalar.</v>
      </c>
      <c r="E267" s="6" t="s">
        <v>2100</v>
      </c>
      <c r="F267" s="11" t="s">
        <v>2101</v>
      </c>
      <c r="G267" s="6" t="s">
        <v>887</v>
      </c>
      <c r="H267" s="6" t="s">
        <v>2102</v>
      </c>
      <c r="I267" s="6" t="s">
        <v>877</v>
      </c>
      <c r="J267" s="6" t="s">
        <v>877</v>
      </c>
      <c r="K267" s="6" t="s">
        <v>878</v>
      </c>
      <c r="L267" s="6" t="s">
        <v>904</v>
      </c>
      <c r="M267" s="6" t="s">
        <v>891</v>
      </c>
      <c r="N267" s="12" t="s">
        <v>881</v>
      </c>
      <c r="O267" s="6" t="s">
        <v>882</v>
      </c>
      <c r="P267" s="6" t="s">
        <v>2</v>
      </c>
      <c r="Q267" s="6" t="s">
        <v>20</v>
      </c>
      <c r="R267" s="12"/>
      <c r="S267" s="12"/>
      <c r="T267" s="12"/>
      <c r="U267" s="12"/>
      <c r="V267" s="12"/>
      <c r="W267" s="12"/>
      <c r="X267" s="6" t="str">
        <f aca="false">IF(COUNT(R267:W267)=6,SUM(R267:W267),"ko‘rilmagan")</f>
        <v>ko‘rilmagan</v>
      </c>
      <c r="Y267" s="12"/>
    </row>
    <row r="268" customFormat="false" ht="23.85" hidden="false" customHeight="false" outlineLevel="0" collapsed="false">
      <c r="A268" s="6" t="s">
        <v>2103</v>
      </c>
      <c r="B268" s="6" t="s">
        <v>444</v>
      </c>
      <c r="C268" s="6" t="s">
        <v>426</v>
      </c>
      <c r="D268" s="6" t="str">
        <f aca="false">IFERROR(INDEX(Mundarija!$D:$D,MATCH(B268,Mundarija!$A:$A,0)),"kod topilmadi")</f>
        <v>25.8. Gemodializ arteriovenoz kirish yo‘llari.</v>
      </c>
      <c r="E268" s="6" t="s">
        <v>2104</v>
      </c>
      <c r="F268" s="11" t="s">
        <v>2105</v>
      </c>
      <c r="G268" s="6" t="s">
        <v>1223</v>
      </c>
      <c r="H268" s="6" t="s">
        <v>1842</v>
      </c>
      <c r="I268" s="6" t="s">
        <v>877</v>
      </c>
      <c r="J268" s="6" t="s">
        <v>877</v>
      </c>
      <c r="K268" s="6" t="s">
        <v>878</v>
      </c>
      <c r="L268" s="6" t="s">
        <v>904</v>
      </c>
      <c r="M268" s="6" t="s">
        <v>891</v>
      </c>
      <c r="N268" s="12" t="s">
        <v>881</v>
      </c>
      <c r="O268" s="6" t="s">
        <v>882</v>
      </c>
      <c r="P268" s="6" t="s">
        <v>2</v>
      </c>
      <c r="Q268" s="6" t="s">
        <v>20</v>
      </c>
      <c r="R268" s="12"/>
      <c r="S268" s="12"/>
      <c r="T268" s="12"/>
      <c r="U268" s="12"/>
      <c r="V268" s="12"/>
      <c r="W268" s="12"/>
      <c r="X268" s="6" t="str">
        <f aca="false">IF(COUNT(R268:W268)=6,SUM(R268:W268),"ko‘rilmagan")</f>
        <v>ko‘rilmagan</v>
      </c>
      <c r="Y268" s="12"/>
    </row>
    <row r="269" customFormat="false" ht="23.85" hidden="false" customHeight="false" outlineLevel="0" collapsed="false">
      <c r="A269" s="6" t="s">
        <v>2106</v>
      </c>
      <c r="B269" s="6" t="s">
        <v>428</v>
      </c>
      <c r="C269" s="6" t="s">
        <v>111</v>
      </c>
      <c r="D269" s="6" t="str">
        <f aca="false">IFERROR(INDEX(Mundarija!$D:$D,MATCH(B269,Mundarija!$A:$A,0)),"kod topilmadi")</f>
        <v>25.1. Qon tomirlarning normal sonografik anatomiyasi.</v>
      </c>
      <c r="E269" s="6" t="s">
        <v>2107</v>
      </c>
      <c r="F269" s="11" t="s">
        <v>2108</v>
      </c>
      <c r="G269" s="6" t="s">
        <v>1259</v>
      </c>
      <c r="H269" s="6" t="s">
        <v>960</v>
      </c>
      <c r="I269" s="6" t="s">
        <v>877</v>
      </c>
      <c r="J269" s="6" t="s">
        <v>877</v>
      </c>
      <c r="K269" s="6" t="s">
        <v>878</v>
      </c>
      <c r="L269" s="6" t="s">
        <v>879</v>
      </c>
      <c r="M269" s="6" t="s">
        <v>962</v>
      </c>
      <c r="N269" s="12" t="s">
        <v>881</v>
      </c>
      <c r="O269" s="6" t="s">
        <v>882</v>
      </c>
      <c r="P269" s="6" t="s">
        <v>2</v>
      </c>
      <c r="Q269" s="6" t="s">
        <v>20</v>
      </c>
      <c r="R269" s="12"/>
      <c r="S269" s="12"/>
      <c r="T269" s="12"/>
      <c r="U269" s="12"/>
      <c r="V269" s="12"/>
      <c r="W269" s="12"/>
      <c r="X269" s="6" t="str">
        <f aca="false">IF(COUNT(R269:W269)=6,SUM(R269:W269),"ko‘rilmagan")</f>
        <v>ko‘rilmagan</v>
      </c>
      <c r="Y269" s="12"/>
    </row>
    <row r="270" customFormat="false" ht="23.85" hidden="false" customHeight="false" outlineLevel="0" collapsed="false">
      <c r="A270" s="6" t="s">
        <v>2109</v>
      </c>
      <c r="B270" s="6" t="s">
        <v>432</v>
      </c>
      <c r="C270" s="6"/>
      <c r="D270" s="6" t="str">
        <f aca="false">IFERROR(INDEX(Mundarija!$D:$D,MATCH(B270,Mundarija!$A:$A,0)),"kod topilmadi")</f>
        <v>25.2. Karotid va vertebral arteriyalar.</v>
      </c>
      <c r="E270" s="6" t="s">
        <v>2110</v>
      </c>
      <c r="F270" s="11" t="s">
        <v>2111</v>
      </c>
      <c r="G270" s="6" t="s">
        <v>1599</v>
      </c>
      <c r="H270" s="6" t="s">
        <v>1657</v>
      </c>
      <c r="I270" s="6" t="s">
        <v>877</v>
      </c>
      <c r="J270" s="6" t="s">
        <v>877</v>
      </c>
      <c r="K270" s="6" t="s">
        <v>878</v>
      </c>
      <c r="L270" s="6" t="s">
        <v>904</v>
      </c>
      <c r="M270" s="6" t="s">
        <v>891</v>
      </c>
      <c r="N270" s="12" t="s">
        <v>881</v>
      </c>
      <c r="O270" s="6" t="s">
        <v>882</v>
      </c>
      <c r="P270" s="6" t="s">
        <v>2</v>
      </c>
      <c r="Q270" s="6" t="s">
        <v>20</v>
      </c>
      <c r="R270" s="12"/>
      <c r="S270" s="12"/>
      <c r="T270" s="12"/>
      <c r="U270" s="12"/>
      <c r="V270" s="12"/>
      <c r="W270" s="12"/>
      <c r="X270" s="6" t="str">
        <f aca="false">IF(COUNT(R270:W270)=6,SUM(R270:W270),"ko‘rilmagan")</f>
        <v>ko‘rilmagan</v>
      </c>
      <c r="Y270" s="12"/>
    </row>
    <row r="271" customFormat="false" ht="23.85" hidden="false" customHeight="false" outlineLevel="0" collapsed="false">
      <c r="A271" s="6" t="s">
        <v>2112</v>
      </c>
      <c r="B271" s="6" t="s">
        <v>432</v>
      </c>
      <c r="C271" s="6"/>
      <c r="D271" s="6" t="str">
        <f aca="false">IFERROR(INDEX(Mundarija!$D:$D,MATCH(B271,Mundarija!$A:$A,0)),"kod topilmadi")</f>
        <v>25.2. Karotid va vertebral arteriyalar.</v>
      </c>
      <c r="E271" s="6" t="s">
        <v>2113</v>
      </c>
      <c r="F271" s="11" t="s">
        <v>2114</v>
      </c>
      <c r="G271" s="6" t="s">
        <v>2115</v>
      </c>
      <c r="H271" s="6" t="s">
        <v>2116</v>
      </c>
      <c r="I271" s="6" t="s">
        <v>877</v>
      </c>
      <c r="J271" s="6" t="s">
        <v>877</v>
      </c>
      <c r="K271" s="6" t="s">
        <v>878</v>
      </c>
      <c r="L271" s="6" t="s">
        <v>904</v>
      </c>
      <c r="M271" s="6" t="s">
        <v>912</v>
      </c>
      <c r="N271" s="12" t="s">
        <v>881</v>
      </c>
      <c r="O271" s="6" t="s">
        <v>882</v>
      </c>
      <c r="P271" s="6" t="s">
        <v>2</v>
      </c>
      <c r="Q271" s="6" t="s">
        <v>20</v>
      </c>
      <c r="R271" s="12"/>
      <c r="S271" s="12"/>
      <c r="T271" s="12"/>
      <c r="U271" s="12"/>
      <c r="V271" s="12"/>
      <c r="W271" s="12"/>
      <c r="X271" s="6" t="str">
        <f aca="false">IF(COUNT(R271:W271)=6,SUM(R271:W271),"ko‘rilmagan")</f>
        <v>ko‘rilmagan</v>
      </c>
      <c r="Y271" s="12"/>
    </row>
    <row r="272" customFormat="false" ht="23.85" hidden="false" customHeight="false" outlineLevel="0" collapsed="false">
      <c r="A272" s="6" t="s">
        <v>2117</v>
      </c>
      <c r="B272" s="6" t="s">
        <v>440</v>
      </c>
      <c r="C272" s="6"/>
      <c r="D272" s="6" t="str">
        <f aca="false">IFERROR(INDEX(Mundarija!$D:$D,MATCH(B272,Mundarija!$A:$A,0)),"kod topilmadi")</f>
        <v>25.6. Yuzaki venalar va varikoz.</v>
      </c>
      <c r="E272" s="6" t="s">
        <v>2118</v>
      </c>
      <c r="F272" s="11" t="s">
        <v>2119</v>
      </c>
      <c r="G272" s="6" t="s">
        <v>2120</v>
      </c>
      <c r="H272" s="6" t="s">
        <v>2121</v>
      </c>
      <c r="I272" s="6" t="s">
        <v>877</v>
      </c>
      <c r="J272" s="6" t="s">
        <v>877</v>
      </c>
      <c r="K272" s="6" t="s">
        <v>878</v>
      </c>
      <c r="L272" s="6" t="s">
        <v>904</v>
      </c>
      <c r="M272" s="6" t="s">
        <v>891</v>
      </c>
      <c r="N272" s="12" t="s">
        <v>881</v>
      </c>
      <c r="O272" s="6" t="s">
        <v>882</v>
      </c>
      <c r="P272" s="6" t="s">
        <v>2</v>
      </c>
      <c r="Q272" s="6" t="s">
        <v>20</v>
      </c>
      <c r="R272" s="12"/>
      <c r="S272" s="12"/>
      <c r="T272" s="12"/>
      <c r="U272" s="12"/>
      <c r="V272" s="12"/>
      <c r="W272" s="12"/>
      <c r="X272" s="6" t="str">
        <f aca="false">IF(COUNT(R272:W272)=6,SUM(R272:W272),"ko‘rilmagan")</f>
        <v>ko‘rilmagan</v>
      </c>
      <c r="Y272" s="12"/>
    </row>
    <row r="273" customFormat="false" ht="23.85" hidden="false" customHeight="false" outlineLevel="0" collapsed="false">
      <c r="A273" s="6" t="s">
        <v>2122</v>
      </c>
      <c r="B273" s="6" t="s">
        <v>440</v>
      </c>
      <c r="C273" s="6"/>
      <c r="D273" s="6" t="str">
        <f aca="false">IFERROR(INDEX(Mundarija!$D:$D,MATCH(B273,Mundarija!$A:$A,0)),"kod topilmadi")</f>
        <v>25.6. Yuzaki venalar va varikoz.</v>
      </c>
      <c r="E273" s="6" t="s">
        <v>2123</v>
      </c>
      <c r="F273" s="11" t="s">
        <v>2124</v>
      </c>
      <c r="G273" s="6" t="s">
        <v>2120</v>
      </c>
      <c r="H273" s="6" t="s">
        <v>2121</v>
      </c>
      <c r="I273" s="6" t="s">
        <v>877</v>
      </c>
      <c r="J273" s="6" t="s">
        <v>877</v>
      </c>
      <c r="K273" s="6" t="s">
        <v>878</v>
      </c>
      <c r="L273" s="6" t="s">
        <v>904</v>
      </c>
      <c r="M273" s="6" t="s">
        <v>891</v>
      </c>
      <c r="N273" s="12" t="s">
        <v>881</v>
      </c>
      <c r="O273" s="6" t="s">
        <v>882</v>
      </c>
      <c r="P273" s="6" t="s">
        <v>2</v>
      </c>
      <c r="Q273" s="6" t="s">
        <v>20</v>
      </c>
      <c r="R273" s="12"/>
      <c r="S273" s="12"/>
      <c r="T273" s="12"/>
      <c r="U273" s="12"/>
      <c r="V273" s="12"/>
      <c r="W273" s="12"/>
      <c r="X273" s="6" t="str">
        <f aca="false">IF(COUNT(R273:W273)=6,SUM(R273:W273),"ko‘rilmagan")</f>
        <v>ko‘rilmagan</v>
      </c>
      <c r="Y273" s="12"/>
    </row>
    <row r="274" customFormat="false" ht="23.85" hidden="false" customHeight="false" outlineLevel="0" collapsed="false">
      <c r="A274" s="6" t="s">
        <v>2125</v>
      </c>
      <c r="B274" s="6" t="s">
        <v>440</v>
      </c>
      <c r="C274" s="6"/>
      <c r="D274" s="6" t="str">
        <f aca="false">IFERROR(INDEX(Mundarija!$D:$D,MATCH(B274,Mundarija!$A:$A,0)),"kod topilmadi")</f>
        <v>25.6. Yuzaki venalar va varikoz.</v>
      </c>
      <c r="E274" s="6" t="s">
        <v>2126</v>
      </c>
      <c r="F274" s="11" t="s">
        <v>2127</v>
      </c>
      <c r="G274" s="6" t="s">
        <v>1223</v>
      </c>
      <c r="H274" s="6" t="s">
        <v>1842</v>
      </c>
      <c r="I274" s="6" t="s">
        <v>877</v>
      </c>
      <c r="J274" s="6" t="s">
        <v>877</v>
      </c>
      <c r="K274" s="6" t="s">
        <v>878</v>
      </c>
      <c r="L274" s="6" t="s">
        <v>904</v>
      </c>
      <c r="M274" s="6" t="s">
        <v>912</v>
      </c>
      <c r="N274" s="12" t="s">
        <v>881</v>
      </c>
      <c r="O274" s="6" t="s">
        <v>882</v>
      </c>
      <c r="P274" s="6" t="s">
        <v>2</v>
      </c>
      <c r="Q274" s="6" t="s">
        <v>20</v>
      </c>
      <c r="R274" s="12"/>
      <c r="S274" s="12"/>
      <c r="T274" s="12"/>
      <c r="U274" s="12"/>
      <c r="V274" s="12"/>
      <c r="W274" s="12"/>
      <c r="X274" s="6" t="str">
        <f aca="false">IF(COUNT(R274:W274)=6,SUM(R274:W274),"ko‘rilmagan")</f>
        <v>ko‘rilmagan</v>
      </c>
      <c r="Y274" s="12"/>
    </row>
    <row r="275" customFormat="false" ht="23.85" hidden="false" customHeight="false" outlineLevel="0" collapsed="false">
      <c r="A275" s="6" t="s">
        <v>2128</v>
      </c>
      <c r="B275" s="6" t="s">
        <v>442</v>
      </c>
      <c r="C275" s="6" t="s">
        <v>251</v>
      </c>
      <c r="D275" s="6" t="str">
        <f aca="false">IFERROR(INDEX(Mundarija!$D:$D,MATCH(B275,Mundarija!$A:$A,0)),"kod topilmadi")</f>
        <v>25.7. Qorin aortasi va pastki kava vena.</v>
      </c>
      <c r="E275" s="6" t="s">
        <v>2129</v>
      </c>
      <c r="F275" s="11" t="s">
        <v>2130</v>
      </c>
      <c r="G275" s="6" t="s">
        <v>1359</v>
      </c>
      <c r="H275" s="6" t="s">
        <v>2131</v>
      </c>
      <c r="I275" s="6" t="s">
        <v>877</v>
      </c>
      <c r="J275" s="6" t="s">
        <v>877</v>
      </c>
      <c r="K275" s="6" t="s">
        <v>878</v>
      </c>
      <c r="L275" s="6" t="s">
        <v>879</v>
      </c>
      <c r="M275" s="6" t="s">
        <v>891</v>
      </c>
      <c r="N275" s="12" t="s">
        <v>881</v>
      </c>
      <c r="O275" s="6" t="s">
        <v>882</v>
      </c>
      <c r="P275" s="6" t="s">
        <v>2</v>
      </c>
      <c r="Q275" s="6" t="s">
        <v>20</v>
      </c>
      <c r="R275" s="12"/>
      <c r="S275" s="12"/>
      <c r="T275" s="12"/>
      <c r="U275" s="12"/>
      <c r="V275" s="12"/>
      <c r="W275" s="12"/>
      <c r="X275" s="6" t="str">
        <f aca="false">IF(COUNT(R275:W275)=6,SUM(R275:W275),"ko‘rilmagan")</f>
        <v>ko‘rilmagan</v>
      </c>
      <c r="Y275" s="12"/>
    </row>
    <row r="276" customFormat="false" ht="23.85" hidden="false" customHeight="false" outlineLevel="0" collapsed="false">
      <c r="A276" s="6" t="s">
        <v>2132</v>
      </c>
      <c r="B276" s="6" t="s">
        <v>442</v>
      </c>
      <c r="C276" s="6" t="s">
        <v>251</v>
      </c>
      <c r="D276" s="6" t="str">
        <f aca="false">IFERROR(INDEX(Mundarija!$D:$D,MATCH(B276,Mundarija!$A:$A,0)),"kod topilmadi")</f>
        <v>25.7. Qorin aortasi va pastki kava vena.</v>
      </c>
      <c r="E276" s="6" t="s">
        <v>2133</v>
      </c>
      <c r="F276" s="11" t="s">
        <v>2134</v>
      </c>
      <c r="G276" s="6" t="s">
        <v>2135</v>
      </c>
      <c r="H276" s="6" t="s">
        <v>2136</v>
      </c>
      <c r="I276" s="6" t="s">
        <v>877</v>
      </c>
      <c r="J276" s="6" t="s">
        <v>877</v>
      </c>
      <c r="K276" s="6" t="s">
        <v>878</v>
      </c>
      <c r="L276" s="6" t="s">
        <v>879</v>
      </c>
      <c r="M276" s="6" t="s">
        <v>891</v>
      </c>
      <c r="N276" s="12" t="s">
        <v>881</v>
      </c>
      <c r="O276" s="6" t="s">
        <v>882</v>
      </c>
      <c r="P276" s="6" t="s">
        <v>2</v>
      </c>
      <c r="Q276" s="6" t="s">
        <v>20</v>
      </c>
      <c r="R276" s="12"/>
      <c r="S276" s="12"/>
      <c r="T276" s="12"/>
      <c r="U276" s="12"/>
      <c r="V276" s="12"/>
      <c r="W276" s="12"/>
      <c r="X276" s="6" t="str">
        <f aca="false">IF(COUNT(R276:W276)=6,SUM(R276:W276),"ko‘rilmagan")</f>
        <v>ko‘rilmagan</v>
      </c>
      <c r="Y276" s="12"/>
    </row>
    <row r="277" customFormat="false" ht="23.85" hidden="false" customHeight="false" outlineLevel="0" collapsed="false">
      <c r="A277" s="6" t="s">
        <v>2137</v>
      </c>
      <c r="B277" s="6" t="s">
        <v>442</v>
      </c>
      <c r="C277" s="6" t="s">
        <v>2138</v>
      </c>
      <c r="D277" s="6" t="str">
        <f aca="false">IFERROR(INDEX(Mundarija!$D:$D,MATCH(B277,Mundarija!$A:$A,0)),"kod topilmadi")</f>
        <v>25.7. Qorin aortasi va pastki kava vena.</v>
      </c>
      <c r="E277" s="6" t="s">
        <v>2139</v>
      </c>
      <c r="F277" s="11" t="s">
        <v>2140</v>
      </c>
      <c r="G277" s="6" t="s">
        <v>2141</v>
      </c>
      <c r="H277" s="6" t="s">
        <v>2142</v>
      </c>
      <c r="I277" s="6" t="s">
        <v>877</v>
      </c>
      <c r="J277" s="6" t="s">
        <v>877</v>
      </c>
      <c r="K277" s="6" t="s">
        <v>878</v>
      </c>
      <c r="L277" s="6" t="s">
        <v>879</v>
      </c>
      <c r="M277" s="6" t="s">
        <v>891</v>
      </c>
      <c r="N277" s="12" t="s">
        <v>881</v>
      </c>
      <c r="O277" s="6" t="s">
        <v>882</v>
      </c>
      <c r="P277" s="6" t="s">
        <v>2</v>
      </c>
      <c r="Q277" s="6" t="s">
        <v>20</v>
      </c>
      <c r="R277" s="12"/>
      <c r="S277" s="12"/>
      <c r="T277" s="12"/>
      <c r="U277" s="12"/>
      <c r="V277" s="12"/>
      <c r="W277" s="12"/>
      <c r="X277" s="6" t="str">
        <f aca="false">IF(COUNT(R277:W277)=6,SUM(R277:W277),"ko‘rilmagan")</f>
        <v>ko‘rilmagan</v>
      </c>
      <c r="Y277" s="12"/>
    </row>
    <row r="278" customFormat="false" ht="23.85" hidden="false" customHeight="false" outlineLevel="0" collapsed="false">
      <c r="A278" s="6" t="s">
        <v>2143</v>
      </c>
      <c r="B278" s="6" t="s">
        <v>444</v>
      </c>
      <c r="C278" s="6"/>
      <c r="D278" s="6" t="str">
        <f aca="false">IFERROR(INDEX(Mundarija!$D:$D,MATCH(B278,Mundarija!$A:$A,0)),"kod topilmadi")</f>
        <v>25.8. Gemodializ arteriovenoz kirish yo‘llari.</v>
      </c>
      <c r="E278" s="6" t="s">
        <v>2144</v>
      </c>
      <c r="F278" s="11" t="s">
        <v>2145</v>
      </c>
      <c r="G278" s="6" t="s">
        <v>1223</v>
      </c>
      <c r="H278" s="6" t="s">
        <v>1842</v>
      </c>
      <c r="I278" s="6" t="s">
        <v>877</v>
      </c>
      <c r="J278" s="6" t="s">
        <v>877</v>
      </c>
      <c r="K278" s="6" t="s">
        <v>878</v>
      </c>
      <c r="L278" s="6" t="s">
        <v>904</v>
      </c>
      <c r="M278" s="6" t="s">
        <v>891</v>
      </c>
      <c r="N278" s="12" t="s">
        <v>881</v>
      </c>
      <c r="O278" s="6" t="s">
        <v>882</v>
      </c>
      <c r="P278" s="6" t="s">
        <v>2</v>
      </c>
      <c r="Q278" s="6" t="s">
        <v>20</v>
      </c>
      <c r="R278" s="12"/>
      <c r="S278" s="12"/>
      <c r="T278" s="12"/>
      <c r="U278" s="12"/>
      <c r="V278" s="12"/>
      <c r="W278" s="12"/>
      <c r="X278" s="6" t="str">
        <f aca="false">IF(COUNT(R278:W278)=6,SUM(R278:W278),"ko‘rilmagan")</f>
        <v>ko‘rilmagan</v>
      </c>
      <c r="Y278" s="12"/>
    </row>
    <row r="279" customFormat="false" ht="23.85" hidden="false" customHeight="false" outlineLevel="0" collapsed="false">
      <c r="A279" s="6" t="s">
        <v>2146</v>
      </c>
      <c r="B279" s="6" t="s">
        <v>444</v>
      </c>
      <c r="C279" s="6"/>
      <c r="D279" s="6" t="str">
        <f aca="false">IFERROR(INDEX(Mundarija!$D:$D,MATCH(B279,Mundarija!$A:$A,0)),"kod topilmadi")</f>
        <v>25.8. Gemodializ arteriovenoz kirish yo‘llari.</v>
      </c>
      <c r="E279" s="6" t="s">
        <v>2147</v>
      </c>
      <c r="F279" s="11" t="s">
        <v>2148</v>
      </c>
      <c r="G279" s="6" t="s">
        <v>2149</v>
      </c>
      <c r="H279" s="6" t="s">
        <v>2150</v>
      </c>
      <c r="I279" s="6" t="s">
        <v>877</v>
      </c>
      <c r="J279" s="6" t="s">
        <v>877</v>
      </c>
      <c r="K279" s="6" t="s">
        <v>878</v>
      </c>
      <c r="L279" s="6" t="s">
        <v>1748</v>
      </c>
      <c r="M279" s="6" t="s">
        <v>912</v>
      </c>
      <c r="N279" s="12" t="s">
        <v>881</v>
      </c>
      <c r="O279" s="6" t="s">
        <v>882</v>
      </c>
      <c r="P279" s="6" t="s">
        <v>2</v>
      </c>
      <c r="Q279" s="6" t="s">
        <v>20</v>
      </c>
      <c r="R279" s="12"/>
      <c r="S279" s="12"/>
      <c r="T279" s="12"/>
      <c r="U279" s="12"/>
      <c r="V279" s="12"/>
      <c r="W279" s="12"/>
      <c r="X279" s="6" t="str">
        <f aca="false">IF(COUNT(R279:W279)=6,SUM(R279:W279),"ko‘rilmagan")</f>
        <v>ko‘rilmagan</v>
      </c>
      <c r="Y279" s="12"/>
    </row>
    <row r="280" customFormat="false" ht="23.85" hidden="false" customHeight="false" outlineLevel="0" collapsed="false">
      <c r="A280" s="6" t="s">
        <v>2151</v>
      </c>
      <c r="B280" s="6" t="s">
        <v>444</v>
      </c>
      <c r="C280" s="6"/>
      <c r="D280" s="6" t="str">
        <f aca="false">IFERROR(INDEX(Mundarija!$D:$D,MATCH(B280,Mundarija!$A:$A,0)),"kod topilmadi")</f>
        <v>25.8. Gemodializ arteriovenoz kirish yo‘llari.</v>
      </c>
      <c r="E280" s="6" t="s">
        <v>2152</v>
      </c>
      <c r="F280" s="11" t="s">
        <v>2153</v>
      </c>
      <c r="G280" s="6" t="s">
        <v>2154</v>
      </c>
      <c r="H280" s="6" t="s">
        <v>1779</v>
      </c>
      <c r="I280" s="6" t="s">
        <v>877</v>
      </c>
      <c r="J280" s="6" t="s">
        <v>877</v>
      </c>
      <c r="K280" s="6" t="s">
        <v>878</v>
      </c>
      <c r="L280" s="6" t="s">
        <v>1748</v>
      </c>
      <c r="M280" s="6" t="s">
        <v>912</v>
      </c>
      <c r="N280" s="12" t="s">
        <v>881</v>
      </c>
      <c r="O280" s="6" t="s">
        <v>882</v>
      </c>
      <c r="P280" s="6" t="s">
        <v>2</v>
      </c>
      <c r="Q280" s="6" t="s">
        <v>20</v>
      </c>
      <c r="R280" s="12"/>
      <c r="S280" s="12"/>
      <c r="T280" s="12"/>
      <c r="U280" s="12"/>
      <c r="V280" s="12"/>
      <c r="W280" s="12"/>
      <c r="X280" s="6" t="str">
        <f aca="false">IF(COUNT(R280:W280)=6,SUM(R280:W280),"ko‘rilmagan")</f>
        <v>ko‘rilmagan</v>
      </c>
      <c r="Y280" s="12"/>
    </row>
    <row r="281" customFormat="false" ht="23.85" hidden="false" customHeight="false" outlineLevel="0" collapsed="false">
      <c r="A281" s="6" t="s">
        <v>2155</v>
      </c>
      <c r="B281" s="6" t="s">
        <v>446</v>
      </c>
      <c r="C281" s="6" t="s">
        <v>190</v>
      </c>
      <c r="D281" s="6" t="str">
        <f aca="false">IFERROR(INDEX(Mundarija!$D:$D,MATCH(B281,Mundarija!$A:$A,0)),"kod topilmadi")</f>
        <v>25.9. Transplantat tomirlari.</v>
      </c>
      <c r="E281" s="6" t="s">
        <v>2156</v>
      </c>
      <c r="F281" s="11" t="s">
        <v>2157</v>
      </c>
      <c r="G281" s="6" t="s">
        <v>1235</v>
      </c>
      <c r="H281" s="6" t="s">
        <v>910</v>
      </c>
      <c r="I281" s="6" t="s">
        <v>877</v>
      </c>
      <c r="J281" s="6" t="s">
        <v>877</v>
      </c>
      <c r="K281" s="6" t="s">
        <v>878</v>
      </c>
      <c r="L281" s="6" t="s">
        <v>1748</v>
      </c>
      <c r="M281" s="6" t="s">
        <v>912</v>
      </c>
      <c r="N281" s="12" t="s">
        <v>881</v>
      </c>
      <c r="O281" s="6" t="s">
        <v>882</v>
      </c>
      <c r="P281" s="6" t="s">
        <v>2</v>
      </c>
      <c r="Q281" s="6" t="s">
        <v>20</v>
      </c>
      <c r="R281" s="12"/>
      <c r="S281" s="12"/>
      <c r="T281" s="12"/>
      <c r="U281" s="12"/>
      <c r="V281" s="12"/>
      <c r="W281" s="12"/>
      <c r="X281" s="6" t="str">
        <f aca="false">IF(COUNT(R281:W281)=6,SUM(R281:W281),"ko‘rilmagan")</f>
        <v>ko‘rilmagan</v>
      </c>
      <c r="Y281" s="12"/>
    </row>
    <row r="282" customFormat="false" ht="23.85" hidden="false" customHeight="false" outlineLevel="0" collapsed="false">
      <c r="A282" s="6" t="s">
        <v>2158</v>
      </c>
      <c r="B282" s="6" t="s">
        <v>446</v>
      </c>
      <c r="C282" s="6" t="s">
        <v>190</v>
      </c>
      <c r="D282" s="6" t="str">
        <f aca="false">IFERROR(INDEX(Mundarija!$D:$D,MATCH(B282,Mundarija!$A:$A,0)),"kod topilmadi")</f>
        <v>25.9. Transplantat tomirlari.</v>
      </c>
      <c r="E282" s="6" t="s">
        <v>2159</v>
      </c>
      <c r="F282" s="11" t="s">
        <v>2160</v>
      </c>
      <c r="G282" s="6" t="s">
        <v>1235</v>
      </c>
      <c r="H282" s="6" t="s">
        <v>910</v>
      </c>
      <c r="I282" s="6" t="s">
        <v>877</v>
      </c>
      <c r="J282" s="6" t="s">
        <v>877</v>
      </c>
      <c r="K282" s="6" t="s">
        <v>878</v>
      </c>
      <c r="L282" s="6" t="s">
        <v>1748</v>
      </c>
      <c r="M282" s="6" t="s">
        <v>1713</v>
      </c>
      <c r="N282" s="12" t="s">
        <v>881</v>
      </c>
      <c r="O282" s="6" t="s">
        <v>882</v>
      </c>
      <c r="P282" s="6" t="s">
        <v>2</v>
      </c>
      <c r="Q282" s="6" t="s">
        <v>20</v>
      </c>
      <c r="R282" s="12"/>
      <c r="S282" s="12"/>
      <c r="T282" s="12"/>
      <c r="U282" s="12"/>
      <c r="V282" s="12"/>
      <c r="W282" s="12"/>
      <c r="X282" s="6" t="str">
        <f aca="false">IF(COUNT(R282:W282)=6,SUM(R282:W282),"ko‘rilmagan")</f>
        <v>ko‘rilmagan</v>
      </c>
      <c r="Y282" s="12"/>
    </row>
    <row r="283" customFormat="false" ht="23.85" hidden="false" customHeight="false" outlineLevel="0" collapsed="false">
      <c r="A283" s="6" t="s">
        <v>2161</v>
      </c>
      <c r="B283" s="6" t="s">
        <v>181</v>
      </c>
      <c r="C283" s="6" t="s">
        <v>428</v>
      </c>
      <c r="D283" s="6" t="str">
        <f aca="false">IFERROR(INDEX(Mundarija!$D:$D,MATCH(B283,Mundarija!$A:$A,0)),"kod topilmadi")</f>
        <v>10.4. Portal gipertenziya, portal va jigar venalari.</v>
      </c>
      <c r="E283" s="6" t="s">
        <v>2162</v>
      </c>
      <c r="F283" s="11" t="s">
        <v>2163</v>
      </c>
      <c r="G283" s="6" t="s">
        <v>2164</v>
      </c>
      <c r="H283" s="6" t="s">
        <v>2165</v>
      </c>
      <c r="I283" s="6" t="s">
        <v>877</v>
      </c>
      <c r="J283" s="6" t="s">
        <v>877</v>
      </c>
      <c r="K283" s="6" t="s">
        <v>878</v>
      </c>
      <c r="L283" s="6" t="s">
        <v>904</v>
      </c>
      <c r="M283" s="6" t="s">
        <v>912</v>
      </c>
      <c r="N283" s="12" t="s">
        <v>881</v>
      </c>
      <c r="O283" s="6" t="s">
        <v>882</v>
      </c>
      <c r="P283" s="6" t="s">
        <v>2</v>
      </c>
      <c r="Q283" s="6" t="s">
        <v>20</v>
      </c>
      <c r="R283" s="12"/>
      <c r="S283" s="12"/>
      <c r="T283" s="12"/>
      <c r="U283" s="12"/>
      <c r="V283" s="12"/>
      <c r="W283" s="12"/>
      <c r="X283" s="6" t="str">
        <f aca="false">IF(COUNT(R283:W283)=6,SUM(R283:W283),"ko‘rilmagan")</f>
        <v>ko‘rilmagan</v>
      </c>
      <c r="Y283" s="12"/>
    </row>
    <row r="284" customFormat="false" ht="23.85" hidden="false" customHeight="false" outlineLevel="0" collapsed="false">
      <c r="A284" s="6" t="s">
        <v>2166</v>
      </c>
      <c r="B284" s="6" t="s">
        <v>450</v>
      </c>
      <c r="C284" s="6" t="s">
        <v>454</v>
      </c>
      <c r="D284" s="6" t="str">
        <f aca="false">IFERROR(INDEX(Mundarija!$D:$D,MATCH(B284,Mundarija!$A:$A,0)),"kod topilmadi")</f>
        <v>26.1. Yurak anatomiyasi va standart akustik oynalar.</v>
      </c>
      <c r="E284" s="6" t="s">
        <v>2167</v>
      </c>
      <c r="F284" s="11" t="s">
        <v>2168</v>
      </c>
      <c r="G284" s="6" t="s">
        <v>1623</v>
      </c>
      <c r="H284" s="6" t="s">
        <v>1624</v>
      </c>
      <c r="I284" s="6" t="s">
        <v>877</v>
      </c>
      <c r="J284" s="6" t="s">
        <v>877</v>
      </c>
      <c r="K284" s="6" t="s">
        <v>878</v>
      </c>
      <c r="L284" s="6" t="s">
        <v>879</v>
      </c>
      <c r="M284" s="6" t="s">
        <v>912</v>
      </c>
      <c r="N284" s="12" t="s">
        <v>881</v>
      </c>
      <c r="O284" s="6" t="s">
        <v>882</v>
      </c>
      <c r="P284" s="6" t="s">
        <v>2</v>
      </c>
      <c r="Q284" s="6" t="s">
        <v>20</v>
      </c>
      <c r="R284" s="12"/>
      <c r="S284" s="12"/>
      <c r="T284" s="12"/>
      <c r="U284" s="12"/>
      <c r="V284" s="12"/>
      <c r="W284" s="12"/>
      <c r="X284" s="6" t="str">
        <f aca="false">IF(COUNT(R284:W284)=6,SUM(R284:W284),"ko‘rilmagan")</f>
        <v>ko‘rilmagan</v>
      </c>
      <c r="Y284" s="12"/>
    </row>
    <row r="285" customFormat="false" ht="23.85" hidden="false" customHeight="false" outlineLevel="0" collapsed="false">
      <c r="A285" s="6" t="s">
        <v>2169</v>
      </c>
      <c r="B285" s="6" t="s">
        <v>456</v>
      </c>
      <c r="C285" s="6" t="s">
        <v>460</v>
      </c>
      <c r="D285" s="6" t="str">
        <f aca="false">IFERROR(INDEX(Mundarija!$D:$D,MATCH(B285,Mundarija!$A:$A,0)),"kod topilmadi")</f>
        <v>26.3. M-rejim va 2D tasvir.</v>
      </c>
      <c r="E285" s="6" t="s">
        <v>2170</v>
      </c>
      <c r="F285" s="11" t="s">
        <v>2171</v>
      </c>
      <c r="G285" s="6" t="s">
        <v>1623</v>
      </c>
      <c r="H285" s="6" t="s">
        <v>1624</v>
      </c>
      <c r="I285" s="6" t="s">
        <v>877</v>
      </c>
      <c r="J285" s="6" t="s">
        <v>877</v>
      </c>
      <c r="K285" s="6" t="s">
        <v>878</v>
      </c>
      <c r="L285" s="6" t="s">
        <v>879</v>
      </c>
      <c r="M285" s="6" t="s">
        <v>891</v>
      </c>
      <c r="N285" s="12" t="s">
        <v>881</v>
      </c>
      <c r="O285" s="6" t="s">
        <v>882</v>
      </c>
      <c r="P285" s="6" t="s">
        <v>2</v>
      </c>
      <c r="Q285" s="6" t="s">
        <v>20</v>
      </c>
      <c r="R285" s="12"/>
      <c r="S285" s="12"/>
      <c r="T285" s="12"/>
      <c r="U285" s="12"/>
      <c r="V285" s="12"/>
      <c r="W285" s="12"/>
      <c r="X285" s="6" t="str">
        <f aca="false">IF(COUNT(R285:W285)=6,SUM(R285:W285),"ko‘rilmagan")</f>
        <v>ko‘rilmagan</v>
      </c>
      <c r="Y285" s="12"/>
    </row>
    <row r="286" customFormat="false" ht="23.85" hidden="false" customHeight="false" outlineLevel="0" collapsed="false">
      <c r="A286" s="6" t="s">
        <v>2172</v>
      </c>
      <c r="B286" s="6" t="s">
        <v>456</v>
      </c>
      <c r="C286" s="6"/>
      <c r="D286" s="6" t="str">
        <f aca="false">IFERROR(INDEX(Mundarija!$D:$D,MATCH(B286,Mundarija!$A:$A,0)),"kod topilmadi")</f>
        <v>26.3. M-rejim va 2D tasvir.</v>
      </c>
      <c r="E286" s="6" t="s">
        <v>2173</v>
      </c>
      <c r="F286" s="11" t="s">
        <v>2174</v>
      </c>
      <c r="G286" s="6" t="s">
        <v>2175</v>
      </c>
      <c r="H286" s="6" t="s">
        <v>2176</v>
      </c>
      <c r="I286" s="6" t="s">
        <v>877</v>
      </c>
      <c r="J286" s="6" t="s">
        <v>877</v>
      </c>
      <c r="K286" s="6" t="s">
        <v>878</v>
      </c>
      <c r="L286" s="6" t="s">
        <v>879</v>
      </c>
      <c r="M286" s="6" t="s">
        <v>912</v>
      </c>
      <c r="N286" s="12" t="s">
        <v>881</v>
      </c>
      <c r="O286" s="6" t="s">
        <v>882</v>
      </c>
      <c r="P286" s="6" t="s">
        <v>2</v>
      </c>
      <c r="Q286" s="6" t="s">
        <v>20</v>
      </c>
      <c r="R286" s="12"/>
      <c r="S286" s="12"/>
      <c r="T286" s="12"/>
      <c r="U286" s="12"/>
      <c r="V286" s="12"/>
      <c r="W286" s="12"/>
      <c r="X286" s="6" t="str">
        <f aca="false">IF(COUNT(R286:W286)=6,SUM(R286:W286),"ko‘rilmagan")</f>
        <v>ko‘rilmagan</v>
      </c>
      <c r="Y286" s="12"/>
    </row>
    <row r="287" customFormat="false" ht="23.85" hidden="false" customHeight="false" outlineLevel="0" collapsed="false">
      <c r="A287" s="6" t="s">
        <v>2177</v>
      </c>
      <c r="B287" s="6" t="s">
        <v>458</v>
      </c>
      <c r="C287" s="6"/>
      <c r="D287" s="6" t="str">
        <f aca="false">IFERROR(INDEX(Mundarija!$D:$D,MATCH(B287,Mundarija!$A:$A,0)),"kod topilmadi")</f>
        <v>26.4. Pulsli, uzluksiz, rangli va to‘qima Doppleri.</v>
      </c>
      <c r="E287" s="6" t="s">
        <v>2178</v>
      </c>
      <c r="F287" s="11" t="s">
        <v>2179</v>
      </c>
      <c r="G287" s="6" t="s">
        <v>2175</v>
      </c>
      <c r="H287" s="6" t="s">
        <v>2176</v>
      </c>
      <c r="I287" s="6" t="s">
        <v>877</v>
      </c>
      <c r="J287" s="6" t="s">
        <v>877</v>
      </c>
      <c r="K287" s="6" t="s">
        <v>878</v>
      </c>
      <c r="L287" s="6" t="s">
        <v>879</v>
      </c>
      <c r="M287" s="6" t="s">
        <v>912</v>
      </c>
      <c r="N287" s="12" t="s">
        <v>881</v>
      </c>
      <c r="O287" s="6" t="s">
        <v>882</v>
      </c>
      <c r="P287" s="6" t="s">
        <v>2</v>
      </c>
      <c r="Q287" s="6" t="s">
        <v>20</v>
      </c>
      <c r="R287" s="12"/>
      <c r="S287" s="12"/>
      <c r="T287" s="12"/>
      <c r="U287" s="12"/>
      <c r="V287" s="12"/>
      <c r="W287" s="12"/>
      <c r="X287" s="6" t="str">
        <f aca="false">IF(COUNT(R287:W287)=6,SUM(R287:W287),"ko‘rilmagan")</f>
        <v>ko‘rilmagan</v>
      </c>
      <c r="Y287" s="12"/>
    </row>
    <row r="288" customFormat="false" ht="23.85" hidden="false" customHeight="false" outlineLevel="0" collapsed="false">
      <c r="A288" s="6" t="s">
        <v>2180</v>
      </c>
      <c r="B288" s="6" t="s">
        <v>458</v>
      </c>
      <c r="C288" s="6"/>
      <c r="D288" s="6" t="str">
        <f aca="false">IFERROR(INDEX(Mundarija!$D:$D,MATCH(B288,Mundarija!$A:$A,0)),"kod topilmadi")</f>
        <v>26.4. Pulsli, uzluksiz, rangli va to‘qima Doppleri.</v>
      </c>
      <c r="E288" s="6" t="s">
        <v>2181</v>
      </c>
      <c r="F288" s="11" t="s">
        <v>2182</v>
      </c>
      <c r="G288" s="6" t="s">
        <v>2175</v>
      </c>
      <c r="H288" s="6" t="s">
        <v>2176</v>
      </c>
      <c r="I288" s="6" t="s">
        <v>877</v>
      </c>
      <c r="J288" s="6" t="s">
        <v>877</v>
      </c>
      <c r="K288" s="6" t="s">
        <v>878</v>
      </c>
      <c r="L288" s="6" t="s">
        <v>879</v>
      </c>
      <c r="M288" s="6" t="s">
        <v>912</v>
      </c>
      <c r="N288" s="12" t="s">
        <v>881</v>
      </c>
      <c r="O288" s="6" t="s">
        <v>882</v>
      </c>
      <c r="P288" s="6" t="s">
        <v>2</v>
      </c>
      <c r="Q288" s="6" t="s">
        <v>20</v>
      </c>
      <c r="R288" s="12"/>
      <c r="S288" s="12"/>
      <c r="T288" s="12"/>
      <c r="U288" s="12"/>
      <c r="V288" s="12"/>
      <c r="W288" s="12"/>
      <c r="X288" s="6" t="str">
        <f aca="false">IF(COUNT(R288:W288)=6,SUM(R288:W288),"ko‘rilmagan")</f>
        <v>ko‘rilmagan</v>
      </c>
      <c r="Y288" s="12"/>
    </row>
    <row r="289" customFormat="false" ht="23.85" hidden="false" customHeight="false" outlineLevel="0" collapsed="false">
      <c r="A289" s="6" t="s">
        <v>2183</v>
      </c>
      <c r="B289" s="6" t="s">
        <v>458</v>
      </c>
      <c r="C289" s="6" t="s">
        <v>464</v>
      </c>
      <c r="D289" s="6" t="str">
        <f aca="false">IFERROR(INDEX(Mundarija!$D:$D,MATCH(B289,Mundarija!$A:$A,0)),"kod topilmadi")</f>
        <v>26.4. Pulsli, uzluksiz, rangli va to‘qima Doppleri.</v>
      </c>
      <c r="E289" s="6" t="s">
        <v>2184</v>
      </c>
      <c r="F289" s="11" t="s">
        <v>2185</v>
      </c>
      <c r="G289" s="6" t="s">
        <v>1527</v>
      </c>
      <c r="H289" s="6" t="s">
        <v>1632</v>
      </c>
      <c r="I289" s="6" t="s">
        <v>877</v>
      </c>
      <c r="J289" s="6" t="s">
        <v>877</v>
      </c>
      <c r="K289" s="6" t="s">
        <v>878</v>
      </c>
      <c r="L289" s="6" t="s">
        <v>904</v>
      </c>
      <c r="M289" s="6" t="s">
        <v>891</v>
      </c>
      <c r="N289" s="12" t="s">
        <v>881</v>
      </c>
      <c r="O289" s="6" t="s">
        <v>882</v>
      </c>
      <c r="P289" s="6" t="s">
        <v>2</v>
      </c>
      <c r="Q289" s="6" t="s">
        <v>20</v>
      </c>
      <c r="R289" s="12"/>
      <c r="S289" s="12"/>
      <c r="T289" s="12"/>
      <c r="U289" s="12"/>
      <c r="V289" s="12"/>
      <c r="W289" s="12"/>
      <c r="X289" s="6" t="str">
        <f aca="false">IF(COUNT(R289:W289)=6,SUM(R289:W289),"ko‘rilmagan")</f>
        <v>ko‘rilmagan</v>
      </c>
      <c r="Y289" s="12"/>
    </row>
    <row r="290" customFormat="false" ht="23.85" hidden="false" customHeight="false" outlineLevel="0" collapsed="false">
      <c r="A290" s="6" t="s">
        <v>2186</v>
      </c>
      <c r="B290" s="6" t="s">
        <v>460</v>
      </c>
      <c r="C290" s="6"/>
      <c r="D290" s="6" t="str">
        <f aca="false">IFERROR(INDEX(Mundarija!$D:$D,MATCH(B290,Mundarija!$A:$A,0)),"kod topilmadi")</f>
        <v>26.5. Yurak kameralari va devor qalinligi.</v>
      </c>
      <c r="E290" s="6" t="s">
        <v>2187</v>
      </c>
      <c r="F290" s="11" t="s">
        <v>2188</v>
      </c>
      <c r="G290" s="6" t="s">
        <v>2189</v>
      </c>
      <c r="H290" s="6" t="s">
        <v>2190</v>
      </c>
      <c r="I290" s="6" t="s">
        <v>877</v>
      </c>
      <c r="J290" s="6" t="s">
        <v>877</v>
      </c>
      <c r="K290" s="6" t="s">
        <v>878</v>
      </c>
      <c r="L290" s="6" t="s">
        <v>904</v>
      </c>
      <c r="M290" s="6" t="s">
        <v>912</v>
      </c>
      <c r="N290" s="12" t="s">
        <v>881</v>
      </c>
      <c r="O290" s="6" t="s">
        <v>882</v>
      </c>
      <c r="P290" s="6" t="s">
        <v>2</v>
      </c>
      <c r="Q290" s="6" t="s">
        <v>20</v>
      </c>
      <c r="R290" s="12"/>
      <c r="S290" s="12"/>
      <c r="T290" s="12"/>
      <c r="U290" s="12"/>
      <c r="V290" s="12"/>
      <c r="W290" s="12"/>
      <c r="X290" s="6" t="str">
        <f aca="false">IF(COUNT(R290:W290)=6,SUM(R290:W290),"ko‘rilmagan")</f>
        <v>ko‘rilmagan</v>
      </c>
      <c r="Y290" s="12"/>
    </row>
    <row r="291" customFormat="false" ht="23.85" hidden="false" customHeight="false" outlineLevel="0" collapsed="false">
      <c r="A291" s="6" t="s">
        <v>2191</v>
      </c>
      <c r="B291" s="6" t="s">
        <v>460</v>
      </c>
      <c r="C291" s="6"/>
      <c r="D291" s="6" t="str">
        <f aca="false">IFERROR(INDEX(Mundarija!$D:$D,MATCH(B291,Mundarija!$A:$A,0)),"kod topilmadi")</f>
        <v>26.5. Yurak kameralari va devor qalinligi.</v>
      </c>
      <c r="E291" s="6" t="s">
        <v>2192</v>
      </c>
      <c r="F291" s="11" t="s">
        <v>2193</v>
      </c>
      <c r="G291" s="6" t="s">
        <v>2194</v>
      </c>
      <c r="H291" s="6" t="s">
        <v>2195</v>
      </c>
      <c r="I291" s="6" t="s">
        <v>877</v>
      </c>
      <c r="J291" s="6" t="s">
        <v>877</v>
      </c>
      <c r="K291" s="6" t="s">
        <v>878</v>
      </c>
      <c r="L291" s="6" t="s">
        <v>879</v>
      </c>
      <c r="M291" s="6" t="s">
        <v>912</v>
      </c>
      <c r="N291" s="12" t="s">
        <v>881</v>
      </c>
      <c r="O291" s="6" t="s">
        <v>882</v>
      </c>
      <c r="P291" s="6" t="s">
        <v>2</v>
      </c>
      <c r="Q291" s="6" t="s">
        <v>20</v>
      </c>
      <c r="R291" s="12"/>
      <c r="S291" s="12"/>
      <c r="T291" s="12"/>
      <c r="U291" s="12"/>
      <c r="V291" s="12"/>
      <c r="W291" s="12"/>
      <c r="X291" s="6" t="str">
        <f aca="false">IF(COUNT(R291:W291)=6,SUM(R291:W291),"ko‘rilmagan")</f>
        <v>ko‘rilmagan</v>
      </c>
      <c r="Y291" s="12"/>
    </row>
    <row r="292" customFormat="false" ht="23.85" hidden="false" customHeight="false" outlineLevel="0" collapsed="false">
      <c r="A292" s="6" t="s">
        <v>2196</v>
      </c>
      <c r="B292" s="6" t="s">
        <v>460</v>
      </c>
      <c r="C292" s="6" t="s">
        <v>456</v>
      </c>
      <c r="D292" s="6" t="str">
        <f aca="false">IFERROR(INDEX(Mundarija!$D:$D,MATCH(B292,Mundarija!$A:$A,0)),"kod topilmadi")</f>
        <v>26.5. Yurak kameralari va devor qalinligi.</v>
      </c>
      <c r="E292" s="6" t="s">
        <v>2197</v>
      </c>
      <c r="F292" s="11" t="s">
        <v>2198</v>
      </c>
      <c r="G292" s="6" t="s">
        <v>2175</v>
      </c>
      <c r="H292" s="6" t="s">
        <v>2176</v>
      </c>
      <c r="I292" s="6" t="s">
        <v>877</v>
      </c>
      <c r="J292" s="6" t="s">
        <v>877</v>
      </c>
      <c r="K292" s="6" t="s">
        <v>878</v>
      </c>
      <c r="L292" s="6" t="s">
        <v>879</v>
      </c>
      <c r="M292" s="6" t="s">
        <v>891</v>
      </c>
      <c r="N292" s="12" t="s">
        <v>881</v>
      </c>
      <c r="O292" s="6" t="s">
        <v>882</v>
      </c>
      <c r="P292" s="6" t="s">
        <v>2</v>
      </c>
      <c r="Q292" s="6" t="s">
        <v>20</v>
      </c>
      <c r="R292" s="12"/>
      <c r="S292" s="12"/>
      <c r="T292" s="12"/>
      <c r="U292" s="12"/>
      <c r="V292" s="12"/>
      <c r="W292" s="12"/>
      <c r="X292" s="6" t="str">
        <f aca="false">IF(COUNT(R292:W292)=6,SUM(R292:W292),"ko‘rilmagan")</f>
        <v>ko‘rilmagan</v>
      </c>
      <c r="Y292" s="12"/>
    </row>
    <row r="293" customFormat="false" ht="35.05" hidden="false" customHeight="false" outlineLevel="0" collapsed="false">
      <c r="A293" s="6" t="s">
        <v>2199</v>
      </c>
      <c r="B293" s="6" t="s">
        <v>464</v>
      </c>
      <c r="C293" s="6"/>
      <c r="D293" s="6" t="str">
        <f aca="false">IFERROR(INDEX(Mundarija!$D:$D,MATCH(B293,Mundarija!$A:$A,0)),"kod topilmadi")</f>
        <v>26.7. Diastolik funksiya va tegishli ko‘rsatkichlar.</v>
      </c>
      <c r="E293" s="6" t="s">
        <v>2200</v>
      </c>
      <c r="F293" s="11" t="s">
        <v>2201</v>
      </c>
      <c r="G293" s="6" t="s">
        <v>1409</v>
      </c>
      <c r="H293" s="6" t="s">
        <v>2202</v>
      </c>
      <c r="I293" s="6" t="s">
        <v>877</v>
      </c>
      <c r="J293" s="6" t="s">
        <v>877</v>
      </c>
      <c r="K293" s="6" t="s">
        <v>878</v>
      </c>
      <c r="L293" s="6" t="s">
        <v>1748</v>
      </c>
      <c r="M293" s="6" t="s">
        <v>912</v>
      </c>
      <c r="N293" s="12" t="s">
        <v>881</v>
      </c>
      <c r="O293" s="6" t="s">
        <v>882</v>
      </c>
      <c r="P293" s="6" t="s">
        <v>2</v>
      </c>
      <c r="Q293" s="6" t="s">
        <v>20</v>
      </c>
      <c r="R293" s="12"/>
      <c r="S293" s="12"/>
      <c r="T293" s="12"/>
      <c r="U293" s="12"/>
      <c r="V293" s="12"/>
      <c r="W293" s="12"/>
      <c r="X293" s="6" t="str">
        <f aca="false">IF(COUNT(R293:W293)=6,SUM(R293:W293),"ko‘rilmagan")</f>
        <v>ko‘rilmagan</v>
      </c>
      <c r="Y293" s="12"/>
    </row>
    <row r="294" customFormat="false" ht="23.85" hidden="false" customHeight="false" outlineLevel="0" collapsed="false">
      <c r="A294" s="6" t="s">
        <v>2203</v>
      </c>
      <c r="B294" s="6" t="s">
        <v>464</v>
      </c>
      <c r="C294" s="6"/>
      <c r="D294" s="6" t="str">
        <f aca="false">IFERROR(INDEX(Mundarija!$D:$D,MATCH(B294,Mundarija!$A:$A,0)),"kod topilmadi")</f>
        <v>26.7. Diastolik funksiya va tegishli ko‘rsatkichlar.</v>
      </c>
      <c r="E294" s="6" t="s">
        <v>2204</v>
      </c>
      <c r="F294" s="11" t="s">
        <v>2205</v>
      </c>
      <c r="G294" s="6" t="s">
        <v>2206</v>
      </c>
      <c r="H294" s="6" t="s">
        <v>2207</v>
      </c>
      <c r="I294" s="6" t="s">
        <v>877</v>
      </c>
      <c r="J294" s="6" t="s">
        <v>877</v>
      </c>
      <c r="K294" s="6" t="s">
        <v>878</v>
      </c>
      <c r="L294" s="6" t="s">
        <v>1748</v>
      </c>
      <c r="M294" s="6" t="s">
        <v>912</v>
      </c>
      <c r="N294" s="12" t="s">
        <v>881</v>
      </c>
      <c r="O294" s="6" t="s">
        <v>882</v>
      </c>
      <c r="P294" s="6" t="s">
        <v>2</v>
      </c>
      <c r="Q294" s="6" t="s">
        <v>20</v>
      </c>
      <c r="R294" s="12"/>
      <c r="S294" s="12"/>
      <c r="T294" s="12"/>
      <c r="U294" s="12"/>
      <c r="V294" s="12"/>
      <c r="W294" s="12"/>
      <c r="X294" s="6" t="str">
        <f aca="false">IF(COUNT(R294:W294)=6,SUM(R294:W294),"ko‘rilmagan")</f>
        <v>ko‘rilmagan</v>
      </c>
      <c r="Y294" s="12"/>
    </row>
    <row r="295" customFormat="false" ht="23.85" hidden="false" customHeight="false" outlineLevel="0" collapsed="false">
      <c r="A295" s="6" t="s">
        <v>2208</v>
      </c>
      <c r="B295" s="6" t="s">
        <v>464</v>
      </c>
      <c r="C295" s="6"/>
      <c r="D295" s="6" t="str">
        <f aca="false">IFERROR(INDEX(Mundarija!$D:$D,MATCH(B295,Mundarija!$A:$A,0)),"kod topilmadi")</f>
        <v>26.7. Diastolik funksiya va tegishli ko‘rsatkichlar.</v>
      </c>
      <c r="E295" s="6" t="s">
        <v>2209</v>
      </c>
      <c r="F295" s="11" t="s">
        <v>2210</v>
      </c>
      <c r="G295" s="6" t="s">
        <v>2211</v>
      </c>
      <c r="H295" s="6" t="s">
        <v>2212</v>
      </c>
      <c r="I295" s="6" t="s">
        <v>877</v>
      </c>
      <c r="J295" s="6" t="s">
        <v>877</v>
      </c>
      <c r="K295" s="6" t="s">
        <v>878</v>
      </c>
      <c r="L295" s="6" t="s">
        <v>904</v>
      </c>
      <c r="M295" s="6" t="s">
        <v>912</v>
      </c>
      <c r="N295" s="12" t="s">
        <v>881</v>
      </c>
      <c r="O295" s="6" t="s">
        <v>882</v>
      </c>
      <c r="P295" s="6" t="s">
        <v>2</v>
      </c>
      <c r="Q295" s="6" t="s">
        <v>20</v>
      </c>
      <c r="R295" s="12"/>
      <c r="S295" s="12"/>
      <c r="T295" s="12"/>
      <c r="U295" s="12"/>
      <c r="V295" s="12"/>
      <c r="W295" s="12"/>
      <c r="X295" s="6" t="str">
        <f aca="false">IF(COUNT(R295:W295)=6,SUM(R295:W295),"ko‘rilmagan")</f>
        <v>ko‘rilmagan</v>
      </c>
      <c r="Y295" s="12"/>
    </row>
    <row r="296" customFormat="false" ht="23.85" hidden="false" customHeight="false" outlineLevel="0" collapsed="false">
      <c r="A296" s="6" t="s">
        <v>2213</v>
      </c>
      <c r="B296" s="6" t="s">
        <v>468</v>
      </c>
      <c r="C296" s="6"/>
      <c r="D296" s="6" t="str">
        <f aca="false">IFERROR(INDEX(Mundarija!$D:$D,MATCH(B296,Mundarija!$A:$A,0)),"kod topilmadi")</f>
        <v>26.9. Kardiomiopatiyalar va yurak yetishmovchiligi.</v>
      </c>
      <c r="E296" s="6" t="s">
        <v>2214</v>
      </c>
      <c r="F296" s="11" t="s">
        <v>2215</v>
      </c>
      <c r="G296" s="6" t="s">
        <v>1399</v>
      </c>
      <c r="H296" s="6" t="s">
        <v>2216</v>
      </c>
      <c r="I296" s="6" t="s">
        <v>877</v>
      </c>
      <c r="J296" s="6" t="s">
        <v>877</v>
      </c>
      <c r="K296" s="6" t="s">
        <v>878</v>
      </c>
      <c r="L296" s="6" t="s">
        <v>904</v>
      </c>
      <c r="M296" s="6" t="s">
        <v>912</v>
      </c>
      <c r="N296" s="12" t="s">
        <v>881</v>
      </c>
      <c r="O296" s="6" t="s">
        <v>882</v>
      </c>
      <c r="P296" s="6" t="s">
        <v>2</v>
      </c>
      <c r="Q296" s="6" t="s">
        <v>20</v>
      </c>
      <c r="R296" s="12"/>
      <c r="S296" s="12"/>
      <c r="T296" s="12"/>
      <c r="U296" s="12"/>
      <c r="V296" s="12"/>
      <c r="W296" s="12"/>
      <c r="X296" s="6" t="str">
        <f aca="false">IF(COUNT(R296:W296)=6,SUM(R296:W296),"ko‘rilmagan")</f>
        <v>ko‘rilmagan</v>
      </c>
      <c r="Y296" s="12"/>
    </row>
    <row r="297" customFormat="false" ht="23.85" hidden="false" customHeight="false" outlineLevel="0" collapsed="false">
      <c r="A297" s="6" t="s">
        <v>2217</v>
      </c>
      <c r="B297" s="6" t="s">
        <v>468</v>
      </c>
      <c r="C297" s="6"/>
      <c r="D297" s="6" t="str">
        <f aca="false">IFERROR(INDEX(Mundarija!$D:$D,MATCH(B297,Mundarija!$A:$A,0)),"kod topilmadi")</f>
        <v>26.9. Kardiomiopatiyalar va yurak yetishmovchiligi.</v>
      </c>
      <c r="E297" s="6" t="s">
        <v>2218</v>
      </c>
      <c r="F297" s="11" t="s">
        <v>2219</v>
      </c>
      <c r="G297" s="6" t="s">
        <v>1399</v>
      </c>
      <c r="H297" s="6" t="s">
        <v>2216</v>
      </c>
      <c r="I297" s="6" t="s">
        <v>877</v>
      </c>
      <c r="J297" s="6" t="s">
        <v>877</v>
      </c>
      <c r="K297" s="6" t="s">
        <v>878</v>
      </c>
      <c r="L297" s="6" t="s">
        <v>904</v>
      </c>
      <c r="M297" s="6" t="s">
        <v>912</v>
      </c>
      <c r="N297" s="12" t="s">
        <v>881</v>
      </c>
      <c r="O297" s="6" t="s">
        <v>882</v>
      </c>
      <c r="P297" s="6" t="s">
        <v>2</v>
      </c>
      <c r="Q297" s="6" t="s">
        <v>20</v>
      </c>
      <c r="R297" s="12"/>
      <c r="S297" s="12"/>
      <c r="T297" s="12"/>
      <c r="U297" s="12"/>
      <c r="V297" s="12"/>
      <c r="W297" s="12"/>
      <c r="X297" s="6" t="str">
        <f aca="false">IF(COUNT(R297:W297)=6,SUM(R297:W297),"ko‘rilmagan")</f>
        <v>ko‘rilmagan</v>
      </c>
      <c r="Y297" s="12"/>
    </row>
    <row r="298" customFormat="false" ht="23.85" hidden="false" customHeight="false" outlineLevel="0" collapsed="false">
      <c r="A298" s="6" t="s">
        <v>2220</v>
      </c>
      <c r="B298" s="6" t="s">
        <v>468</v>
      </c>
      <c r="C298" s="6"/>
      <c r="D298" s="6" t="str">
        <f aca="false">IFERROR(INDEX(Mundarija!$D:$D,MATCH(B298,Mundarija!$A:$A,0)),"kod topilmadi")</f>
        <v>26.9. Kardiomiopatiyalar va yurak yetishmovchiligi.</v>
      </c>
      <c r="E298" s="6" t="s">
        <v>2221</v>
      </c>
      <c r="F298" s="11" t="s">
        <v>2222</v>
      </c>
      <c r="G298" s="6" t="s">
        <v>2223</v>
      </c>
      <c r="H298" s="6" t="s">
        <v>2224</v>
      </c>
      <c r="I298" s="6" t="s">
        <v>877</v>
      </c>
      <c r="J298" s="6" t="s">
        <v>877</v>
      </c>
      <c r="K298" s="6" t="s">
        <v>878</v>
      </c>
      <c r="L298" s="6" t="s">
        <v>904</v>
      </c>
      <c r="M298" s="6" t="s">
        <v>1713</v>
      </c>
      <c r="N298" s="12" t="s">
        <v>881</v>
      </c>
      <c r="O298" s="6" t="s">
        <v>882</v>
      </c>
      <c r="P298" s="6" t="s">
        <v>2</v>
      </c>
      <c r="Q298" s="6" t="s">
        <v>20</v>
      </c>
      <c r="R298" s="12"/>
      <c r="S298" s="12"/>
      <c r="T298" s="12"/>
      <c r="U298" s="12"/>
      <c r="V298" s="12"/>
      <c r="W298" s="12"/>
      <c r="X298" s="6" t="str">
        <f aca="false">IF(COUNT(R298:W298)=6,SUM(R298:W298),"ko‘rilmagan")</f>
        <v>ko‘rilmagan</v>
      </c>
      <c r="Y298" s="12"/>
    </row>
    <row r="299" customFormat="false" ht="23.85" hidden="false" customHeight="false" outlineLevel="0" collapsed="false">
      <c r="A299" s="6" t="s">
        <v>2225</v>
      </c>
      <c r="B299" s="6" t="s">
        <v>472</v>
      </c>
      <c r="C299" s="6"/>
      <c r="D299" s="6" t="str">
        <f aca="false">IFERROR(INDEX(Mundarija!$D:$D,MATCH(B299,Mundarija!$A:$A,0)),"kod topilmadi")</f>
        <v>26.11. O‘pka gipertenziyasi va o‘ng yurakni baholash.</v>
      </c>
      <c r="E299" s="6" t="s">
        <v>2226</v>
      </c>
      <c r="F299" s="11" t="s">
        <v>2227</v>
      </c>
      <c r="G299" s="6" t="s">
        <v>1223</v>
      </c>
      <c r="H299" s="6" t="s">
        <v>1842</v>
      </c>
      <c r="I299" s="6" t="s">
        <v>877</v>
      </c>
      <c r="J299" s="6" t="s">
        <v>877</v>
      </c>
      <c r="K299" s="6" t="s">
        <v>878</v>
      </c>
      <c r="L299" s="6" t="s">
        <v>904</v>
      </c>
      <c r="M299" s="6" t="s">
        <v>912</v>
      </c>
      <c r="N299" s="12" t="s">
        <v>881</v>
      </c>
      <c r="O299" s="6" t="s">
        <v>882</v>
      </c>
      <c r="P299" s="6" t="s">
        <v>2</v>
      </c>
      <c r="Q299" s="6" t="s">
        <v>20</v>
      </c>
      <c r="R299" s="12"/>
      <c r="S299" s="12"/>
      <c r="T299" s="12"/>
      <c r="U299" s="12"/>
      <c r="V299" s="12"/>
      <c r="W299" s="12"/>
      <c r="X299" s="6" t="str">
        <f aca="false">IF(COUNT(R299:W299)=6,SUM(R299:W299),"ko‘rilmagan")</f>
        <v>ko‘rilmagan</v>
      </c>
      <c r="Y299" s="12"/>
    </row>
    <row r="300" customFormat="false" ht="23.85" hidden="false" customHeight="false" outlineLevel="0" collapsed="false">
      <c r="A300" s="6" t="s">
        <v>2228</v>
      </c>
      <c r="B300" s="6" t="s">
        <v>472</v>
      </c>
      <c r="C300" s="6"/>
      <c r="D300" s="6" t="str">
        <f aca="false">IFERROR(INDEX(Mundarija!$D:$D,MATCH(B300,Mundarija!$A:$A,0)),"kod topilmadi")</f>
        <v>26.11. O‘pka gipertenziyasi va o‘ng yurakni baholash.</v>
      </c>
      <c r="E300" s="6" t="s">
        <v>2229</v>
      </c>
      <c r="F300" s="11" t="s">
        <v>2230</v>
      </c>
      <c r="G300" s="6" t="s">
        <v>1223</v>
      </c>
      <c r="H300" s="6" t="s">
        <v>1842</v>
      </c>
      <c r="I300" s="6" t="s">
        <v>877</v>
      </c>
      <c r="J300" s="6" t="s">
        <v>877</v>
      </c>
      <c r="K300" s="6" t="s">
        <v>878</v>
      </c>
      <c r="L300" s="6" t="s">
        <v>904</v>
      </c>
      <c r="M300" s="6" t="s">
        <v>891</v>
      </c>
      <c r="N300" s="12" t="s">
        <v>881</v>
      </c>
      <c r="O300" s="6" t="s">
        <v>882</v>
      </c>
      <c r="P300" s="6" t="s">
        <v>2</v>
      </c>
      <c r="Q300" s="6" t="s">
        <v>20</v>
      </c>
      <c r="R300" s="12"/>
      <c r="S300" s="12"/>
      <c r="T300" s="12"/>
      <c r="U300" s="12"/>
      <c r="V300" s="12"/>
      <c r="W300" s="12"/>
      <c r="X300" s="6" t="str">
        <f aca="false">IF(COUNT(R300:W300)=6,SUM(R300:W300),"ko‘rilmagan")</f>
        <v>ko‘rilmagan</v>
      </c>
      <c r="Y300" s="12"/>
    </row>
    <row r="301" customFormat="false" ht="23.85" hidden="false" customHeight="false" outlineLevel="0" collapsed="false">
      <c r="A301" s="6" t="s">
        <v>2231</v>
      </c>
      <c r="B301" s="6" t="s">
        <v>472</v>
      </c>
      <c r="C301" s="6"/>
      <c r="D301" s="6" t="str">
        <f aca="false">IFERROR(INDEX(Mundarija!$D:$D,MATCH(B301,Mundarija!$A:$A,0)),"kod topilmadi")</f>
        <v>26.11. O‘pka gipertenziyasi va o‘ng yurakni baholash.</v>
      </c>
      <c r="E301" s="6" t="s">
        <v>2232</v>
      </c>
      <c r="F301" s="11" t="s">
        <v>2233</v>
      </c>
      <c r="G301" s="6" t="s">
        <v>2234</v>
      </c>
      <c r="H301" s="6" t="s">
        <v>2235</v>
      </c>
      <c r="I301" s="6" t="s">
        <v>877</v>
      </c>
      <c r="J301" s="6" t="s">
        <v>877</v>
      </c>
      <c r="K301" s="6" t="s">
        <v>878</v>
      </c>
      <c r="L301" s="6" t="s">
        <v>904</v>
      </c>
      <c r="M301" s="6" t="s">
        <v>912</v>
      </c>
      <c r="N301" s="12" t="s">
        <v>881</v>
      </c>
      <c r="O301" s="6" t="s">
        <v>882</v>
      </c>
      <c r="P301" s="6" t="s">
        <v>2</v>
      </c>
      <c r="Q301" s="6" t="s">
        <v>20</v>
      </c>
      <c r="R301" s="12"/>
      <c r="S301" s="12"/>
      <c r="T301" s="12"/>
      <c r="U301" s="12"/>
      <c r="V301" s="12"/>
      <c r="W301" s="12"/>
      <c r="X301" s="6" t="str">
        <f aca="false">IF(COUNT(R301:W301)=6,SUM(R301:W301),"ko‘rilmagan")</f>
        <v>ko‘rilmagan</v>
      </c>
      <c r="Y301" s="12"/>
    </row>
    <row r="302" customFormat="false" ht="23.85" hidden="false" customHeight="false" outlineLevel="0" collapsed="false">
      <c r="A302" s="6" t="s">
        <v>2236</v>
      </c>
      <c r="B302" s="6" t="s">
        <v>474</v>
      </c>
      <c r="C302" s="6"/>
      <c r="D302" s="6" t="str">
        <f aca="false">IFERROR(INDEX(Mundarija!$D:$D,MATCH(B302,Mundarija!$A:$A,0)),"kod topilmadi")</f>
        <v>26.12. Tug‘ma yurak nuqsonlariga kirish.</v>
      </c>
      <c r="E302" s="6" t="s">
        <v>2237</v>
      </c>
      <c r="F302" s="11" t="s">
        <v>2238</v>
      </c>
      <c r="G302" s="6" t="s">
        <v>2239</v>
      </c>
      <c r="H302" s="6" t="s">
        <v>1726</v>
      </c>
      <c r="I302" s="6" t="s">
        <v>877</v>
      </c>
      <c r="J302" s="6" t="s">
        <v>877</v>
      </c>
      <c r="K302" s="6" t="s">
        <v>878</v>
      </c>
      <c r="L302" s="6" t="s">
        <v>904</v>
      </c>
      <c r="M302" s="6" t="s">
        <v>912</v>
      </c>
      <c r="N302" s="12" t="s">
        <v>881</v>
      </c>
      <c r="O302" s="6" t="s">
        <v>882</v>
      </c>
      <c r="P302" s="6" t="s">
        <v>2</v>
      </c>
      <c r="Q302" s="6" t="s">
        <v>20</v>
      </c>
      <c r="R302" s="12"/>
      <c r="S302" s="12"/>
      <c r="T302" s="12"/>
      <c r="U302" s="12"/>
      <c r="V302" s="12"/>
      <c r="W302" s="12"/>
      <c r="X302" s="6" t="str">
        <f aca="false">IF(COUNT(R302:W302)=6,SUM(R302:W302),"ko‘rilmagan")</f>
        <v>ko‘rilmagan</v>
      </c>
      <c r="Y302" s="12"/>
    </row>
    <row r="303" customFormat="false" ht="23.85" hidden="false" customHeight="false" outlineLevel="0" collapsed="false">
      <c r="A303" s="6" t="s">
        <v>2240</v>
      </c>
      <c r="B303" s="6" t="s">
        <v>474</v>
      </c>
      <c r="C303" s="6"/>
      <c r="D303" s="6" t="str">
        <f aca="false">IFERROR(INDEX(Mundarija!$D:$D,MATCH(B303,Mundarija!$A:$A,0)),"kod topilmadi")</f>
        <v>26.12. Tug‘ma yurak nuqsonlariga kirish.</v>
      </c>
      <c r="E303" s="6" t="s">
        <v>2241</v>
      </c>
      <c r="F303" s="11" t="s">
        <v>2242</v>
      </c>
      <c r="G303" s="6" t="s">
        <v>1223</v>
      </c>
      <c r="H303" s="6" t="s">
        <v>1842</v>
      </c>
      <c r="I303" s="6" t="s">
        <v>877</v>
      </c>
      <c r="J303" s="6" t="s">
        <v>877</v>
      </c>
      <c r="K303" s="6" t="s">
        <v>878</v>
      </c>
      <c r="L303" s="6" t="s">
        <v>904</v>
      </c>
      <c r="M303" s="6" t="s">
        <v>891</v>
      </c>
      <c r="N303" s="12" t="s">
        <v>881</v>
      </c>
      <c r="O303" s="6" t="s">
        <v>882</v>
      </c>
      <c r="P303" s="6" t="s">
        <v>2</v>
      </c>
      <c r="Q303" s="6" t="s">
        <v>20</v>
      </c>
      <c r="R303" s="12"/>
      <c r="S303" s="12"/>
      <c r="T303" s="12"/>
      <c r="U303" s="12"/>
      <c r="V303" s="12"/>
      <c r="W303" s="12"/>
      <c r="X303" s="6" t="str">
        <f aca="false">IF(COUNT(R303:W303)=6,SUM(R303:W303),"ko‘rilmagan")</f>
        <v>ko‘rilmagan</v>
      </c>
      <c r="Y303" s="12"/>
    </row>
    <row r="304" customFormat="false" ht="23.85" hidden="false" customHeight="false" outlineLevel="0" collapsed="false">
      <c r="A304" s="6" t="s">
        <v>2243</v>
      </c>
      <c r="B304" s="6" t="s">
        <v>476</v>
      </c>
      <c r="C304" s="6"/>
      <c r="D304" s="6" t="str">
        <f aca="false">IFERROR(INDEX(Mundarija!$D:$D,MATCH(B304,Mundarija!$A:$A,0)),"kod topilmadi")</f>
        <v>26.13. EchoKG hisobotini standartlashtirish va texnik cheklovlar.</v>
      </c>
      <c r="E304" s="6" t="s">
        <v>2244</v>
      </c>
      <c r="F304" s="11" t="s">
        <v>2245</v>
      </c>
      <c r="G304" s="6" t="s">
        <v>2246</v>
      </c>
      <c r="H304" s="6" t="s">
        <v>2247</v>
      </c>
      <c r="I304" s="6" t="s">
        <v>877</v>
      </c>
      <c r="J304" s="6" t="s">
        <v>877</v>
      </c>
      <c r="K304" s="6" t="s">
        <v>878</v>
      </c>
      <c r="L304" s="6" t="s">
        <v>904</v>
      </c>
      <c r="M304" s="6" t="s">
        <v>912</v>
      </c>
      <c r="N304" s="12" t="s">
        <v>881</v>
      </c>
      <c r="O304" s="6" t="s">
        <v>882</v>
      </c>
      <c r="P304" s="6" t="s">
        <v>2</v>
      </c>
      <c r="Q304" s="6" t="s">
        <v>20</v>
      </c>
      <c r="R304" s="12"/>
      <c r="S304" s="12"/>
      <c r="T304" s="12"/>
      <c r="U304" s="12"/>
      <c r="V304" s="12"/>
      <c r="W304" s="12"/>
      <c r="X304" s="6" t="str">
        <f aca="false">IF(COUNT(R304:W304)=6,SUM(R304:W304),"ko‘rilmagan")</f>
        <v>ko‘rilmagan</v>
      </c>
      <c r="Y304" s="12"/>
    </row>
    <row r="305" customFormat="false" ht="23.85" hidden="false" customHeight="false" outlineLevel="0" collapsed="false">
      <c r="A305" s="6" t="s">
        <v>2248</v>
      </c>
      <c r="B305" s="6" t="s">
        <v>476</v>
      </c>
      <c r="C305" s="6" t="s">
        <v>600</v>
      </c>
      <c r="D305" s="6" t="str">
        <f aca="false">IFERROR(INDEX(Mundarija!$D:$D,MATCH(B305,Mundarija!$A:$A,0)),"kod topilmadi")</f>
        <v>26.13. EchoKG hisobotini standartlashtirish va texnik cheklovlar.</v>
      </c>
      <c r="E305" s="6" t="s">
        <v>2249</v>
      </c>
      <c r="F305" s="11" t="s">
        <v>2250</v>
      </c>
      <c r="G305" s="6" t="s">
        <v>2175</v>
      </c>
      <c r="H305" s="6" t="s">
        <v>2176</v>
      </c>
      <c r="I305" s="6" t="s">
        <v>877</v>
      </c>
      <c r="J305" s="6" t="s">
        <v>877</v>
      </c>
      <c r="K305" s="6" t="s">
        <v>878</v>
      </c>
      <c r="L305" s="6" t="s">
        <v>879</v>
      </c>
      <c r="M305" s="6" t="s">
        <v>912</v>
      </c>
      <c r="N305" s="12" t="s">
        <v>881</v>
      </c>
      <c r="O305" s="6" t="s">
        <v>882</v>
      </c>
      <c r="P305" s="6" t="s">
        <v>2</v>
      </c>
      <c r="Q305" s="6" t="s">
        <v>20</v>
      </c>
      <c r="R305" s="12"/>
      <c r="S305" s="12"/>
      <c r="T305" s="12"/>
      <c r="U305" s="12"/>
      <c r="V305" s="12"/>
      <c r="W305" s="12"/>
      <c r="X305" s="6" t="str">
        <f aca="false">IF(COUNT(R305:W305)=6,SUM(R305:W305),"ko‘rilmagan")</f>
        <v>ko‘rilmagan</v>
      </c>
      <c r="Y305" s="12"/>
    </row>
    <row r="306" customFormat="false" ht="23.85" hidden="false" customHeight="false" outlineLevel="0" collapsed="false">
      <c r="A306" s="6" t="s">
        <v>2251</v>
      </c>
      <c r="B306" s="6" t="s">
        <v>487</v>
      </c>
      <c r="C306" s="6"/>
      <c r="D306" s="6" t="str">
        <f aca="false">IFERROR(INDEX(Mundarija!$D:$D,MATCH(B306,Mundarija!$A:$A,0)),"kod topilmadi")</f>
        <v>27.4. Buyrak va siydik yo‘llari.</v>
      </c>
      <c r="E306" s="6" t="s">
        <v>2252</v>
      </c>
      <c r="F306" s="11" t="s">
        <v>2253</v>
      </c>
      <c r="G306" s="6" t="s">
        <v>2254</v>
      </c>
      <c r="H306" s="6" t="s">
        <v>2255</v>
      </c>
      <c r="I306" s="6" t="s">
        <v>877</v>
      </c>
      <c r="J306" s="6" t="s">
        <v>877</v>
      </c>
      <c r="K306" s="6" t="s">
        <v>878</v>
      </c>
      <c r="L306" s="6" t="s">
        <v>904</v>
      </c>
      <c r="M306" s="6" t="s">
        <v>912</v>
      </c>
      <c r="N306" s="12" t="s">
        <v>881</v>
      </c>
      <c r="O306" s="6" t="s">
        <v>882</v>
      </c>
      <c r="P306" s="6" t="s">
        <v>2</v>
      </c>
      <c r="Q306" s="6" t="s">
        <v>20</v>
      </c>
      <c r="R306" s="12"/>
      <c r="S306" s="12"/>
      <c r="T306" s="12"/>
      <c r="U306" s="12"/>
      <c r="V306" s="12"/>
      <c r="W306" s="12"/>
      <c r="X306" s="6" t="str">
        <f aca="false">IF(COUNT(R306:W306)=6,SUM(R306:W306),"ko‘rilmagan")</f>
        <v>ko‘rilmagan</v>
      </c>
      <c r="Y306" s="12"/>
    </row>
    <row r="307" customFormat="false" ht="23.85" hidden="false" customHeight="false" outlineLevel="0" collapsed="false">
      <c r="A307" s="6" t="s">
        <v>2256</v>
      </c>
      <c r="B307" s="6" t="s">
        <v>487</v>
      </c>
      <c r="C307" s="6"/>
      <c r="D307" s="6" t="str">
        <f aca="false">IFERROR(INDEX(Mundarija!$D:$D,MATCH(B307,Mundarija!$A:$A,0)),"kod topilmadi")</f>
        <v>27.4. Buyrak va siydik yo‘llari.</v>
      </c>
      <c r="E307" s="6" t="s">
        <v>2257</v>
      </c>
      <c r="F307" s="11" t="s">
        <v>2258</v>
      </c>
      <c r="G307" s="6" t="s">
        <v>2259</v>
      </c>
      <c r="H307" s="6" t="s">
        <v>2260</v>
      </c>
      <c r="I307" s="6" t="s">
        <v>877</v>
      </c>
      <c r="J307" s="6" t="s">
        <v>877</v>
      </c>
      <c r="K307" s="6" t="s">
        <v>878</v>
      </c>
      <c r="L307" s="6" t="s">
        <v>904</v>
      </c>
      <c r="M307" s="6" t="s">
        <v>912</v>
      </c>
      <c r="N307" s="12" t="s">
        <v>881</v>
      </c>
      <c r="O307" s="6" t="s">
        <v>882</v>
      </c>
      <c r="P307" s="6" t="s">
        <v>2</v>
      </c>
      <c r="Q307" s="6" t="s">
        <v>20</v>
      </c>
      <c r="R307" s="12"/>
      <c r="S307" s="12"/>
      <c r="T307" s="12"/>
      <c r="U307" s="12"/>
      <c r="V307" s="12"/>
      <c r="W307" s="12"/>
      <c r="X307" s="6" t="str">
        <f aca="false">IF(COUNT(R307:W307)=6,SUM(R307:W307),"ko‘rilmagan")</f>
        <v>ko‘rilmagan</v>
      </c>
      <c r="Y307" s="12"/>
    </row>
    <row r="308" customFormat="false" ht="23.85" hidden="false" customHeight="false" outlineLevel="0" collapsed="false">
      <c r="A308" s="6" t="s">
        <v>2261</v>
      </c>
      <c r="B308" s="6" t="s">
        <v>489</v>
      </c>
      <c r="C308" s="6"/>
      <c r="D308" s="6" t="str">
        <f aca="false">IFERROR(INDEX(Mundarija!$D:$D,MATCH(B308,Mundarija!$A:$A,0)),"kod topilmadi")</f>
        <v>27.5. Pilorostenoz va invaginatsiya.</v>
      </c>
      <c r="E308" s="6" t="s">
        <v>2262</v>
      </c>
      <c r="F308" s="11" t="s">
        <v>2263</v>
      </c>
      <c r="G308" s="6" t="s">
        <v>887</v>
      </c>
      <c r="H308" s="6" t="s">
        <v>2102</v>
      </c>
      <c r="I308" s="6" t="s">
        <v>877</v>
      </c>
      <c r="J308" s="6" t="s">
        <v>877</v>
      </c>
      <c r="K308" s="6" t="s">
        <v>878</v>
      </c>
      <c r="L308" s="6" t="s">
        <v>904</v>
      </c>
      <c r="M308" s="6" t="s">
        <v>891</v>
      </c>
      <c r="N308" s="12" t="s">
        <v>881</v>
      </c>
      <c r="O308" s="6" t="s">
        <v>882</v>
      </c>
      <c r="P308" s="6" t="s">
        <v>2</v>
      </c>
      <c r="Q308" s="6" t="s">
        <v>20</v>
      </c>
      <c r="R308" s="12"/>
      <c r="S308" s="12"/>
      <c r="T308" s="12"/>
      <c r="U308" s="12"/>
      <c r="V308" s="12"/>
      <c r="W308" s="12"/>
      <c r="X308" s="6" t="str">
        <f aca="false">IF(COUNT(R308:W308)=6,SUM(R308:W308),"ko‘rilmagan")</f>
        <v>ko‘rilmagan</v>
      </c>
      <c r="Y308" s="12"/>
    </row>
    <row r="309" customFormat="false" ht="23.85" hidden="false" customHeight="false" outlineLevel="0" collapsed="false">
      <c r="A309" s="6" t="s">
        <v>2264</v>
      </c>
      <c r="B309" s="6" t="s">
        <v>489</v>
      </c>
      <c r="C309" s="6"/>
      <c r="D309" s="6" t="str">
        <f aca="false">IFERROR(INDEX(Mundarija!$D:$D,MATCH(B309,Mundarija!$A:$A,0)),"kod topilmadi")</f>
        <v>27.5. Pilorostenoz va invaginatsiya.</v>
      </c>
      <c r="E309" s="6" t="s">
        <v>2265</v>
      </c>
      <c r="F309" s="11" t="s">
        <v>2266</v>
      </c>
      <c r="G309" s="6" t="s">
        <v>1559</v>
      </c>
      <c r="H309" s="6" t="s">
        <v>1667</v>
      </c>
      <c r="I309" s="6" t="s">
        <v>877</v>
      </c>
      <c r="J309" s="6" t="s">
        <v>877</v>
      </c>
      <c r="K309" s="6" t="s">
        <v>878</v>
      </c>
      <c r="L309" s="6" t="s">
        <v>904</v>
      </c>
      <c r="M309" s="6" t="s">
        <v>1713</v>
      </c>
      <c r="N309" s="12" t="s">
        <v>881</v>
      </c>
      <c r="O309" s="6" t="s">
        <v>882</v>
      </c>
      <c r="P309" s="6" t="s">
        <v>2</v>
      </c>
      <c r="Q309" s="6" t="s">
        <v>20</v>
      </c>
      <c r="R309" s="12"/>
      <c r="S309" s="12"/>
      <c r="T309" s="12"/>
      <c r="U309" s="12"/>
      <c r="V309" s="12"/>
      <c r="W309" s="12"/>
      <c r="X309" s="6" t="str">
        <f aca="false">IF(COUNT(R309:W309)=6,SUM(R309:W309),"ko‘rilmagan")</f>
        <v>ko‘rilmagan</v>
      </c>
      <c r="Y309" s="12"/>
    </row>
    <row r="310" customFormat="false" ht="23.85" hidden="false" customHeight="false" outlineLevel="0" collapsed="false">
      <c r="A310" s="6" t="s">
        <v>2267</v>
      </c>
      <c r="B310" s="6" t="s">
        <v>491</v>
      </c>
      <c r="C310" s="6"/>
      <c r="D310" s="6" t="str">
        <f aca="false">IFERROR(INDEX(Mundarija!$D:$D,MATCH(B310,Mundarija!$A:$A,0)),"kod topilmadi")</f>
        <v>27.6. Ichak yallig‘lanishlari va nekrotik enterokolitga shubha.</v>
      </c>
      <c r="E310" s="6" t="s">
        <v>2268</v>
      </c>
      <c r="F310" s="11" t="s">
        <v>2269</v>
      </c>
      <c r="G310" s="6" t="s">
        <v>2270</v>
      </c>
      <c r="H310" s="6" t="s">
        <v>2271</v>
      </c>
      <c r="I310" s="6" t="s">
        <v>877</v>
      </c>
      <c r="J310" s="6" t="s">
        <v>877</v>
      </c>
      <c r="K310" s="6" t="s">
        <v>878</v>
      </c>
      <c r="L310" s="6" t="s">
        <v>1748</v>
      </c>
      <c r="M310" s="6" t="s">
        <v>912</v>
      </c>
      <c r="N310" s="12" t="s">
        <v>881</v>
      </c>
      <c r="O310" s="6" t="s">
        <v>882</v>
      </c>
      <c r="P310" s="6" t="s">
        <v>2</v>
      </c>
      <c r="Q310" s="6" t="s">
        <v>20</v>
      </c>
      <c r="R310" s="12"/>
      <c r="S310" s="12"/>
      <c r="T310" s="12"/>
      <c r="U310" s="12"/>
      <c r="V310" s="12"/>
      <c r="W310" s="12"/>
      <c r="X310" s="6" t="str">
        <f aca="false">IF(COUNT(R310:W310)=6,SUM(R310:W310),"ko‘rilmagan")</f>
        <v>ko‘rilmagan</v>
      </c>
      <c r="Y310" s="12"/>
    </row>
    <row r="311" customFormat="false" ht="23.85" hidden="false" customHeight="false" outlineLevel="0" collapsed="false">
      <c r="A311" s="6" t="s">
        <v>2272</v>
      </c>
      <c r="B311" s="6" t="s">
        <v>491</v>
      </c>
      <c r="C311" s="6"/>
      <c r="D311" s="6" t="str">
        <f aca="false">IFERROR(INDEX(Mundarija!$D:$D,MATCH(B311,Mundarija!$A:$A,0)),"kod topilmadi")</f>
        <v>27.6. Ichak yallig‘lanishlari va nekrotik enterokolitga shubha.</v>
      </c>
      <c r="E311" s="6" t="s">
        <v>2273</v>
      </c>
      <c r="F311" s="11" t="s">
        <v>2274</v>
      </c>
      <c r="G311" s="6" t="s">
        <v>1229</v>
      </c>
      <c r="H311" s="6" t="s">
        <v>1771</v>
      </c>
      <c r="I311" s="6" t="s">
        <v>877</v>
      </c>
      <c r="J311" s="6" t="s">
        <v>877</v>
      </c>
      <c r="K311" s="6" t="s">
        <v>878</v>
      </c>
      <c r="L311" s="6" t="s">
        <v>904</v>
      </c>
      <c r="M311" s="6" t="s">
        <v>1713</v>
      </c>
      <c r="N311" s="12" t="s">
        <v>881</v>
      </c>
      <c r="O311" s="6" t="s">
        <v>882</v>
      </c>
      <c r="P311" s="6" t="s">
        <v>2</v>
      </c>
      <c r="Q311" s="6" t="s">
        <v>20</v>
      </c>
      <c r="R311" s="12"/>
      <c r="S311" s="12"/>
      <c r="T311" s="12"/>
      <c r="U311" s="12"/>
      <c r="V311" s="12"/>
      <c r="W311" s="12"/>
      <c r="X311" s="6" t="str">
        <f aca="false">IF(COUNT(R311:W311)=6,SUM(R311:W311),"ko‘rilmagan")</f>
        <v>ko‘rilmagan</v>
      </c>
      <c r="Y311" s="12"/>
    </row>
    <row r="312" customFormat="false" ht="23.85" hidden="false" customHeight="false" outlineLevel="0" collapsed="false">
      <c r="A312" s="6" t="s">
        <v>2275</v>
      </c>
      <c r="B312" s="6" t="s">
        <v>485</v>
      </c>
      <c r="C312" s="6" t="s">
        <v>491</v>
      </c>
      <c r="D312" s="6" t="str">
        <f aca="false">IFERROR(INDEX(Mundarija!$D:$D,MATCH(B312,Mundarija!$A:$A,0)),"kod topilmadi")</f>
        <v>27.3. Qorin bo‘shlig‘i a’zolari.</v>
      </c>
      <c r="E312" s="6" t="s">
        <v>2276</v>
      </c>
      <c r="F312" s="11" t="s">
        <v>2277</v>
      </c>
      <c r="G312" s="6" t="s">
        <v>2270</v>
      </c>
      <c r="H312" s="6" t="s">
        <v>2271</v>
      </c>
      <c r="I312" s="6" t="s">
        <v>877</v>
      </c>
      <c r="J312" s="6" t="s">
        <v>877</v>
      </c>
      <c r="K312" s="6" t="s">
        <v>878</v>
      </c>
      <c r="L312" s="6" t="s">
        <v>904</v>
      </c>
      <c r="M312" s="6" t="s">
        <v>912</v>
      </c>
      <c r="N312" s="12" t="s">
        <v>881</v>
      </c>
      <c r="O312" s="6" t="s">
        <v>882</v>
      </c>
      <c r="P312" s="6" t="s">
        <v>2</v>
      </c>
      <c r="Q312" s="6" t="s">
        <v>20</v>
      </c>
      <c r="R312" s="12"/>
      <c r="S312" s="12"/>
      <c r="T312" s="12"/>
      <c r="U312" s="12"/>
      <c r="V312" s="12"/>
      <c r="W312" s="12"/>
      <c r="X312" s="6" t="str">
        <f aca="false">IF(COUNT(R312:W312)=6,SUM(R312:W312),"ko‘rilmagan")</f>
        <v>ko‘rilmagan</v>
      </c>
      <c r="Y312" s="12"/>
    </row>
    <row r="313" customFormat="false" ht="23.85" hidden="false" customHeight="false" outlineLevel="0" collapsed="false">
      <c r="A313" s="6" t="s">
        <v>2278</v>
      </c>
      <c r="B313" s="6" t="s">
        <v>497</v>
      </c>
      <c r="C313" s="6" t="s">
        <v>474</v>
      </c>
      <c r="D313" s="6" t="str">
        <f aca="false">IFERROR(INDEX(Mundarija!$D:$D,MATCH(B313,Mundarija!$A:$A,0)),"kod topilmadi")</f>
        <v>27.9. Bolalar yuragi va tomirlari.</v>
      </c>
      <c r="E313" s="6" t="s">
        <v>2279</v>
      </c>
      <c r="F313" s="11" t="s">
        <v>2280</v>
      </c>
      <c r="G313" s="6" t="s">
        <v>1399</v>
      </c>
      <c r="H313" s="6" t="s">
        <v>2216</v>
      </c>
      <c r="I313" s="6" t="s">
        <v>877</v>
      </c>
      <c r="J313" s="6" t="s">
        <v>877</v>
      </c>
      <c r="K313" s="6" t="s">
        <v>878</v>
      </c>
      <c r="L313" s="6" t="s">
        <v>904</v>
      </c>
      <c r="M313" s="6" t="s">
        <v>912</v>
      </c>
      <c r="N313" s="12" t="s">
        <v>881</v>
      </c>
      <c r="O313" s="6" t="s">
        <v>882</v>
      </c>
      <c r="P313" s="6" t="s">
        <v>2</v>
      </c>
      <c r="Q313" s="6" t="s">
        <v>20</v>
      </c>
      <c r="R313" s="12"/>
      <c r="S313" s="12"/>
      <c r="T313" s="12"/>
      <c r="U313" s="12"/>
      <c r="V313" s="12"/>
      <c r="W313" s="12"/>
      <c r="X313" s="6" t="str">
        <f aca="false">IF(COUNT(R313:W313)=6,SUM(R313:W313),"ko‘rilmagan")</f>
        <v>ko‘rilmagan</v>
      </c>
      <c r="Y313" s="12"/>
    </row>
    <row r="314" customFormat="false" ht="23.85" hidden="false" customHeight="false" outlineLevel="0" collapsed="false">
      <c r="A314" s="6" t="s">
        <v>2281</v>
      </c>
      <c r="B314" s="6" t="s">
        <v>502</v>
      </c>
      <c r="C314" s="6"/>
      <c r="D314" s="6" t="str">
        <f aca="false">IFERROR(INDEX(Mundarija!$D:$D,MATCH(B314,Mundarija!$A:$A,0)),"kod topilmadi")</f>
        <v>28.1. Mushak, pay, boylam va fassiyalarning sonografik anatomiyasi.</v>
      </c>
      <c r="E314" s="6" t="s">
        <v>2282</v>
      </c>
      <c r="F314" s="11" t="s">
        <v>2283</v>
      </c>
      <c r="G314" s="6" t="s">
        <v>1527</v>
      </c>
      <c r="H314" s="6" t="s">
        <v>1632</v>
      </c>
      <c r="I314" s="6" t="s">
        <v>877</v>
      </c>
      <c r="J314" s="6" t="s">
        <v>877</v>
      </c>
      <c r="K314" s="6" t="s">
        <v>878</v>
      </c>
      <c r="L314" s="6" t="s">
        <v>879</v>
      </c>
      <c r="M314" s="6" t="s">
        <v>912</v>
      </c>
      <c r="N314" s="12" t="s">
        <v>881</v>
      </c>
      <c r="O314" s="6" t="s">
        <v>882</v>
      </c>
      <c r="P314" s="6" t="s">
        <v>2</v>
      </c>
      <c r="Q314" s="6" t="s">
        <v>20</v>
      </c>
      <c r="R314" s="12"/>
      <c r="S314" s="12"/>
      <c r="T314" s="12"/>
      <c r="U314" s="12"/>
      <c r="V314" s="12"/>
      <c r="W314" s="12"/>
      <c r="X314" s="6" t="str">
        <f aca="false">IF(COUNT(R314:W314)=6,SUM(R314:W314),"ko‘rilmagan")</f>
        <v>ko‘rilmagan</v>
      </c>
      <c r="Y314" s="12"/>
    </row>
    <row r="315" customFormat="false" ht="23.85" hidden="false" customHeight="false" outlineLevel="0" collapsed="false">
      <c r="A315" s="6" t="s">
        <v>2284</v>
      </c>
      <c r="B315" s="6" t="s">
        <v>502</v>
      </c>
      <c r="C315" s="6"/>
      <c r="D315" s="6" t="str">
        <f aca="false">IFERROR(INDEX(Mundarija!$D:$D,MATCH(B315,Mundarija!$A:$A,0)),"kod topilmadi")</f>
        <v>28.1. Mushak, pay, boylam va fassiyalarning sonografik anatomiyasi.</v>
      </c>
      <c r="E315" s="6" t="s">
        <v>2285</v>
      </c>
      <c r="F315" s="11" t="s">
        <v>2286</v>
      </c>
      <c r="G315" s="6" t="s">
        <v>909</v>
      </c>
      <c r="H315" s="6" t="s">
        <v>2287</v>
      </c>
      <c r="I315" s="6" t="s">
        <v>877</v>
      </c>
      <c r="J315" s="6" t="s">
        <v>877</v>
      </c>
      <c r="K315" s="6" t="s">
        <v>878</v>
      </c>
      <c r="L315" s="6" t="s">
        <v>879</v>
      </c>
      <c r="M315" s="6" t="s">
        <v>912</v>
      </c>
      <c r="N315" s="12" t="s">
        <v>881</v>
      </c>
      <c r="O315" s="6" t="s">
        <v>882</v>
      </c>
      <c r="P315" s="6" t="s">
        <v>2</v>
      </c>
      <c r="Q315" s="6" t="s">
        <v>20</v>
      </c>
      <c r="R315" s="12"/>
      <c r="S315" s="12"/>
      <c r="T315" s="12"/>
      <c r="U315" s="12"/>
      <c r="V315" s="12"/>
      <c r="W315" s="12"/>
      <c r="X315" s="6" t="str">
        <f aca="false">IF(COUNT(R315:W315)=6,SUM(R315:W315),"ko‘rilmagan")</f>
        <v>ko‘rilmagan</v>
      </c>
      <c r="Y315" s="12"/>
    </row>
    <row r="316" customFormat="false" ht="23.85" hidden="false" customHeight="false" outlineLevel="0" collapsed="false">
      <c r="A316" s="6" t="s">
        <v>2288</v>
      </c>
      <c r="B316" s="6" t="s">
        <v>502</v>
      </c>
      <c r="C316" s="6"/>
      <c r="D316" s="6" t="str">
        <f aca="false">IFERROR(INDEX(Mundarija!$D:$D,MATCH(B316,Mundarija!$A:$A,0)),"kod topilmadi")</f>
        <v>28.1. Mushak, pay, boylam va fassiyalarning sonografik anatomiyasi.</v>
      </c>
      <c r="E316" s="6" t="s">
        <v>2289</v>
      </c>
      <c r="F316" s="11" t="s">
        <v>2290</v>
      </c>
      <c r="G316" s="6" t="s">
        <v>1623</v>
      </c>
      <c r="H316" s="6" t="s">
        <v>1624</v>
      </c>
      <c r="I316" s="6" t="s">
        <v>877</v>
      </c>
      <c r="J316" s="6" t="s">
        <v>877</v>
      </c>
      <c r="K316" s="6" t="s">
        <v>878</v>
      </c>
      <c r="L316" s="6" t="s">
        <v>879</v>
      </c>
      <c r="M316" s="6" t="s">
        <v>912</v>
      </c>
      <c r="N316" s="12" t="s">
        <v>881</v>
      </c>
      <c r="O316" s="6" t="s">
        <v>882</v>
      </c>
      <c r="P316" s="6" t="s">
        <v>2</v>
      </c>
      <c r="Q316" s="6" t="s">
        <v>20</v>
      </c>
      <c r="R316" s="12"/>
      <c r="S316" s="12"/>
      <c r="T316" s="12"/>
      <c r="U316" s="12"/>
      <c r="V316" s="12"/>
      <c r="W316" s="12"/>
      <c r="X316" s="6" t="str">
        <f aca="false">IF(COUNT(R316:W316)=6,SUM(R316:W316),"ko‘rilmagan")</f>
        <v>ko‘rilmagan</v>
      </c>
      <c r="Y316" s="12"/>
    </row>
    <row r="317" customFormat="false" ht="23.85" hidden="false" customHeight="false" outlineLevel="0" collapsed="false">
      <c r="A317" s="6" t="s">
        <v>2291</v>
      </c>
      <c r="B317" s="6" t="s">
        <v>508</v>
      </c>
      <c r="C317" s="6"/>
      <c r="D317" s="6" t="str">
        <f aca="false">IFERROR(INDEX(Mundarija!$D:$D,MATCH(B317,Mundarija!$A:$A,0)),"kod topilmadi")</f>
        <v>28.3. Tirsak, bilak va qo‘l panjasi.</v>
      </c>
      <c r="E317" s="6" t="s">
        <v>2292</v>
      </c>
      <c r="F317" s="11" t="s">
        <v>2293</v>
      </c>
      <c r="G317" s="6" t="s">
        <v>2294</v>
      </c>
      <c r="H317" s="6" t="s">
        <v>2295</v>
      </c>
      <c r="I317" s="6" t="s">
        <v>877</v>
      </c>
      <c r="J317" s="6" t="s">
        <v>877</v>
      </c>
      <c r="K317" s="6" t="s">
        <v>878</v>
      </c>
      <c r="L317" s="6" t="s">
        <v>904</v>
      </c>
      <c r="M317" s="6" t="s">
        <v>891</v>
      </c>
      <c r="N317" s="12" t="s">
        <v>881</v>
      </c>
      <c r="O317" s="6" t="s">
        <v>882</v>
      </c>
      <c r="P317" s="6" t="s">
        <v>2</v>
      </c>
      <c r="Q317" s="6" t="s">
        <v>20</v>
      </c>
      <c r="R317" s="12"/>
      <c r="S317" s="12"/>
      <c r="T317" s="12"/>
      <c r="U317" s="12"/>
      <c r="V317" s="12"/>
      <c r="W317" s="12"/>
      <c r="X317" s="6" t="str">
        <f aca="false">IF(COUNT(R317:W317)=6,SUM(R317:W317),"ko‘rilmagan")</f>
        <v>ko‘rilmagan</v>
      </c>
      <c r="Y317" s="12"/>
    </row>
    <row r="318" customFormat="false" ht="23.85" hidden="false" customHeight="false" outlineLevel="0" collapsed="false">
      <c r="A318" s="6" t="s">
        <v>2296</v>
      </c>
      <c r="B318" s="6" t="s">
        <v>508</v>
      </c>
      <c r="C318" s="6"/>
      <c r="D318" s="6" t="str">
        <f aca="false">IFERROR(INDEX(Mundarija!$D:$D,MATCH(B318,Mundarija!$A:$A,0)),"kod topilmadi")</f>
        <v>28.3. Tirsak, bilak va qo‘l panjasi.</v>
      </c>
      <c r="E318" s="6" t="s">
        <v>2297</v>
      </c>
      <c r="F318" s="11" t="s">
        <v>2298</v>
      </c>
      <c r="G318" s="6" t="s">
        <v>2299</v>
      </c>
      <c r="H318" s="6" t="s">
        <v>2300</v>
      </c>
      <c r="I318" s="6" t="s">
        <v>877</v>
      </c>
      <c r="J318" s="6" t="s">
        <v>877</v>
      </c>
      <c r="K318" s="6" t="s">
        <v>878</v>
      </c>
      <c r="L318" s="6" t="s">
        <v>904</v>
      </c>
      <c r="M318" s="6" t="s">
        <v>891</v>
      </c>
      <c r="N318" s="12" t="s">
        <v>881</v>
      </c>
      <c r="O318" s="6" t="s">
        <v>882</v>
      </c>
      <c r="P318" s="6" t="s">
        <v>2</v>
      </c>
      <c r="Q318" s="6" t="s">
        <v>20</v>
      </c>
      <c r="R318" s="12"/>
      <c r="S318" s="12"/>
      <c r="T318" s="12"/>
      <c r="U318" s="12"/>
      <c r="V318" s="12"/>
      <c r="W318" s="12"/>
      <c r="X318" s="6" t="str">
        <f aca="false">IF(COUNT(R318:W318)=6,SUM(R318:W318),"ko‘rilmagan")</f>
        <v>ko‘rilmagan</v>
      </c>
      <c r="Y318" s="12"/>
    </row>
    <row r="319" customFormat="false" ht="23.85" hidden="false" customHeight="false" outlineLevel="0" collapsed="false">
      <c r="A319" s="6" t="s">
        <v>2301</v>
      </c>
      <c r="B319" s="6" t="s">
        <v>508</v>
      </c>
      <c r="C319" s="6"/>
      <c r="D319" s="6" t="str">
        <f aca="false">IFERROR(INDEX(Mundarija!$D:$D,MATCH(B319,Mundarija!$A:$A,0)),"kod topilmadi")</f>
        <v>28.3. Tirsak, bilak va qo‘l panjasi.</v>
      </c>
      <c r="E319" s="6" t="s">
        <v>2302</v>
      </c>
      <c r="F319" s="11" t="s">
        <v>2303</v>
      </c>
      <c r="G319" s="6" t="s">
        <v>1318</v>
      </c>
      <c r="H319" s="6" t="s">
        <v>2304</v>
      </c>
      <c r="I319" s="6" t="s">
        <v>877</v>
      </c>
      <c r="J319" s="6" t="s">
        <v>877</v>
      </c>
      <c r="K319" s="6" t="s">
        <v>878</v>
      </c>
      <c r="L319" s="6" t="s">
        <v>879</v>
      </c>
      <c r="M319" s="6" t="s">
        <v>891</v>
      </c>
      <c r="N319" s="12" t="s">
        <v>881</v>
      </c>
      <c r="O319" s="6" t="s">
        <v>882</v>
      </c>
      <c r="P319" s="6" t="s">
        <v>2</v>
      </c>
      <c r="Q319" s="6" t="s">
        <v>20</v>
      </c>
      <c r="R319" s="12"/>
      <c r="S319" s="12"/>
      <c r="T319" s="12"/>
      <c r="U319" s="12"/>
      <c r="V319" s="12"/>
      <c r="W319" s="12"/>
      <c r="X319" s="6" t="str">
        <f aca="false">IF(COUNT(R319:W319)=6,SUM(R319:W319),"ko‘rilmagan")</f>
        <v>ko‘rilmagan</v>
      </c>
      <c r="Y319" s="12"/>
    </row>
    <row r="320" customFormat="false" ht="23.85" hidden="false" customHeight="false" outlineLevel="0" collapsed="false">
      <c r="A320" s="6" t="s">
        <v>2305</v>
      </c>
      <c r="B320" s="6" t="s">
        <v>514</v>
      </c>
      <c r="C320" s="6"/>
      <c r="D320" s="6" t="str">
        <f aca="false">IFERROR(INDEX(Mundarija!$D:$D,MATCH(B320,Mundarija!$A:$A,0)),"kod topilmadi")</f>
        <v>28.6. Mushak yirtilishi, gematoma va miozit.</v>
      </c>
      <c r="E320" s="6" t="s">
        <v>2306</v>
      </c>
      <c r="F320" s="11" t="s">
        <v>2307</v>
      </c>
      <c r="G320" s="6" t="s">
        <v>2308</v>
      </c>
      <c r="H320" s="6" t="s">
        <v>2309</v>
      </c>
      <c r="I320" s="6" t="s">
        <v>877</v>
      </c>
      <c r="J320" s="6" t="s">
        <v>877</v>
      </c>
      <c r="K320" s="6" t="s">
        <v>878</v>
      </c>
      <c r="L320" s="6" t="s">
        <v>904</v>
      </c>
      <c r="M320" s="6" t="s">
        <v>1713</v>
      </c>
      <c r="N320" s="12" t="s">
        <v>881</v>
      </c>
      <c r="O320" s="6" t="s">
        <v>882</v>
      </c>
      <c r="P320" s="6" t="s">
        <v>2</v>
      </c>
      <c r="Q320" s="6" t="s">
        <v>20</v>
      </c>
      <c r="R320" s="12"/>
      <c r="S320" s="12"/>
      <c r="T320" s="12"/>
      <c r="U320" s="12"/>
      <c r="V320" s="12"/>
      <c r="W320" s="12"/>
      <c r="X320" s="6" t="str">
        <f aca="false">IF(COUNT(R320:W320)=6,SUM(R320:W320),"ko‘rilmagan")</f>
        <v>ko‘rilmagan</v>
      </c>
      <c r="Y320" s="12"/>
    </row>
    <row r="321" customFormat="false" ht="23.85" hidden="false" customHeight="false" outlineLevel="0" collapsed="false">
      <c r="A321" s="6" t="s">
        <v>2310</v>
      </c>
      <c r="B321" s="6" t="s">
        <v>514</v>
      </c>
      <c r="C321" s="6" t="s">
        <v>587</v>
      </c>
      <c r="D321" s="6" t="str">
        <f aca="false">IFERROR(INDEX(Mundarija!$D:$D,MATCH(B321,Mundarija!$A:$A,0)),"kod topilmadi")</f>
        <v>28.6. Mushak yirtilishi, gematoma va miozit.</v>
      </c>
      <c r="E321" s="6" t="s">
        <v>2311</v>
      </c>
      <c r="F321" s="11" t="s">
        <v>2312</v>
      </c>
      <c r="G321" s="6" t="s">
        <v>2313</v>
      </c>
      <c r="H321" s="6" t="s">
        <v>1706</v>
      </c>
      <c r="I321" s="6" t="s">
        <v>877</v>
      </c>
      <c r="J321" s="6" t="s">
        <v>877</v>
      </c>
      <c r="K321" s="6" t="s">
        <v>878</v>
      </c>
      <c r="L321" s="6" t="s">
        <v>904</v>
      </c>
      <c r="M321" s="6" t="s">
        <v>1713</v>
      </c>
      <c r="N321" s="12" t="s">
        <v>881</v>
      </c>
      <c r="O321" s="6" t="s">
        <v>882</v>
      </c>
      <c r="P321" s="6" t="s">
        <v>2</v>
      </c>
      <c r="Q321" s="6" t="s">
        <v>20</v>
      </c>
      <c r="R321" s="12"/>
      <c r="S321" s="12"/>
      <c r="T321" s="12"/>
      <c r="U321" s="12"/>
      <c r="V321" s="12"/>
      <c r="W321" s="12"/>
      <c r="X321" s="6" t="str">
        <f aca="false">IF(COUNT(R321:W321)=6,SUM(R321:W321),"ko‘rilmagan")</f>
        <v>ko‘rilmagan</v>
      </c>
      <c r="Y321" s="12"/>
    </row>
    <row r="322" customFormat="false" ht="23.85" hidden="false" customHeight="false" outlineLevel="0" collapsed="false">
      <c r="A322" s="6" t="s">
        <v>2314</v>
      </c>
      <c r="B322" s="6" t="s">
        <v>514</v>
      </c>
      <c r="C322" s="6" t="s">
        <v>587</v>
      </c>
      <c r="D322" s="6" t="str">
        <f aca="false">IFERROR(INDEX(Mundarija!$D:$D,MATCH(B322,Mundarija!$A:$A,0)),"kod topilmadi")</f>
        <v>28.6. Mushak yirtilishi, gematoma va miozit.</v>
      </c>
      <c r="E322" s="6" t="s">
        <v>2315</v>
      </c>
      <c r="F322" s="11" t="s">
        <v>2316</v>
      </c>
      <c r="G322" s="6" t="s">
        <v>2317</v>
      </c>
      <c r="H322" s="6" t="s">
        <v>2318</v>
      </c>
      <c r="I322" s="6" t="s">
        <v>877</v>
      </c>
      <c r="J322" s="6" t="s">
        <v>877</v>
      </c>
      <c r="K322" s="6" t="s">
        <v>878</v>
      </c>
      <c r="L322" s="6" t="s">
        <v>904</v>
      </c>
      <c r="M322" s="6" t="s">
        <v>1713</v>
      </c>
      <c r="N322" s="12" t="s">
        <v>881</v>
      </c>
      <c r="O322" s="6" t="s">
        <v>882</v>
      </c>
      <c r="P322" s="6" t="s">
        <v>2</v>
      </c>
      <c r="Q322" s="6" t="s">
        <v>20</v>
      </c>
      <c r="R322" s="12"/>
      <c r="S322" s="12"/>
      <c r="T322" s="12"/>
      <c r="U322" s="12"/>
      <c r="V322" s="12"/>
      <c r="W322" s="12"/>
      <c r="X322" s="6" t="str">
        <f aca="false">IF(COUNT(R322:W322)=6,SUM(R322:W322),"ko‘rilmagan")</f>
        <v>ko‘rilmagan</v>
      </c>
      <c r="Y322" s="12"/>
    </row>
    <row r="323" customFormat="false" ht="23.85" hidden="false" customHeight="false" outlineLevel="0" collapsed="false">
      <c r="A323" s="6" t="s">
        <v>2319</v>
      </c>
      <c r="B323" s="6" t="s">
        <v>516</v>
      </c>
      <c r="C323" s="6"/>
      <c r="D323" s="6" t="str">
        <f aca="false">IFERROR(INDEX(Mundarija!$D:$D,MATCH(B323,Mundarija!$A:$A,0)),"kod topilmadi")</f>
        <v>28.7. Artrit, sinovit va bo‘g‘im suyuqligi.</v>
      </c>
      <c r="E323" s="6" t="s">
        <v>2320</v>
      </c>
      <c r="F323" s="11" t="s">
        <v>2321</v>
      </c>
      <c r="G323" s="6" t="s">
        <v>1223</v>
      </c>
      <c r="H323" s="6" t="s">
        <v>1842</v>
      </c>
      <c r="I323" s="6" t="s">
        <v>877</v>
      </c>
      <c r="J323" s="6" t="s">
        <v>877</v>
      </c>
      <c r="K323" s="6" t="s">
        <v>878</v>
      </c>
      <c r="L323" s="6" t="s">
        <v>879</v>
      </c>
      <c r="M323" s="6" t="s">
        <v>891</v>
      </c>
      <c r="N323" s="12" t="s">
        <v>881</v>
      </c>
      <c r="O323" s="6" t="s">
        <v>882</v>
      </c>
      <c r="P323" s="6" t="s">
        <v>2</v>
      </c>
      <c r="Q323" s="6" t="s">
        <v>20</v>
      </c>
      <c r="R323" s="12"/>
      <c r="S323" s="12"/>
      <c r="T323" s="12"/>
      <c r="U323" s="12"/>
      <c r="V323" s="12"/>
      <c r="W323" s="12"/>
      <c r="X323" s="6" t="str">
        <f aca="false">IF(COUNT(R323:W323)=6,SUM(R323:W323),"ko‘rilmagan")</f>
        <v>ko‘rilmagan</v>
      </c>
      <c r="Y323" s="12"/>
    </row>
    <row r="324" customFormat="false" ht="23.85" hidden="false" customHeight="false" outlineLevel="0" collapsed="false">
      <c r="A324" s="6" t="s">
        <v>2322</v>
      </c>
      <c r="B324" s="6" t="s">
        <v>516</v>
      </c>
      <c r="C324" s="6"/>
      <c r="D324" s="6" t="str">
        <f aca="false">IFERROR(INDEX(Mundarija!$D:$D,MATCH(B324,Mundarija!$A:$A,0)),"kod topilmadi")</f>
        <v>28.7. Artrit, sinovit va bo‘g‘im suyuqligi.</v>
      </c>
      <c r="E324" s="6" t="s">
        <v>2323</v>
      </c>
      <c r="F324" s="11" t="s">
        <v>2324</v>
      </c>
      <c r="G324" s="6" t="s">
        <v>1318</v>
      </c>
      <c r="H324" s="6" t="s">
        <v>2304</v>
      </c>
      <c r="I324" s="6" t="s">
        <v>877</v>
      </c>
      <c r="J324" s="6" t="s">
        <v>877</v>
      </c>
      <c r="K324" s="6" t="s">
        <v>878</v>
      </c>
      <c r="L324" s="6" t="s">
        <v>904</v>
      </c>
      <c r="M324" s="6" t="s">
        <v>1713</v>
      </c>
      <c r="N324" s="12" t="s">
        <v>881</v>
      </c>
      <c r="O324" s="6" t="s">
        <v>882</v>
      </c>
      <c r="P324" s="6" t="s">
        <v>2</v>
      </c>
      <c r="Q324" s="6" t="s">
        <v>20</v>
      </c>
      <c r="R324" s="12"/>
      <c r="S324" s="12"/>
      <c r="T324" s="12"/>
      <c r="U324" s="12"/>
      <c r="V324" s="12"/>
      <c r="W324" s="12"/>
      <c r="X324" s="6" t="str">
        <f aca="false">IF(COUNT(R324:W324)=6,SUM(R324:W324),"ko‘rilmagan")</f>
        <v>ko‘rilmagan</v>
      </c>
      <c r="Y324" s="12"/>
    </row>
    <row r="325" customFormat="false" ht="23.85" hidden="false" customHeight="false" outlineLevel="0" collapsed="false">
      <c r="A325" s="6" t="s">
        <v>2325</v>
      </c>
      <c r="B325" s="6" t="s">
        <v>516</v>
      </c>
      <c r="C325" s="6"/>
      <c r="D325" s="6" t="str">
        <f aca="false">IFERROR(INDEX(Mundarija!$D:$D,MATCH(B325,Mundarija!$A:$A,0)),"kod topilmadi")</f>
        <v>28.7. Artrit, sinovit va bo‘g‘im suyuqligi.</v>
      </c>
      <c r="E325" s="6" t="s">
        <v>2326</v>
      </c>
      <c r="F325" s="11" t="s">
        <v>2327</v>
      </c>
      <c r="G325" s="6" t="s">
        <v>2135</v>
      </c>
      <c r="H325" s="6" t="s">
        <v>2328</v>
      </c>
      <c r="I325" s="6" t="s">
        <v>877</v>
      </c>
      <c r="J325" s="6" t="s">
        <v>877</v>
      </c>
      <c r="K325" s="6" t="s">
        <v>878</v>
      </c>
      <c r="L325" s="6" t="s">
        <v>904</v>
      </c>
      <c r="M325" s="6" t="s">
        <v>912</v>
      </c>
      <c r="N325" s="12" t="s">
        <v>881</v>
      </c>
      <c r="O325" s="6" t="s">
        <v>882</v>
      </c>
      <c r="P325" s="6" t="s">
        <v>2</v>
      </c>
      <c r="Q325" s="6" t="s">
        <v>20</v>
      </c>
      <c r="R325" s="12"/>
      <c r="S325" s="12"/>
      <c r="T325" s="12"/>
      <c r="U325" s="12"/>
      <c r="V325" s="12"/>
      <c r="W325" s="12"/>
      <c r="X325" s="6" t="str">
        <f aca="false">IF(COUNT(R325:W325)=6,SUM(R325:W325),"ko‘rilmagan")</f>
        <v>ko‘rilmagan</v>
      </c>
      <c r="Y325" s="12"/>
    </row>
    <row r="326" customFormat="false" ht="23.85" hidden="false" customHeight="false" outlineLevel="0" collapsed="false">
      <c r="A326" s="6" t="s">
        <v>2329</v>
      </c>
      <c r="B326" s="6" t="s">
        <v>520</v>
      </c>
      <c r="C326" s="6"/>
      <c r="D326" s="6" t="str">
        <f aca="false">IFERROR(INDEX(Mundarija!$D:$D,MATCH(B326,Mundarija!$A:$A,0)),"kod topilmadi")</f>
        <v>28.9. Churralar va yumshoq to‘qima hosilalari.</v>
      </c>
      <c r="E326" s="6" t="s">
        <v>2330</v>
      </c>
      <c r="F326" s="11" t="s">
        <v>2331</v>
      </c>
      <c r="G326" s="6" t="s">
        <v>1259</v>
      </c>
      <c r="H326" s="6" t="s">
        <v>2332</v>
      </c>
      <c r="I326" s="6" t="s">
        <v>877</v>
      </c>
      <c r="J326" s="6" t="s">
        <v>877</v>
      </c>
      <c r="K326" s="6" t="s">
        <v>878</v>
      </c>
      <c r="L326" s="6" t="s">
        <v>879</v>
      </c>
      <c r="M326" s="6" t="s">
        <v>1713</v>
      </c>
      <c r="N326" s="12" t="s">
        <v>881</v>
      </c>
      <c r="O326" s="6" t="s">
        <v>882</v>
      </c>
      <c r="P326" s="6" t="s">
        <v>2</v>
      </c>
      <c r="Q326" s="6" t="s">
        <v>20</v>
      </c>
      <c r="R326" s="12"/>
      <c r="S326" s="12"/>
      <c r="T326" s="12"/>
      <c r="U326" s="12"/>
      <c r="V326" s="12"/>
      <c r="W326" s="12"/>
      <c r="X326" s="6" t="str">
        <f aca="false">IF(COUNT(R326:W326)=6,SUM(R326:W326),"ko‘rilmagan")</f>
        <v>ko‘rilmagan</v>
      </c>
      <c r="Y326" s="12"/>
    </row>
    <row r="327" customFormat="false" ht="23.85" hidden="false" customHeight="false" outlineLevel="0" collapsed="false">
      <c r="A327" s="6" t="s">
        <v>2333</v>
      </c>
      <c r="B327" s="6" t="s">
        <v>520</v>
      </c>
      <c r="C327" s="6"/>
      <c r="D327" s="6" t="str">
        <f aca="false">IFERROR(INDEX(Mundarija!$D:$D,MATCH(B327,Mundarija!$A:$A,0)),"kod topilmadi")</f>
        <v>28.9. Churralar va yumshoq to‘qima hosilalari.</v>
      </c>
      <c r="E327" s="6" t="s">
        <v>2334</v>
      </c>
      <c r="F327" s="11" t="s">
        <v>2335</v>
      </c>
      <c r="G327" s="6" t="s">
        <v>1369</v>
      </c>
      <c r="H327" s="6" t="s">
        <v>1667</v>
      </c>
      <c r="I327" s="6" t="s">
        <v>877</v>
      </c>
      <c r="J327" s="6" t="s">
        <v>877</v>
      </c>
      <c r="K327" s="6" t="s">
        <v>878</v>
      </c>
      <c r="L327" s="6" t="s">
        <v>904</v>
      </c>
      <c r="M327" s="6" t="s">
        <v>891</v>
      </c>
      <c r="N327" s="12" t="s">
        <v>881</v>
      </c>
      <c r="O327" s="6" t="s">
        <v>882</v>
      </c>
      <c r="P327" s="6" t="s">
        <v>2</v>
      </c>
      <c r="Q327" s="6" t="s">
        <v>20</v>
      </c>
      <c r="R327" s="12"/>
      <c r="S327" s="12"/>
      <c r="T327" s="12"/>
      <c r="U327" s="12"/>
      <c r="V327" s="12"/>
      <c r="W327" s="12"/>
      <c r="X327" s="6" t="str">
        <f aca="false">IF(COUNT(R327:W327)=6,SUM(R327:W327),"ko‘rilmagan")</f>
        <v>ko‘rilmagan</v>
      </c>
      <c r="Y327" s="12"/>
    </row>
    <row r="328" customFormat="false" ht="23.85" hidden="false" customHeight="false" outlineLevel="0" collapsed="false">
      <c r="A328" s="6" t="s">
        <v>2336</v>
      </c>
      <c r="B328" s="6" t="s">
        <v>520</v>
      </c>
      <c r="C328" s="6"/>
      <c r="D328" s="6" t="str">
        <f aca="false">IFERROR(INDEX(Mundarija!$D:$D,MATCH(B328,Mundarija!$A:$A,0)),"kod topilmadi")</f>
        <v>28.9. Churralar va yumshoq to‘qima hosilalari.</v>
      </c>
      <c r="E328" s="6" t="s">
        <v>2337</v>
      </c>
      <c r="F328" s="11" t="s">
        <v>2338</v>
      </c>
      <c r="G328" s="6" t="s">
        <v>2339</v>
      </c>
      <c r="H328" s="6" t="s">
        <v>910</v>
      </c>
      <c r="I328" s="6" t="s">
        <v>877</v>
      </c>
      <c r="J328" s="6" t="s">
        <v>877</v>
      </c>
      <c r="K328" s="6" t="s">
        <v>878</v>
      </c>
      <c r="L328" s="6" t="s">
        <v>879</v>
      </c>
      <c r="M328" s="6" t="s">
        <v>1713</v>
      </c>
      <c r="N328" s="12" t="s">
        <v>881</v>
      </c>
      <c r="O328" s="6" t="s">
        <v>882</v>
      </c>
      <c r="P328" s="6" t="s">
        <v>2</v>
      </c>
      <c r="Q328" s="6" t="s">
        <v>20</v>
      </c>
      <c r="R328" s="12"/>
      <c r="S328" s="12"/>
      <c r="T328" s="12"/>
      <c r="U328" s="12"/>
      <c r="V328" s="12"/>
      <c r="W328" s="12"/>
      <c r="X328" s="6" t="str">
        <f aca="false">IF(COUNT(R328:W328)=6,SUM(R328:W328),"ko‘rilmagan")</f>
        <v>ko‘rilmagan</v>
      </c>
      <c r="Y328" s="12"/>
    </row>
    <row r="329" customFormat="false" ht="35.05" hidden="false" customHeight="false" outlineLevel="0" collapsed="false">
      <c r="A329" s="6" t="s">
        <v>2340</v>
      </c>
      <c r="B329" s="6" t="s">
        <v>522</v>
      </c>
      <c r="C329" s="6" t="s">
        <v>562</v>
      </c>
      <c r="D329" s="6" t="str">
        <f aca="false">IFERROR(INDEX(Mundarija!$D:$D,MATCH(B329,Mundarija!$A:$A,0)),"kod topilmadi")</f>
        <v>28.10. Mushak-skelet elastografiyasi: imkoniyatlar va cheklovlar.</v>
      </c>
      <c r="E329" s="6" t="s">
        <v>2341</v>
      </c>
      <c r="F329" s="11" t="s">
        <v>2342</v>
      </c>
      <c r="G329" s="6" t="s">
        <v>1245</v>
      </c>
      <c r="H329" s="6" t="s">
        <v>2343</v>
      </c>
      <c r="I329" s="6" t="s">
        <v>877</v>
      </c>
      <c r="J329" s="6" t="s">
        <v>877</v>
      </c>
      <c r="K329" s="6" t="s">
        <v>878</v>
      </c>
      <c r="L329" s="6" t="s">
        <v>904</v>
      </c>
      <c r="M329" s="6" t="s">
        <v>912</v>
      </c>
      <c r="N329" s="12" t="s">
        <v>881</v>
      </c>
      <c r="O329" s="6" t="s">
        <v>882</v>
      </c>
      <c r="P329" s="6" t="s">
        <v>2</v>
      </c>
      <c r="Q329" s="6" t="s">
        <v>20</v>
      </c>
      <c r="R329" s="12"/>
      <c r="S329" s="12"/>
      <c r="T329" s="12"/>
      <c r="U329" s="12"/>
      <c r="V329" s="12"/>
      <c r="W329" s="12"/>
      <c r="X329" s="6" t="str">
        <f aca="false">IF(COUNT(R329:W329)=6,SUM(R329:W329),"ko‘rilmagan")</f>
        <v>ko‘rilmagan</v>
      </c>
      <c r="Y329" s="12"/>
    </row>
    <row r="330" customFormat="false" ht="23.85" hidden="false" customHeight="false" outlineLevel="0" collapsed="false">
      <c r="A330" s="6" t="s">
        <v>2344</v>
      </c>
      <c r="B330" s="6" t="s">
        <v>524</v>
      </c>
      <c r="C330" s="6"/>
      <c r="D330" s="6" t="str">
        <f aca="false">IFERROR(INDEX(Mundarija!$D:$D,MATCH(B330,Mundarija!$A:$A,0)),"kod topilmadi")</f>
        <v>29.1. POCUS va klinik savolga yo‘naltirilgan tekshiruv.</v>
      </c>
      <c r="E330" s="6" t="s">
        <v>2345</v>
      </c>
      <c r="F330" s="11" t="s">
        <v>2346</v>
      </c>
      <c r="G330" s="6" t="s">
        <v>2347</v>
      </c>
      <c r="H330" s="6" t="s">
        <v>2348</v>
      </c>
      <c r="I330" s="6" t="s">
        <v>877</v>
      </c>
      <c r="J330" s="6" t="s">
        <v>877</v>
      </c>
      <c r="K330" s="6" t="s">
        <v>878</v>
      </c>
      <c r="L330" s="6" t="s">
        <v>879</v>
      </c>
      <c r="M330" s="6" t="s">
        <v>912</v>
      </c>
      <c r="N330" s="12" t="s">
        <v>881</v>
      </c>
      <c r="O330" s="6" t="s">
        <v>882</v>
      </c>
      <c r="P330" s="6" t="s">
        <v>2</v>
      </c>
      <c r="Q330" s="6" t="s">
        <v>20</v>
      </c>
      <c r="R330" s="12"/>
      <c r="S330" s="12"/>
      <c r="T330" s="12"/>
      <c r="U330" s="12"/>
      <c r="V330" s="12"/>
      <c r="W330" s="12"/>
      <c r="X330" s="6" t="str">
        <f aca="false">IF(COUNT(R330:W330)=6,SUM(R330:W330),"ko‘rilmagan")</f>
        <v>ko‘rilmagan</v>
      </c>
      <c r="Y330" s="12"/>
    </row>
    <row r="331" customFormat="false" ht="23.85" hidden="false" customHeight="false" outlineLevel="0" collapsed="false">
      <c r="A331" s="6" t="s">
        <v>2349</v>
      </c>
      <c r="B331" s="6" t="s">
        <v>524</v>
      </c>
      <c r="C331" s="6"/>
      <c r="D331" s="6" t="str">
        <f aca="false">IFERROR(INDEX(Mundarija!$D:$D,MATCH(B331,Mundarija!$A:$A,0)),"kod topilmadi")</f>
        <v>29.1. POCUS va klinik savolga yo‘naltirilgan tekshiruv.</v>
      </c>
      <c r="E331" s="6" t="s">
        <v>2350</v>
      </c>
      <c r="F331" s="11" t="s">
        <v>2351</v>
      </c>
      <c r="G331" s="6" t="s">
        <v>2352</v>
      </c>
      <c r="H331" s="6" t="s">
        <v>2353</v>
      </c>
      <c r="I331" s="6" t="s">
        <v>877</v>
      </c>
      <c r="J331" s="6" t="s">
        <v>877</v>
      </c>
      <c r="K331" s="6" t="s">
        <v>878</v>
      </c>
      <c r="L331" s="6" t="s">
        <v>879</v>
      </c>
      <c r="M331" s="6" t="s">
        <v>912</v>
      </c>
      <c r="N331" s="12" t="s">
        <v>881</v>
      </c>
      <c r="O331" s="6" t="s">
        <v>882</v>
      </c>
      <c r="P331" s="6" t="s">
        <v>2</v>
      </c>
      <c r="Q331" s="6" t="s">
        <v>20</v>
      </c>
      <c r="R331" s="12"/>
      <c r="S331" s="12"/>
      <c r="T331" s="12"/>
      <c r="U331" s="12"/>
      <c r="V331" s="12"/>
      <c r="W331" s="12"/>
      <c r="X331" s="6" t="str">
        <f aca="false">IF(COUNT(R331:W331)=6,SUM(R331:W331),"ko‘rilmagan")</f>
        <v>ko‘rilmagan</v>
      </c>
      <c r="Y331" s="12"/>
    </row>
    <row r="332" customFormat="false" ht="23.85" hidden="false" customHeight="false" outlineLevel="0" collapsed="false">
      <c r="A332" s="6" t="s">
        <v>2354</v>
      </c>
      <c r="B332" s="6" t="s">
        <v>524</v>
      </c>
      <c r="C332" s="6"/>
      <c r="D332" s="6" t="str">
        <f aca="false">IFERROR(INDEX(Mundarija!$D:$D,MATCH(B332,Mundarija!$A:$A,0)),"kod topilmadi")</f>
        <v>29.1. POCUS va klinik savolga yo‘naltirilgan tekshiruv.</v>
      </c>
      <c r="E332" s="6" t="s">
        <v>2355</v>
      </c>
      <c r="F332" s="11" t="s">
        <v>2356</v>
      </c>
      <c r="G332" s="6" t="s">
        <v>1223</v>
      </c>
      <c r="H332" s="6" t="s">
        <v>1842</v>
      </c>
      <c r="I332" s="6" t="s">
        <v>877</v>
      </c>
      <c r="J332" s="6" t="s">
        <v>877</v>
      </c>
      <c r="K332" s="6" t="s">
        <v>878</v>
      </c>
      <c r="L332" s="6" t="s">
        <v>879</v>
      </c>
      <c r="M332" s="6" t="s">
        <v>912</v>
      </c>
      <c r="N332" s="12" t="s">
        <v>881</v>
      </c>
      <c r="O332" s="6" t="s">
        <v>882</v>
      </c>
      <c r="P332" s="6" t="s">
        <v>2</v>
      </c>
      <c r="Q332" s="6" t="s">
        <v>20</v>
      </c>
      <c r="R332" s="12"/>
      <c r="S332" s="12"/>
      <c r="T332" s="12"/>
      <c r="U332" s="12"/>
      <c r="V332" s="12"/>
      <c r="W332" s="12"/>
      <c r="X332" s="6" t="str">
        <f aca="false">IF(COUNT(R332:W332)=6,SUM(R332:W332),"ko‘rilmagan")</f>
        <v>ko‘rilmagan</v>
      </c>
      <c r="Y332" s="12"/>
    </row>
    <row r="333" customFormat="false" ht="23.85" hidden="false" customHeight="false" outlineLevel="0" collapsed="false">
      <c r="A333" s="6" t="s">
        <v>2357</v>
      </c>
      <c r="B333" s="6" t="s">
        <v>528</v>
      </c>
      <c r="C333" s="6"/>
      <c r="D333" s="6" t="str">
        <f aca="false">IFERROR(INDEX(Mundarija!$D:$D,MATCH(B333,Mundarija!$A:$A,0)),"kod topilmadi")</f>
        <v>29.2. FAST va E-FAST.</v>
      </c>
      <c r="E333" s="6" t="s">
        <v>2358</v>
      </c>
      <c r="F333" s="11" t="s">
        <v>2359</v>
      </c>
      <c r="G333" s="6" t="s">
        <v>1573</v>
      </c>
      <c r="H333" s="6" t="s">
        <v>2360</v>
      </c>
      <c r="I333" s="6" t="s">
        <v>877</v>
      </c>
      <c r="J333" s="6" t="s">
        <v>877</v>
      </c>
      <c r="K333" s="6" t="s">
        <v>878</v>
      </c>
      <c r="L333" s="6" t="s">
        <v>879</v>
      </c>
      <c r="M333" s="6" t="s">
        <v>891</v>
      </c>
      <c r="N333" s="12" t="s">
        <v>881</v>
      </c>
      <c r="O333" s="6" t="s">
        <v>882</v>
      </c>
      <c r="P333" s="6" t="s">
        <v>2</v>
      </c>
      <c r="Q333" s="6" t="s">
        <v>20</v>
      </c>
      <c r="R333" s="12"/>
      <c r="S333" s="12"/>
      <c r="T333" s="12"/>
      <c r="U333" s="12"/>
      <c r="V333" s="12"/>
      <c r="W333" s="12"/>
      <c r="X333" s="6" t="str">
        <f aca="false">IF(COUNT(R333:W333)=6,SUM(R333:W333),"ko‘rilmagan")</f>
        <v>ko‘rilmagan</v>
      </c>
      <c r="Y333" s="12"/>
    </row>
    <row r="334" customFormat="false" ht="23.85" hidden="false" customHeight="false" outlineLevel="0" collapsed="false">
      <c r="A334" s="6" t="s">
        <v>2361</v>
      </c>
      <c r="B334" s="6" t="s">
        <v>528</v>
      </c>
      <c r="C334" s="6"/>
      <c r="D334" s="6" t="str">
        <f aca="false">IFERROR(INDEX(Mundarija!$D:$D,MATCH(B334,Mundarija!$A:$A,0)),"kod topilmadi")</f>
        <v>29.2. FAST va E-FAST.</v>
      </c>
      <c r="E334" s="6" t="s">
        <v>2362</v>
      </c>
      <c r="F334" s="11" t="s">
        <v>2363</v>
      </c>
      <c r="G334" s="6" t="s">
        <v>2352</v>
      </c>
      <c r="H334" s="6" t="s">
        <v>2353</v>
      </c>
      <c r="I334" s="6" t="s">
        <v>877</v>
      </c>
      <c r="J334" s="6" t="s">
        <v>877</v>
      </c>
      <c r="K334" s="6" t="s">
        <v>878</v>
      </c>
      <c r="L334" s="6" t="s">
        <v>879</v>
      </c>
      <c r="M334" s="6" t="s">
        <v>891</v>
      </c>
      <c r="N334" s="12" t="s">
        <v>881</v>
      </c>
      <c r="O334" s="6" t="s">
        <v>882</v>
      </c>
      <c r="P334" s="6" t="s">
        <v>2</v>
      </c>
      <c r="Q334" s="6" t="s">
        <v>20</v>
      </c>
      <c r="R334" s="12"/>
      <c r="S334" s="12"/>
      <c r="T334" s="12"/>
      <c r="U334" s="12"/>
      <c r="V334" s="12"/>
      <c r="W334" s="12"/>
      <c r="X334" s="6" t="str">
        <f aca="false">IF(COUNT(R334:W334)=6,SUM(R334:W334),"ko‘rilmagan")</f>
        <v>ko‘rilmagan</v>
      </c>
      <c r="Y334" s="12"/>
    </row>
    <row r="335" customFormat="false" ht="23.85" hidden="false" customHeight="false" outlineLevel="0" collapsed="false">
      <c r="A335" s="6" t="s">
        <v>2364</v>
      </c>
      <c r="B335" s="6" t="s">
        <v>528</v>
      </c>
      <c r="C335" s="6"/>
      <c r="D335" s="6" t="str">
        <f aca="false">IFERROR(INDEX(Mundarija!$D:$D,MATCH(B335,Mundarija!$A:$A,0)),"kod topilmadi")</f>
        <v>29.2. FAST va E-FAST.</v>
      </c>
      <c r="E335" s="6" t="s">
        <v>2365</v>
      </c>
      <c r="F335" s="11" t="s">
        <v>2366</v>
      </c>
      <c r="G335" s="6" t="s">
        <v>1210</v>
      </c>
      <c r="H335" s="6" t="s">
        <v>2367</v>
      </c>
      <c r="I335" s="6" t="s">
        <v>877</v>
      </c>
      <c r="J335" s="6" t="s">
        <v>877</v>
      </c>
      <c r="K335" s="6" t="s">
        <v>878</v>
      </c>
      <c r="L335" s="6" t="s">
        <v>904</v>
      </c>
      <c r="M335" s="6" t="s">
        <v>891</v>
      </c>
      <c r="N335" s="12" t="s">
        <v>881</v>
      </c>
      <c r="O335" s="6" t="s">
        <v>882</v>
      </c>
      <c r="P335" s="6" t="s">
        <v>2</v>
      </c>
      <c r="Q335" s="6" t="s">
        <v>20</v>
      </c>
      <c r="R335" s="12"/>
      <c r="S335" s="12"/>
      <c r="T335" s="12"/>
      <c r="U335" s="12"/>
      <c r="V335" s="12"/>
      <c r="W335" s="12"/>
      <c r="X335" s="6" t="str">
        <f aca="false">IF(COUNT(R335:W335)=6,SUM(R335:W335),"ko‘rilmagan")</f>
        <v>ko‘rilmagan</v>
      </c>
      <c r="Y335" s="12"/>
    </row>
    <row r="336" customFormat="false" ht="35.05" hidden="false" customHeight="false" outlineLevel="0" collapsed="false">
      <c r="A336" s="6" t="s">
        <v>2368</v>
      </c>
      <c r="B336" s="6" t="s">
        <v>530</v>
      </c>
      <c r="C336" s="6"/>
      <c r="D336" s="6" t="str">
        <f aca="false">IFERROR(INDEX(Mundarija!$D:$D,MATCH(B336,Mundarija!$A:$A,0)),"kod topilmadi")</f>
        <v>29.3. O‘pka UZI: A-chiziqlar, B-chiziqlar, plevra va pnevmotoraks belgilari.</v>
      </c>
      <c r="E336" s="6" t="s">
        <v>2369</v>
      </c>
      <c r="F336" s="11" t="s">
        <v>2370</v>
      </c>
      <c r="G336" s="6" t="s">
        <v>1245</v>
      </c>
      <c r="H336" s="6" t="s">
        <v>2343</v>
      </c>
      <c r="I336" s="6" t="s">
        <v>877</v>
      </c>
      <c r="J336" s="6" t="s">
        <v>877</v>
      </c>
      <c r="K336" s="6" t="s">
        <v>878</v>
      </c>
      <c r="L336" s="6" t="s">
        <v>904</v>
      </c>
      <c r="M336" s="6" t="s">
        <v>912</v>
      </c>
      <c r="N336" s="12" t="s">
        <v>881</v>
      </c>
      <c r="O336" s="6" t="s">
        <v>882</v>
      </c>
      <c r="P336" s="6" t="s">
        <v>2</v>
      </c>
      <c r="Q336" s="6" t="s">
        <v>20</v>
      </c>
      <c r="R336" s="12"/>
      <c r="S336" s="12"/>
      <c r="T336" s="12"/>
      <c r="U336" s="12"/>
      <c r="V336" s="12"/>
      <c r="W336" s="12"/>
      <c r="X336" s="6" t="str">
        <f aca="false">IF(COUNT(R336:W336)=6,SUM(R336:W336),"ko‘rilmagan")</f>
        <v>ko‘rilmagan</v>
      </c>
      <c r="Y336" s="12"/>
    </row>
    <row r="337" customFormat="false" ht="23.85" hidden="false" customHeight="false" outlineLevel="0" collapsed="false">
      <c r="A337" s="6" t="s">
        <v>2371</v>
      </c>
      <c r="B337" s="6" t="s">
        <v>530</v>
      </c>
      <c r="C337" s="6"/>
      <c r="D337" s="6" t="str">
        <f aca="false">IFERROR(INDEX(Mundarija!$D:$D,MATCH(B337,Mundarija!$A:$A,0)),"kod topilmadi")</f>
        <v>29.3. O‘pka UZI: A-chiziqlar, B-chiziqlar, plevra va pnevmotoraks belgilari.</v>
      </c>
      <c r="E337" s="6" t="s">
        <v>2372</v>
      </c>
      <c r="F337" s="11" t="s">
        <v>2373</v>
      </c>
      <c r="G337" s="6" t="s">
        <v>1318</v>
      </c>
      <c r="H337" s="6" t="s">
        <v>2304</v>
      </c>
      <c r="I337" s="6" t="s">
        <v>877</v>
      </c>
      <c r="J337" s="6" t="s">
        <v>877</v>
      </c>
      <c r="K337" s="6" t="s">
        <v>878</v>
      </c>
      <c r="L337" s="6" t="s">
        <v>904</v>
      </c>
      <c r="M337" s="6" t="s">
        <v>1713</v>
      </c>
      <c r="N337" s="12" t="s">
        <v>881</v>
      </c>
      <c r="O337" s="6" t="s">
        <v>882</v>
      </c>
      <c r="P337" s="6" t="s">
        <v>2</v>
      </c>
      <c r="Q337" s="6" t="s">
        <v>20</v>
      </c>
      <c r="R337" s="12"/>
      <c r="S337" s="12"/>
      <c r="T337" s="12"/>
      <c r="U337" s="12"/>
      <c r="V337" s="12"/>
      <c r="W337" s="12"/>
      <c r="X337" s="6" t="str">
        <f aca="false">IF(COUNT(R337:W337)=6,SUM(R337:W337),"ko‘rilmagan")</f>
        <v>ko‘rilmagan</v>
      </c>
      <c r="Y337" s="12"/>
    </row>
    <row r="338" customFormat="false" ht="23.85" hidden="false" customHeight="false" outlineLevel="0" collapsed="false">
      <c r="A338" s="6" t="s">
        <v>2374</v>
      </c>
      <c r="B338" s="6" t="s">
        <v>530</v>
      </c>
      <c r="C338" s="6"/>
      <c r="D338" s="6" t="str">
        <f aca="false">IFERROR(INDEX(Mundarija!$D:$D,MATCH(B338,Mundarija!$A:$A,0)),"kod topilmadi")</f>
        <v>29.3. O‘pka UZI: A-chiziqlar, B-chiziqlar, plevra va pnevmotoraks belgilari.</v>
      </c>
      <c r="E338" s="6" t="s">
        <v>2375</v>
      </c>
      <c r="F338" s="11" t="s">
        <v>2376</v>
      </c>
      <c r="G338" s="6" t="s">
        <v>2377</v>
      </c>
      <c r="H338" s="6" t="s">
        <v>2378</v>
      </c>
      <c r="I338" s="6" t="s">
        <v>877</v>
      </c>
      <c r="J338" s="6" t="s">
        <v>877</v>
      </c>
      <c r="K338" s="6" t="s">
        <v>878</v>
      </c>
      <c r="L338" s="6" t="s">
        <v>879</v>
      </c>
      <c r="M338" s="6" t="s">
        <v>912</v>
      </c>
      <c r="N338" s="12" t="s">
        <v>881</v>
      </c>
      <c r="O338" s="6" t="s">
        <v>882</v>
      </c>
      <c r="P338" s="6" t="s">
        <v>2</v>
      </c>
      <c r="Q338" s="6" t="s">
        <v>20</v>
      </c>
      <c r="R338" s="12"/>
      <c r="S338" s="12"/>
      <c r="T338" s="12"/>
      <c r="U338" s="12"/>
      <c r="V338" s="12"/>
      <c r="W338" s="12"/>
      <c r="X338" s="6" t="str">
        <f aca="false">IF(COUNT(R338:W338)=6,SUM(R338:W338),"ko‘rilmagan")</f>
        <v>ko‘rilmagan</v>
      </c>
      <c r="Y338" s="12" t="s">
        <v>2379</v>
      </c>
    </row>
    <row r="339" customFormat="false" ht="23.85" hidden="false" customHeight="false" outlineLevel="0" collapsed="false">
      <c r="A339" s="6" t="s">
        <v>2380</v>
      </c>
      <c r="B339" s="6" t="s">
        <v>532</v>
      </c>
      <c r="C339" s="6"/>
      <c r="D339" s="6" t="str">
        <f aca="false">IFERROR(INDEX(Mundarija!$D:$D,MATCH(B339,Mundarija!$A:$A,0)),"kod topilmadi")</f>
        <v>29.4. Plevral suyuqlik va konsolidatsiya.</v>
      </c>
      <c r="E339" s="6" t="s">
        <v>2381</v>
      </c>
      <c r="F339" s="11" t="s">
        <v>2382</v>
      </c>
      <c r="G339" s="6" t="s">
        <v>2383</v>
      </c>
      <c r="H339" s="6" t="s">
        <v>2384</v>
      </c>
      <c r="I339" s="6" t="s">
        <v>877</v>
      </c>
      <c r="J339" s="6" t="s">
        <v>877</v>
      </c>
      <c r="K339" s="6" t="s">
        <v>878</v>
      </c>
      <c r="L339" s="6" t="s">
        <v>904</v>
      </c>
      <c r="M339" s="6" t="s">
        <v>891</v>
      </c>
      <c r="N339" s="12" t="s">
        <v>881</v>
      </c>
      <c r="O339" s="6" t="s">
        <v>882</v>
      </c>
      <c r="P339" s="6" t="s">
        <v>2</v>
      </c>
      <c r="Q339" s="6" t="s">
        <v>20</v>
      </c>
      <c r="R339" s="12"/>
      <c r="S339" s="12"/>
      <c r="T339" s="12"/>
      <c r="U339" s="12"/>
      <c r="V339" s="12"/>
      <c r="W339" s="12"/>
      <c r="X339" s="6" t="str">
        <f aca="false">IF(COUNT(R339:W339)=6,SUM(R339:W339),"ko‘rilmagan")</f>
        <v>ko‘rilmagan</v>
      </c>
      <c r="Y339" s="12"/>
    </row>
    <row r="340" customFormat="false" ht="23.85" hidden="false" customHeight="false" outlineLevel="0" collapsed="false">
      <c r="A340" s="6" t="s">
        <v>2385</v>
      </c>
      <c r="B340" s="6" t="s">
        <v>532</v>
      </c>
      <c r="C340" s="6"/>
      <c r="D340" s="6" t="str">
        <f aca="false">IFERROR(INDEX(Mundarija!$D:$D,MATCH(B340,Mundarija!$A:$A,0)),"kod topilmadi")</f>
        <v>29.4. Plevral suyuqlik va konsolidatsiya.</v>
      </c>
      <c r="E340" s="6" t="s">
        <v>2386</v>
      </c>
      <c r="F340" s="11" t="s">
        <v>2387</v>
      </c>
      <c r="G340" s="6" t="s">
        <v>1564</v>
      </c>
      <c r="H340" s="6" t="s">
        <v>2388</v>
      </c>
      <c r="I340" s="6" t="s">
        <v>877</v>
      </c>
      <c r="J340" s="6" t="s">
        <v>877</v>
      </c>
      <c r="K340" s="6" t="s">
        <v>878</v>
      </c>
      <c r="L340" s="6" t="s">
        <v>904</v>
      </c>
      <c r="M340" s="6" t="s">
        <v>1713</v>
      </c>
      <c r="N340" s="12" t="s">
        <v>881</v>
      </c>
      <c r="O340" s="6" t="s">
        <v>882</v>
      </c>
      <c r="P340" s="6" t="s">
        <v>2</v>
      </c>
      <c r="Q340" s="6" t="s">
        <v>20</v>
      </c>
      <c r="R340" s="12"/>
      <c r="S340" s="12"/>
      <c r="T340" s="12"/>
      <c r="U340" s="12"/>
      <c r="V340" s="12"/>
      <c r="W340" s="12"/>
      <c r="X340" s="6" t="str">
        <f aca="false">IF(COUNT(R340:W340)=6,SUM(R340:W340),"ko‘rilmagan")</f>
        <v>ko‘rilmagan</v>
      </c>
      <c r="Y340" s="12"/>
    </row>
    <row r="341" customFormat="false" ht="23.85" hidden="false" customHeight="false" outlineLevel="0" collapsed="false">
      <c r="A341" s="6" t="s">
        <v>2389</v>
      </c>
      <c r="B341" s="6" t="s">
        <v>532</v>
      </c>
      <c r="C341" s="6"/>
      <c r="D341" s="6" t="str">
        <f aca="false">IFERROR(INDEX(Mundarija!$D:$D,MATCH(B341,Mundarija!$A:$A,0)),"kod topilmadi")</f>
        <v>29.4. Plevral suyuqlik va konsolidatsiya.</v>
      </c>
      <c r="E341" s="6" t="s">
        <v>2390</v>
      </c>
      <c r="F341" s="11" t="s">
        <v>2391</v>
      </c>
      <c r="G341" s="6" t="s">
        <v>2392</v>
      </c>
      <c r="H341" s="6" t="s">
        <v>2393</v>
      </c>
      <c r="I341" s="6" t="s">
        <v>877</v>
      </c>
      <c r="J341" s="6" t="s">
        <v>877</v>
      </c>
      <c r="K341" s="6" t="s">
        <v>878</v>
      </c>
      <c r="L341" s="6" t="s">
        <v>879</v>
      </c>
      <c r="M341" s="6" t="s">
        <v>1713</v>
      </c>
      <c r="N341" s="12" t="s">
        <v>881</v>
      </c>
      <c r="O341" s="6" t="s">
        <v>882</v>
      </c>
      <c r="P341" s="6" t="s">
        <v>2</v>
      </c>
      <c r="Q341" s="6" t="s">
        <v>20</v>
      </c>
      <c r="R341" s="12"/>
      <c r="S341" s="12"/>
      <c r="T341" s="12"/>
      <c r="U341" s="12"/>
      <c r="V341" s="12"/>
      <c r="W341" s="12"/>
      <c r="X341" s="6" t="str">
        <f aca="false">IF(COUNT(R341:W341)=6,SUM(R341:W341),"ko‘rilmagan")</f>
        <v>ko‘rilmagan</v>
      </c>
      <c r="Y341" s="12"/>
    </row>
    <row r="342" customFormat="false" ht="23.85" hidden="false" customHeight="false" outlineLevel="0" collapsed="false">
      <c r="A342" s="6" t="s">
        <v>2394</v>
      </c>
      <c r="B342" s="6" t="s">
        <v>534</v>
      </c>
      <c r="C342" s="6"/>
      <c r="D342" s="6" t="str">
        <f aca="false">IFERROR(INDEX(Mundarija!$D:$D,MATCH(B342,Mundarija!$A:$A,0)),"kod topilmadi")</f>
        <v>29.5. Shok holatida yurak va vena tizimini baholash.</v>
      </c>
      <c r="E342" s="6" t="s">
        <v>2395</v>
      </c>
      <c r="F342" s="11" t="s">
        <v>2396</v>
      </c>
      <c r="G342" s="6" t="s">
        <v>1499</v>
      </c>
      <c r="H342" s="6" t="s">
        <v>2397</v>
      </c>
      <c r="I342" s="6" t="s">
        <v>877</v>
      </c>
      <c r="J342" s="6" t="s">
        <v>877</v>
      </c>
      <c r="K342" s="6" t="s">
        <v>878</v>
      </c>
      <c r="L342" s="6" t="s">
        <v>904</v>
      </c>
      <c r="M342" s="6" t="s">
        <v>912</v>
      </c>
      <c r="N342" s="12" t="s">
        <v>881</v>
      </c>
      <c r="O342" s="6" t="s">
        <v>882</v>
      </c>
      <c r="P342" s="6" t="s">
        <v>2</v>
      </c>
      <c r="Q342" s="6" t="s">
        <v>20</v>
      </c>
      <c r="R342" s="12"/>
      <c r="S342" s="12"/>
      <c r="T342" s="12"/>
      <c r="U342" s="12"/>
      <c r="V342" s="12"/>
      <c r="W342" s="12"/>
      <c r="X342" s="6" t="str">
        <f aca="false">IF(COUNT(R342:W342)=6,SUM(R342:W342),"ko‘rilmagan")</f>
        <v>ko‘rilmagan</v>
      </c>
      <c r="Y342" s="12"/>
    </row>
    <row r="343" customFormat="false" ht="23.85" hidden="false" customHeight="false" outlineLevel="0" collapsed="false">
      <c r="A343" s="6" t="s">
        <v>2398</v>
      </c>
      <c r="B343" s="6" t="s">
        <v>534</v>
      </c>
      <c r="C343" s="6"/>
      <c r="D343" s="6" t="str">
        <f aca="false">IFERROR(INDEX(Mundarija!$D:$D,MATCH(B343,Mundarija!$A:$A,0)),"kod topilmadi")</f>
        <v>29.5. Shok holatida yurak va vena tizimini baholash.</v>
      </c>
      <c r="E343" s="6" t="s">
        <v>2399</v>
      </c>
      <c r="F343" s="11" t="s">
        <v>2400</v>
      </c>
      <c r="G343" s="6" t="s">
        <v>1318</v>
      </c>
      <c r="H343" s="6" t="s">
        <v>2304</v>
      </c>
      <c r="I343" s="6" t="s">
        <v>877</v>
      </c>
      <c r="J343" s="6" t="s">
        <v>877</v>
      </c>
      <c r="K343" s="6" t="s">
        <v>878</v>
      </c>
      <c r="L343" s="6" t="s">
        <v>904</v>
      </c>
      <c r="M343" s="6" t="s">
        <v>891</v>
      </c>
      <c r="N343" s="12" t="s">
        <v>881</v>
      </c>
      <c r="O343" s="6" t="s">
        <v>882</v>
      </c>
      <c r="P343" s="6" t="s">
        <v>2</v>
      </c>
      <c r="Q343" s="6" t="s">
        <v>20</v>
      </c>
      <c r="R343" s="12"/>
      <c r="S343" s="12"/>
      <c r="T343" s="12"/>
      <c r="U343" s="12"/>
      <c r="V343" s="12"/>
      <c r="W343" s="12"/>
      <c r="X343" s="6" t="str">
        <f aca="false">IF(COUNT(R343:W343)=6,SUM(R343:W343),"ko‘rilmagan")</f>
        <v>ko‘rilmagan</v>
      </c>
      <c r="Y343" s="12"/>
    </row>
    <row r="344" customFormat="false" ht="23.85" hidden="false" customHeight="false" outlineLevel="0" collapsed="false">
      <c r="A344" s="6" t="s">
        <v>2401</v>
      </c>
      <c r="B344" s="6" t="s">
        <v>536</v>
      </c>
      <c r="C344" s="6"/>
      <c r="D344" s="6" t="str">
        <f aca="false">IFERROR(INDEX(Mundarija!$D:$D,MATCH(B344,Mundarija!$A:$A,0)),"kod topilmadi")</f>
        <v>29.6. Yurak tamponadasi va o‘tkir o‘ng qorincha zo‘riqishiga shubha.</v>
      </c>
      <c r="E344" s="6" t="s">
        <v>2402</v>
      </c>
      <c r="F344" s="11" t="s">
        <v>2403</v>
      </c>
      <c r="G344" s="6" t="s">
        <v>2404</v>
      </c>
      <c r="H344" s="6" t="s">
        <v>2405</v>
      </c>
      <c r="I344" s="6" t="s">
        <v>877</v>
      </c>
      <c r="J344" s="6" t="s">
        <v>877</v>
      </c>
      <c r="K344" s="6" t="s">
        <v>878</v>
      </c>
      <c r="L344" s="6" t="s">
        <v>879</v>
      </c>
      <c r="M344" s="6" t="s">
        <v>912</v>
      </c>
      <c r="N344" s="12" t="s">
        <v>881</v>
      </c>
      <c r="O344" s="6" t="s">
        <v>882</v>
      </c>
      <c r="P344" s="6" t="s">
        <v>2</v>
      </c>
      <c r="Q344" s="6" t="s">
        <v>20</v>
      </c>
      <c r="R344" s="12"/>
      <c r="S344" s="12"/>
      <c r="T344" s="12"/>
      <c r="U344" s="12"/>
      <c r="V344" s="12"/>
      <c r="W344" s="12"/>
      <c r="X344" s="6" t="str">
        <f aca="false">IF(COUNT(R344:W344)=6,SUM(R344:W344),"ko‘rilmagan")</f>
        <v>ko‘rilmagan</v>
      </c>
      <c r="Y344" s="12"/>
    </row>
    <row r="345" customFormat="false" ht="23.85" hidden="false" customHeight="false" outlineLevel="0" collapsed="false">
      <c r="A345" s="6" t="s">
        <v>2406</v>
      </c>
      <c r="B345" s="6" t="s">
        <v>536</v>
      </c>
      <c r="C345" s="6"/>
      <c r="D345" s="6" t="str">
        <f aca="false">IFERROR(INDEX(Mundarija!$D:$D,MATCH(B345,Mundarija!$A:$A,0)),"kod topilmadi")</f>
        <v>29.6. Yurak tamponadasi va o‘tkir o‘ng qorincha zo‘riqishiga shubha.</v>
      </c>
      <c r="E345" s="6" t="s">
        <v>2407</v>
      </c>
      <c r="F345" s="11" t="s">
        <v>2408</v>
      </c>
      <c r="G345" s="6" t="s">
        <v>2409</v>
      </c>
      <c r="H345" s="6" t="s">
        <v>1726</v>
      </c>
      <c r="I345" s="6" t="s">
        <v>877</v>
      </c>
      <c r="J345" s="6" t="s">
        <v>877</v>
      </c>
      <c r="K345" s="6" t="s">
        <v>878</v>
      </c>
      <c r="L345" s="6" t="s">
        <v>904</v>
      </c>
      <c r="M345" s="6" t="s">
        <v>912</v>
      </c>
      <c r="N345" s="12" t="s">
        <v>881</v>
      </c>
      <c r="O345" s="6" t="s">
        <v>882</v>
      </c>
      <c r="P345" s="6" t="s">
        <v>2</v>
      </c>
      <c r="Q345" s="6" t="s">
        <v>20</v>
      </c>
      <c r="R345" s="12"/>
      <c r="S345" s="12"/>
      <c r="T345" s="12"/>
      <c r="U345" s="12"/>
      <c r="V345" s="12"/>
      <c r="W345" s="12"/>
      <c r="X345" s="6" t="str">
        <f aca="false">IF(COUNT(R345:W345)=6,SUM(R345:W345),"ko‘rilmagan")</f>
        <v>ko‘rilmagan</v>
      </c>
      <c r="Y345" s="12"/>
    </row>
    <row r="346" customFormat="false" ht="23.85" hidden="false" customHeight="false" outlineLevel="0" collapsed="false">
      <c r="A346" s="6" t="s">
        <v>2410</v>
      </c>
      <c r="B346" s="6" t="s">
        <v>536</v>
      </c>
      <c r="C346" s="6"/>
      <c r="D346" s="6" t="str">
        <f aca="false">IFERROR(INDEX(Mundarija!$D:$D,MATCH(B346,Mundarija!$A:$A,0)),"kod topilmadi")</f>
        <v>29.6. Yurak tamponadasi va o‘tkir o‘ng qorincha zo‘riqishiga shubha.</v>
      </c>
      <c r="E346" s="6" t="s">
        <v>2411</v>
      </c>
      <c r="F346" s="11" t="s">
        <v>2412</v>
      </c>
      <c r="G346" s="6" t="s">
        <v>1517</v>
      </c>
      <c r="H346" s="6" t="s">
        <v>910</v>
      </c>
      <c r="I346" s="6" t="s">
        <v>877</v>
      </c>
      <c r="J346" s="6" t="s">
        <v>877</v>
      </c>
      <c r="K346" s="6" t="s">
        <v>878</v>
      </c>
      <c r="L346" s="6" t="s">
        <v>1748</v>
      </c>
      <c r="M346" s="6" t="s">
        <v>1713</v>
      </c>
      <c r="N346" s="12" t="s">
        <v>881</v>
      </c>
      <c r="O346" s="6" t="s">
        <v>882</v>
      </c>
      <c r="P346" s="6" t="s">
        <v>2</v>
      </c>
      <c r="Q346" s="6" t="s">
        <v>20</v>
      </c>
      <c r="R346" s="12"/>
      <c r="S346" s="12"/>
      <c r="T346" s="12"/>
      <c r="U346" s="12"/>
      <c r="V346" s="12"/>
      <c r="W346" s="12"/>
      <c r="X346" s="6" t="str">
        <f aca="false">IF(COUNT(R346:W346)=6,SUM(R346:W346),"ko‘rilmagan")</f>
        <v>ko‘rilmagan</v>
      </c>
      <c r="Y346" s="12"/>
    </row>
    <row r="347" customFormat="false" ht="23.85" hidden="false" customHeight="false" outlineLevel="0" collapsed="false">
      <c r="A347" s="6" t="s">
        <v>2413</v>
      </c>
      <c r="B347" s="6" t="s">
        <v>538</v>
      </c>
      <c r="C347" s="6"/>
      <c r="D347" s="6" t="str">
        <f aca="false">IFERROR(INDEX(Mundarija!$D:$D,MATCH(B347,Mundarija!$A:$A,0)),"kod topilmadi")</f>
        <v>29.7. Chuqur vena trombozini tezkor baholash.</v>
      </c>
      <c r="E347" s="6" t="s">
        <v>2414</v>
      </c>
      <c r="F347" s="11" t="s">
        <v>2415</v>
      </c>
      <c r="G347" s="6" t="s">
        <v>1210</v>
      </c>
      <c r="H347" s="6" t="s">
        <v>2367</v>
      </c>
      <c r="I347" s="6" t="s">
        <v>877</v>
      </c>
      <c r="J347" s="6" t="s">
        <v>877</v>
      </c>
      <c r="K347" s="6" t="s">
        <v>878</v>
      </c>
      <c r="L347" s="6" t="s">
        <v>879</v>
      </c>
      <c r="M347" s="6" t="s">
        <v>891</v>
      </c>
      <c r="N347" s="12" t="s">
        <v>881</v>
      </c>
      <c r="O347" s="6" t="s">
        <v>882</v>
      </c>
      <c r="P347" s="6" t="s">
        <v>2</v>
      </c>
      <c r="Q347" s="6" t="s">
        <v>20</v>
      </c>
      <c r="R347" s="12"/>
      <c r="S347" s="12"/>
      <c r="T347" s="12"/>
      <c r="U347" s="12"/>
      <c r="V347" s="12"/>
      <c r="W347" s="12"/>
      <c r="X347" s="6" t="str">
        <f aca="false">IF(COUNT(R347:W347)=6,SUM(R347:W347),"ko‘rilmagan")</f>
        <v>ko‘rilmagan</v>
      </c>
      <c r="Y347" s="12"/>
    </row>
    <row r="348" customFormat="false" ht="23.85" hidden="false" customHeight="false" outlineLevel="0" collapsed="false">
      <c r="A348" s="6" t="s">
        <v>2416</v>
      </c>
      <c r="B348" s="6" t="s">
        <v>538</v>
      </c>
      <c r="C348" s="6"/>
      <c r="D348" s="6" t="str">
        <f aca="false">IFERROR(INDEX(Mundarija!$D:$D,MATCH(B348,Mundarija!$A:$A,0)),"kod topilmadi")</f>
        <v>29.7. Chuqur vena trombozini tezkor baholash.</v>
      </c>
      <c r="E348" s="6" t="s">
        <v>2417</v>
      </c>
      <c r="F348" s="11" t="s">
        <v>2418</v>
      </c>
      <c r="G348" s="6" t="s">
        <v>1599</v>
      </c>
      <c r="H348" s="6" t="s">
        <v>2419</v>
      </c>
      <c r="I348" s="6" t="s">
        <v>877</v>
      </c>
      <c r="J348" s="6" t="s">
        <v>877</v>
      </c>
      <c r="K348" s="6" t="s">
        <v>878</v>
      </c>
      <c r="L348" s="6" t="s">
        <v>879</v>
      </c>
      <c r="M348" s="6" t="s">
        <v>891</v>
      </c>
      <c r="N348" s="12" t="s">
        <v>881</v>
      </c>
      <c r="O348" s="6" t="s">
        <v>882</v>
      </c>
      <c r="P348" s="6" t="s">
        <v>2</v>
      </c>
      <c r="Q348" s="6" t="s">
        <v>20</v>
      </c>
      <c r="R348" s="12"/>
      <c r="S348" s="12"/>
      <c r="T348" s="12"/>
      <c r="U348" s="12"/>
      <c r="V348" s="12"/>
      <c r="W348" s="12"/>
      <c r="X348" s="6" t="str">
        <f aca="false">IF(COUNT(R348:W348)=6,SUM(R348:W348),"ko‘rilmagan")</f>
        <v>ko‘rilmagan</v>
      </c>
      <c r="Y348" s="12"/>
    </row>
    <row r="349" customFormat="false" ht="35.05" hidden="false" customHeight="false" outlineLevel="0" collapsed="false">
      <c r="A349" s="6" t="s">
        <v>2420</v>
      </c>
      <c r="B349" s="6" t="s">
        <v>540</v>
      </c>
      <c r="C349" s="6"/>
      <c r="D349" s="6" t="str">
        <f aca="false">IFERROR(INDEX(Mundarija!$D:$D,MATCH(B349,Mundarija!$A:$A,0)),"kod topilmadi")</f>
        <v>29.8. Shoshilinch qorin patologiyalari.</v>
      </c>
      <c r="E349" s="6" t="s">
        <v>2421</v>
      </c>
      <c r="F349" s="11" t="s">
        <v>2422</v>
      </c>
      <c r="G349" s="6" t="s">
        <v>1245</v>
      </c>
      <c r="H349" s="6" t="s">
        <v>2343</v>
      </c>
      <c r="I349" s="6" t="s">
        <v>877</v>
      </c>
      <c r="J349" s="6" t="s">
        <v>877</v>
      </c>
      <c r="K349" s="6" t="s">
        <v>878</v>
      </c>
      <c r="L349" s="6" t="s">
        <v>904</v>
      </c>
      <c r="M349" s="6" t="s">
        <v>912</v>
      </c>
      <c r="N349" s="12" t="s">
        <v>881</v>
      </c>
      <c r="O349" s="6" t="s">
        <v>882</v>
      </c>
      <c r="P349" s="6" t="s">
        <v>2</v>
      </c>
      <c r="Q349" s="6" t="s">
        <v>20</v>
      </c>
      <c r="R349" s="12"/>
      <c r="S349" s="12"/>
      <c r="T349" s="12"/>
      <c r="U349" s="12"/>
      <c r="V349" s="12"/>
      <c r="W349" s="12"/>
      <c r="X349" s="6" t="str">
        <f aca="false">IF(COUNT(R349:W349)=6,SUM(R349:W349),"ko‘rilmagan")</f>
        <v>ko‘rilmagan</v>
      </c>
      <c r="Y349" s="12"/>
    </row>
    <row r="350" customFormat="false" ht="23.85" hidden="false" customHeight="false" outlineLevel="0" collapsed="false">
      <c r="A350" s="6" t="s">
        <v>2423</v>
      </c>
      <c r="B350" s="6" t="s">
        <v>540</v>
      </c>
      <c r="C350" s="6"/>
      <c r="D350" s="6" t="str">
        <f aca="false">IFERROR(INDEX(Mundarija!$D:$D,MATCH(B350,Mundarija!$A:$A,0)),"kod topilmadi")</f>
        <v>29.8. Shoshilinch qorin patologiyalari.</v>
      </c>
      <c r="E350" s="6" t="s">
        <v>2424</v>
      </c>
      <c r="F350" s="11" t="s">
        <v>2425</v>
      </c>
      <c r="G350" s="6" t="s">
        <v>2426</v>
      </c>
      <c r="H350" s="6" t="s">
        <v>2427</v>
      </c>
      <c r="I350" s="6" t="s">
        <v>877</v>
      </c>
      <c r="J350" s="6" t="s">
        <v>877</v>
      </c>
      <c r="K350" s="6" t="s">
        <v>878</v>
      </c>
      <c r="L350" s="6" t="s">
        <v>904</v>
      </c>
      <c r="M350" s="6" t="s">
        <v>891</v>
      </c>
      <c r="N350" s="12" t="s">
        <v>881</v>
      </c>
      <c r="O350" s="6" t="s">
        <v>882</v>
      </c>
      <c r="P350" s="6" t="s">
        <v>2</v>
      </c>
      <c r="Q350" s="6" t="s">
        <v>20</v>
      </c>
      <c r="R350" s="12"/>
      <c r="S350" s="12"/>
      <c r="T350" s="12"/>
      <c r="U350" s="12"/>
      <c r="V350" s="12"/>
      <c r="W350" s="12"/>
      <c r="X350" s="6" t="str">
        <f aca="false">IF(COUNT(R350:W350)=6,SUM(R350:W350),"ko‘rilmagan")</f>
        <v>ko‘rilmagan</v>
      </c>
      <c r="Y350" s="12"/>
    </row>
    <row r="351" customFormat="false" ht="23.85" hidden="false" customHeight="false" outlineLevel="0" collapsed="false">
      <c r="A351" s="6" t="s">
        <v>2428</v>
      </c>
      <c r="B351" s="6" t="s">
        <v>540</v>
      </c>
      <c r="C351" s="6"/>
      <c r="D351" s="6" t="str">
        <f aca="false">IFERROR(INDEX(Mundarija!$D:$D,MATCH(B351,Mundarija!$A:$A,0)),"kod topilmadi")</f>
        <v>29.8. Shoshilinch qorin patologiyalari.</v>
      </c>
      <c r="E351" s="6" t="s">
        <v>2429</v>
      </c>
      <c r="F351" s="11" t="s">
        <v>2430</v>
      </c>
      <c r="G351" s="6" t="s">
        <v>2431</v>
      </c>
      <c r="H351" s="6" t="s">
        <v>2432</v>
      </c>
      <c r="I351" s="6" t="s">
        <v>877</v>
      </c>
      <c r="J351" s="6" t="s">
        <v>877</v>
      </c>
      <c r="K351" s="6" t="s">
        <v>878</v>
      </c>
      <c r="L351" s="6" t="s">
        <v>904</v>
      </c>
      <c r="M351" s="6" t="s">
        <v>1713</v>
      </c>
      <c r="N351" s="12" t="s">
        <v>881</v>
      </c>
      <c r="O351" s="6" t="s">
        <v>882</v>
      </c>
      <c r="P351" s="6" t="s">
        <v>2</v>
      </c>
      <c r="Q351" s="6" t="s">
        <v>20</v>
      </c>
      <c r="R351" s="12"/>
      <c r="S351" s="12"/>
      <c r="T351" s="12"/>
      <c r="U351" s="12"/>
      <c r="V351" s="12"/>
      <c r="W351" s="12"/>
      <c r="X351" s="6" t="str">
        <f aca="false">IF(COUNT(R351:W351)=6,SUM(R351:W351),"ko‘rilmagan")</f>
        <v>ko‘rilmagan</v>
      </c>
      <c r="Y351" s="12"/>
    </row>
    <row r="352" customFormat="false" ht="23.85" hidden="false" customHeight="false" outlineLevel="0" collapsed="false">
      <c r="A352" s="6" t="s">
        <v>2433</v>
      </c>
      <c r="B352" s="6" t="s">
        <v>542</v>
      </c>
      <c r="C352" s="6"/>
      <c r="D352" s="6" t="str">
        <f aca="false">IFERROR(INDEX(Mundarija!$D:$D,MATCH(B352,Mundarija!$A:$A,0)),"kod topilmadi")</f>
        <v>29.9. POCUS protokollarining cheklovlari va keyingi diagnostika.</v>
      </c>
      <c r="E352" s="6" t="s">
        <v>2434</v>
      </c>
      <c r="F352" s="11" t="s">
        <v>2435</v>
      </c>
      <c r="G352" s="6" t="s">
        <v>2436</v>
      </c>
      <c r="H352" s="6" t="s">
        <v>2437</v>
      </c>
      <c r="I352" s="6" t="s">
        <v>877</v>
      </c>
      <c r="J352" s="6" t="s">
        <v>877</v>
      </c>
      <c r="K352" s="6" t="s">
        <v>878</v>
      </c>
      <c r="L352" s="6" t="s">
        <v>1748</v>
      </c>
      <c r="M352" s="6" t="s">
        <v>912</v>
      </c>
      <c r="N352" s="12" t="s">
        <v>881</v>
      </c>
      <c r="O352" s="6" t="s">
        <v>882</v>
      </c>
      <c r="P352" s="6" t="s">
        <v>2</v>
      </c>
      <c r="Q352" s="6" t="s">
        <v>20</v>
      </c>
      <c r="R352" s="12"/>
      <c r="S352" s="12"/>
      <c r="T352" s="12"/>
      <c r="U352" s="12"/>
      <c r="V352" s="12"/>
      <c r="W352" s="12"/>
      <c r="X352" s="6" t="str">
        <f aca="false">IF(COUNT(R352:W352)=6,SUM(R352:W352),"ko‘rilmagan")</f>
        <v>ko‘rilmagan</v>
      </c>
      <c r="Y352" s="12"/>
    </row>
    <row r="353" customFormat="false" ht="23.85" hidden="false" customHeight="false" outlineLevel="0" collapsed="false">
      <c r="A353" s="6" t="s">
        <v>2438</v>
      </c>
      <c r="B353" s="6" t="s">
        <v>542</v>
      </c>
      <c r="C353" s="6"/>
      <c r="D353" s="6" t="str">
        <f aca="false">IFERROR(INDEX(Mundarija!$D:$D,MATCH(B353,Mundarija!$A:$A,0)),"kod topilmadi")</f>
        <v>29.9. POCUS protokollarining cheklovlari va keyingi diagnostika.</v>
      </c>
      <c r="E353" s="6" t="s">
        <v>2439</v>
      </c>
      <c r="F353" s="11" t="s">
        <v>2440</v>
      </c>
      <c r="G353" s="6" t="s">
        <v>2441</v>
      </c>
      <c r="H353" s="6" t="s">
        <v>2442</v>
      </c>
      <c r="I353" s="6" t="s">
        <v>877</v>
      </c>
      <c r="J353" s="6" t="s">
        <v>877</v>
      </c>
      <c r="K353" s="6" t="s">
        <v>878</v>
      </c>
      <c r="L353" s="6" t="s">
        <v>904</v>
      </c>
      <c r="M353" s="6" t="s">
        <v>912</v>
      </c>
      <c r="N353" s="12" t="s">
        <v>881</v>
      </c>
      <c r="O353" s="6" t="s">
        <v>882</v>
      </c>
      <c r="P353" s="6" t="s">
        <v>2</v>
      </c>
      <c r="Q353" s="6" t="s">
        <v>20</v>
      </c>
      <c r="R353" s="12"/>
      <c r="S353" s="12"/>
      <c r="T353" s="12"/>
      <c r="U353" s="12"/>
      <c r="V353" s="12"/>
      <c r="W353" s="12"/>
      <c r="X353" s="6" t="str">
        <f aca="false">IF(COUNT(R353:W353)=6,SUM(R353:W353),"ko‘rilmagan")</f>
        <v>ko‘rilmagan</v>
      </c>
      <c r="Y353" s="12"/>
    </row>
    <row r="354" customFormat="false" ht="23.85" hidden="false" customHeight="false" outlineLevel="0" collapsed="false">
      <c r="A354" s="6" t="s">
        <v>2443</v>
      </c>
      <c r="B354" s="6" t="s">
        <v>544</v>
      </c>
      <c r="C354" s="6" t="s">
        <v>548</v>
      </c>
      <c r="D354" s="6" t="str">
        <f aca="false">IFERROR(INDEX(Mundarija!$D:$D,MATCH(B354,Mundarija!$A:$A,0)),"kod topilmadi")</f>
        <v>30.1. Elastografiyaning fizik asoslari.</v>
      </c>
      <c r="E354" s="6" t="s">
        <v>2444</v>
      </c>
      <c r="F354" s="11" t="s">
        <v>2445</v>
      </c>
      <c r="G354" s="6" t="s">
        <v>1235</v>
      </c>
      <c r="H354" s="6" t="s">
        <v>2446</v>
      </c>
      <c r="I354" s="6" t="s">
        <v>877</v>
      </c>
      <c r="J354" s="6" t="s">
        <v>877</v>
      </c>
      <c r="K354" s="6" t="s">
        <v>878</v>
      </c>
      <c r="L354" s="6" t="s">
        <v>904</v>
      </c>
      <c r="M354" s="6" t="s">
        <v>912</v>
      </c>
      <c r="N354" s="12" t="s">
        <v>881</v>
      </c>
      <c r="O354" s="6" t="s">
        <v>882</v>
      </c>
      <c r="P354" s="6" t="s">
        <v>2</v>
      </c>
      <c r="Q354" s="6" t="s">
        <v>20</v>
      </c>
      <c r="R354" s="12"/>
      <c r="S354" s="12"/>
      <c r="T354" s="12"/>
      <c r="U354" s="12"/>
      <c r="V354" s="12"/>
      <c r="W354" s="12"/>
      <c r="X354" s="6" t="str">
        <f aca="false">IF(COUNT(R354:W354)=6,SUM(R354:W354),"ko‘rilmagan")</f>
        <v>ko‘rilmagan</v>
      </c>
      <c r="Y354" s="12"/>
    </row>
    <row r="355" customFormat="false" ht="23.85" hidden="false" customHeight="false" outlineLevel="0" collapsed="false">
      <c r="A355" s="6" t="s">
        <v>2447</v>
      </c>
      <c r="B355" s="6" t="s">
        <v>544</v>
      </c>
      <c r="C355" s="6"/>
      <c r="D355" s="6" t="str">
        <f aca="false">IFERROR(INDEX(Mundarija!$D:$D,MATCH(B355,Mundarija!$A:$A,0)),"kod topilmadi")</f>
        <v>30.1. Elastografiyaning fizik asoslari.</v>
      </c>
      <c r="E355" s="6" t="s">
        <v>2448</v>
      </c>
      <c r="F355" s="11" t="s">
        <v>2449</v>
      </c>
      <c r="G355" s="6" t="s">
        <v>2450</v>
      </c>
      <c r="H355" s="6" t="s">
        <v>2451</v>
      </c>
      <c r="I355" s="6" t="s">
        <v>877</v>
      </c>
      <c r="J355" s="6" t="s">
        <v>877</v>
      </c>
      <c r="K355" s="6" t="s">
        <v>878</v>
      </c>
      <c r="L355" s="6" t="s">
        <v>1748</v>
      </c>
      <c r="M355" s="6" t="s">
        <v>912</v>
      </c>
      <c r="N355" s="12" t="s">
        <v>881</v>
      </c>
      <c r="O355" s="6" t="s">
        <v>882</v>
      </c>
      <c r="P355" s="6" t="s">
        <v>2</v>
      </c>
      <c r="Q355" s="6" t="s">
        <v>20</v>
      </c>
      <c r="R355" s="12"/>
      <c r="S355" s="12"/>
      <c r="T355" s="12"/>
      <c r="U355" s="12"/>
      <c r="V355" s="12"/>
      <c r="W355" s="12"/>
      <c r="X355" s="6" t="str">
        <f aca="false">IF(COUNT(R355:W355)=6,SUM(R355:W355),"ko‘rilmagan")</f>
        <v>ko‘rilmagan</v>
      </c>
      <c r="Y355" s="12"/>
    </row>
    <row r="356" customFormat="false" ht="23.85" hidden="false" customHeight="false" outlineLevel="0" collapsed="false">
      <c r="A356" s="6" t="s">
        <v>2452</v>
      </c>
      <c r="B356" s="6" t="s">
        <v>548</v>
      </c>
      <c r="C356" s="6"/>
      <c r="D356" s="6" t="str">
        <f aca="false">IFERROR(INDEX(Mundarija!$D:$D,MATCH(B356,Mundarija!$A:$A,0)),"kod topilmadi")</f>
        <v>30.2. Strain elastografiya.</v>
      </c>
      <c r="E356" s="6" t="s">
        <v>2453</v>
      </c>
      <c r="F356" s="11" t="s">
        <v>2454</v>
      </c>
      <c r="G356" s="6" t="s">
        <v>1499</v>
      </c>
      <c r="H356" s="6" t="s">
        <v>2397</v>
      </c>
      <c r="I356" s="6" t="s">
        <v>877</v>
      </c>
      <c r="J356" s="6" t="s">
        <v>877</v>
      </c>
      <c r="K356" s="6" t="s">
        <v>878</v>
      </c>
      <c r="L356" s="6" t="s">
        <v>904</v>
      </c>
      <c r="M356" s="6" t="s">
        <v>891</v>
      </c>
      <c r="N356" s="12" t="s">
        <v>881</v>
      </c>
      <c r="O356" s="6" t="s">
        <v>882</v>
      </c>
      <c r="P356" s="6" t="s">
        <v>2</v>
      </c>
      <c r="Q356" s="6" t="s">
        <v>20</v>
      </c>
      <c r="R356" s="12"/>
      <c r="S356" s="12"/>
      <c r="T356" s="12"/>
      <c r="U356" s="12"/>
      <c r="V356" s="12"/>
      <c r="W356" s="12"/>
      <c r="X356" s="6" t="str">
        <f aca="false">IF(COUNT(R356:W356)=6,SUM(R356:W356),"ko‘rilmagan")</f>
        <v>ko‘rilmagan</v>
      </c>
      <c r="Y356" s="12"/>
    </row>
    <row r="357" customFormat="false" ht="23.85" hidden="false" customHeight="false" outlineLevel="0" collapsed="false">
      <c r="A357" s="6" t="s">
        <v>2455</v>
      </c>
      <c r="B357" s="6" t="s">
        <v>548</v>
      </c>
      <c r="C357" s="6" t="s">
        <v>562</v>
      </c>
      <c r="D357" s="6" t="str">
        <f aca="false">IFERROR(INDEX(Mundarija!$D:$D,MATCH(B357,Mundarija!$A:$A,0)),"kod topilmadi")</f>
        <v>30.2. Strain elastografiya.</v>
      </c>
      <c r="E357" s="6" t="s">
        <v>2456</v>
      </c>
      <c r="F357" s="11" t="s">
        <v>2457</v>
      </c>
      <c r="G357" s="6" t="s">
        <v>2458</v>
      </c>
      <c r="H357" s="6" t="s">
        <v>2459</v>
      </c>
      <c r="I357" s="6" t="s">
        <v>877</v>
      </c>
      <c r="J357" s="6" t="s">
        <v>877</v>
      </c>
      <c r="K357" s="6" t="s">
        <v>878</v>
      </c>
      <c r="L357" s="6" t="s">
        <v>904</v>
      </c>
      <c r="M357" s="6" t="s">
        <v>912</v>
      </c>
      <c r="N357" s="12" t="s">
        <v>881</v>
      </c>
      <c r="O357" s="6" t="s">
        <v>882</v>
      </c>
      <c r="P357" s="6" t="s">
        <v>2</v>
      </c>
      <c r="Q357" s="6" t="s">
        <v>20</v>
      </c>
      <c r="R357" s="12"/>
      <c r="S357" s="12"/>
      <c r="T357" s="12"/>
      <c r="U357" s="12"/>
      <c r="V357" s="12"/>
      <c r="W357" s="12"/>
      <c r="X357" s="6" t="str">
        <f aca="false">IF(COUNT(R357:W357)=6,SUM(R357:W357),"ko‘rilmagan")</f>
        <v>ko‘rilmagan</v>
      </c>
      <c r="Y357" s="12"/>
    </row>
    <row r="358" customFormat="false" ht="23.85" hidden="false" customHeight="false" outlineLevel="0" collapsed="false">
      <c r="A358" s="6" t="s">
        <v>2460</v>
      </c>
      <c r="B358" s="6" t="s">
        <v>562</v>
      </c>
      <c r="C358" s="6" t="s">
        <v>548</v>
      </c>
      <c r="D358" s="6" t="str">
        <f aca="false">IFERROR(INDEX(Mundarija!$D:$D,MATCH(B358,Mundarija!$A:$A,0)),"kod topilmadi")</f>
        <v>30.8. Elastografiyaning boshqa a’zolardagi qo‘llanilishi.</v>
      </c>
      <c r="E358" s="6" t="s">
        <v>2461</v>
      </c>
      <c r="F358" s="11" t="s">
        <v>2462</v>
      </c>
      <c r="G358" s="6" t="s">
        <v>2463</v>
      </c>
      <c r="H358" s="6" t="s">
        <v>2464</v>
      </c>
      <c r="I358" s="6" t="s">
        <v>877</v>
      </c>
      <c r="J358" s="6" t="s">
        <v>877</v>
      </c>
      <c r="K358" s="6" t="s">
        <v>878</v>
      </c>
      <c r="L358" s="6" t="s">
        <v>904</v>
      </c>
      <c r="M358" s="6" t="s">
        <v>912</v>
      </c>
      <c r="N358" s="12" t="s">
        <v>881</v>
      </c>
      <c r="O358" s="6" t="s">
        <v>882</v>
      </c>
      <c r="P358" s="6" t="s">
        <v>2</v>
      </c>
      <c r="Q358" s="6" t="s">
        <v>20</v>
      </c>
      <c r="R358" s="12"/>
      <c r="S358" s="12"/>
      <c r="T358" s="12"/>
      <c r="U358" s="12"/>
      <c r="V358" s="12"/>
      <c r="W358" s="12"/>
      <c r="X358" s="6" t="str">
        <f aca="false">IF(COUNT(R358:W358)=6,SUM(R358:W358),"ko‘rilmagan")</f>
        <v>ko‘rilmagan</v>
      </c>
      <c r="Y358" s="12"/>
    </row>
    <row r="359" customFormat="false" ht="23.85" hidden="false" customHeight="false" outlineLevel="0" collapsed="false">
      <c r="A359" s="6" t="s">
        <v>2465</v>
      </c>
      <c r="B359" s="6" t="s">
        <v>562</v>
      </c>
      <c r="C359" s="6" t="s">
        <v>550</v>
      </c>
      <c r="D359" s="6" t="str">
        <f aca="false">IFERROR(INDEX(Mundarija!$D:$D,MATCH(B359,Mundarija!$A:$A,0)),"kod topilmadi")</f>
        <v>30.8. Elastografiyaning boshqa a’zolardagi qo‘llanilishi.</v>
      </c>
      <c r="E359" s="6" t="s">
        <v>2466</v>
      </c>
      <c r="F359" s="11" t="s">
        <v>2467</v>
      </c>
      <c r="G359" s="6" t="s">
        <v>1235</v>
      </c>
      <c r="H359" s="6" t="s">
        <v>2446</v>
      </c>
      <c r="I359" s="6" t="s">
        <v>877</v>
      </c>
      <c r="J359" s="6" t="s">
        <v>877</v>
      </c>
      <c r="K359" s="6" t="s">
        <v>878</v>
      </c>
      <c r="L359" s="6" t="s">
        <v>904</v>
      </c>
      <c r="M359" s="6" t="s">
        <v>891</v>
      </c>
      <c r="N359" s="12" t="s">
        <v>881</v>
      </c>
      <c r="O359" s="6" t="s">
        <v>882</v>
      </c>
      <c r="P359" s="6" t="s">
        <v>2</v>
      </c>
      <c r="Q359" s="6" t="s">
        <v>20</v>
      </c>
      <c r="R359" s="12"/>
      <c r="S359" s="12"/>
      <c r="T359" s="12"/>
      <c r="U359" s="12"/>
      <c r="V359" s="12"/>
      <c r="W359" s="12"/>
      <c r="X359" s="6" t="str">
        <f aca="false">IF(COUNT(R359:W359)=6,SUM(R359:W359),"ko‘rilmagan")</f>
        <v>ko‘rilmagan</v>
      </c>
      <c r="Y359" s="12"/>
    </row>
    <row r="360" customFormat="false" ht="23.85" hidden="false" customHeight="false" outlineLevel="0" collapsed="false">
      <c r="A360" s="6" t="s">
        <v>2468</v>
      </c>
      <c r="B360" s="6" t="s">
        <v>550</v>
      </c>
      <c r="C360" s="6"/>
      <c r="D360" s="6" t="str">
        <f aca="false">IFERROR(INDEX(Mundarija!$D:$D,MATCH(B360,Mundarija!$A:$A,0)),"kod topilmadi")</f>
        <v>30.3. Shear-wave elastografiya.</v>
      </c>
      <c r="E360" s="6" t="s">
        <v>2469</v>
      </c>
      <c r="F360" s="11" t="s">
        <v>2470</v>
      </c>
      <c r="G360" s="6" t="s">
        <v>1888</v>
      </c>
      <c r="H360" s="6" t="s">
        <v>2471</v>
      </c>
      <c r="I360" s="6" t="s">
        <v>877</v>
      </c>
      <c r="J360" s="6" t="s">
        <v>877</v>
      </c>
      <c r="K360" s="6" t="s">
        <v>878</v>
      </c>
      <c r="L360" s="6" t="s">
        <v>904</v>
      </c>
      <c r="M360" s="6" t="s">
        <v>912</v>
      </c>
      <c r="N360" s="12" t="s">
        <v>881</v>
      </c>
      <c r="O360" s="6" t="s">
        <v>882</v>
      </c>
      <c r="P360" s="6" t="s">
        <v>2</v>
      </c>
      <c r="Q360" s="6" t="s">
        <v>20</v>
      </c>
      <c r="R360" s="12"/>
      <c r="S360" s="12"/>
      <c r="T360" s="12"/>
      <c r="U360" s="12"/>
      <c r="V360" s="12"/>
      <c r="W360" s="12"/>
      <c r="X360" s="6" t="str">
        <f aca="false">IF(COUNT(R360:W360)=6,SUM(R360:W360),"ko‘rilmagan")</f>
        <v>ko‘rilmagan</v>
      </c>
      <c r="Y360" s="12"/>
    </row>
    <row r="361" customFormat="false" ht="35.05" hidden="false" customHeight="false" outlineLevel="0" collapsed="false">
      <c r="A361" s="6" t="s">
        <v>2472</v>
      </c>
      <c r="B361" s="6" t="s">
        <v>550</v>
      </c>
      <c r="C361" s="6" t="s">
        <v>552</v>
      </c>
      <c r="D361" s="6" t="str">
        <f aca="false">IFERROR(INDEX(Mundarija!$D:$D,MATCH(B361,Mundarija!$A:$A,0)),"kod topilmadi")</f>
        <v>30.3. Shear-wave elastografiya.</v>
      </c>
      <c r="E361" s="6" t="s">
        <v>2473</v>
      </c>
      <c r="F361" s="11" t="s">
        <v>2474</v>
      </c>
      <c r="G361" s="6" t="s">
        <v>2475</v>
      </c>
      <c r="H361" s="6" t="s">
        <v>2476</v>
      </c>
      <c r="I361" s="6" t="s">
        <v>877</v>
      </c>
      <c r="J361" s="6" t="s">
        <v>877</v>
      </c>
      <c r="K361" s="6" t="s">
        <v>878</v>
      </c>
      <c r="L361" s="6" t="s">
        <v>1748</v>
      </c>
      <c r="M361" s="6" t="s">
        <v>912</v>
      </c>
      <c r="N361" s="12" t="s">
        <v>881</v>
      </c>
      <c r="O361" s="6" t="s">
        <v>882</v>
      </c>
      <c r="P361" s="6" t="s">
        <v>2</v>
      </c>
      <c r="Q361" s="6" t="s">
        <v>20</v>
      </c>
      <c r="R361" s="12"/>
      <c r="S361" s="12"/>
      <c r="T361" s="12"/>
      <c r="U361" s="12"/>
      <c r="V361" s="12"/>
      <c r="W361" s="12"/>
      <c r="X361" s="6" t="str">
        <f aca="false">IF(COUNT(R361:W361)=6,SUM(R361:W361),"ko‘rilmagan")</f>
        <v>ko‘rilmagan</v>
      </c>
      <c r="Y361" s="12"/>
    </row>
    <row r="362" customFormat="false" ht="23.85" hidden="false" customHeight="false" outlineLevel="0" collapsed="false">
      <c r="A362" s="6" t="s">
        <v>2477</v>
      </c>
      <c r="B362" s="6" t="s">
        <v>555</v>
      </c>
      <c r="C362" s="6"/>
      <c r="D362" s="6" t="str">
        <f aca="false">IFERROR(INDEX(Mundarija!$D:$D,MATCH(B362,Mundarija!$A:$A,0)),"kod topilmadi")</f>
        <v>30.5. O‘lchov ishonchliligi, sifat mezonlari va xatolar.</v>
      </c>
      <c r="E362" s="6" t="s">
        <v>2478</v>
      </c>
      <c r="F362" s="11" t="s">
        <v>2479</v>
      </c>
      <c r="G362" s="6" t="s">
        <v>1888</v>
      </c>
      <c r="H362" s="6" t="s">
        <v>2471</v>
      </c>
      <c r="I362" s="6" t="s">
        <v>877</v>
      </c>
      <c r="J362" s="6" t="s">
        <v>877</v>
      </c>
      <c r="K362" s="6" t="s">
        <v>878</v>
      </c>
      <c r="L362" s="6" t="s">
        <v>904</v>
      </c>
      <c r="M362" s="6" t="s">
        <v>912</v>
      </c>
      <c r="N362" s="12" t="s">
        <v>881</v>
      </c>
      <c r="O362" s="6" t="s">
        <v>882</v>
      </c>
      <c r="P362" s="6" t="s">
        <v>2</v>
      </c>
      <c r="Q362" s="6" t="s">
        <v>20</v>
      </c>
      <c r="R362" s="12"/>
      <c r="S362" s="12"/>
      <c r="T362" s="12"/>
      <c r="U362" s="12"/>
      <c r="V362" s="12"/>
      <c r="W362" s="12"/>
      <c r="X362" s="6" t="str">
        <f aca="false">IF(COUNT(R362:W362)=6,SUM(R362:W362),"ko‘rilmagan")</f>
        <v>ko‘rilmagan</v>
      </c>
      <c r="Y362" s="12"/>
    </row>
    <row r="363" customFormat="false" ht="35.05" hidden="false" customHeight="false" outlineLevel="0" collapsed="false">
      <c r="A363" s="6" t="s">
        <v>2480</v>
      </c>
      <c r="B363" s="6" t="s">
        <v>555</v>
      </c>
      <c r="C363" s="6" t="s">
        <v>552</v>
      </c>
      <c r="D363" s="6" t="str">
        <f aca="false">IFERROR(INDEX(Mundarija!$D:$D,MATCH(B363,Mundarija!$A:$A,0)),"kod topilmadi")</f>
        <v>30.5. O‘lchov ishonchliligi, sifat mezonlari va xatolar.</v>
      </c>
      <c r="E363" s="6" t="s">
        <v>2481</v>
      </c>
      <c r="F363" s="11" t="s">
        <v>2482</v>
      </c>
      <c r="G363" s="6" t="s">
        <v>1699</v>
      </c>
      <c r="H363" s="6" t="s">
        <v>2483</v>
      </c>
      <c r="I363" s="6" t="s">
        <v>877</v>
      </c>
      <c r="J363" s="6" t="s">
        <v>877</v>
      </c>
      <c r="K363" s="6" t="s">
        <v>878</v>
      </c>
      <c r="L363" s="6" t="s">
        <v>904</v>
      </c>
      <c r="M363" s="6" t="s">
        <v>912</v>
      </c>
      <c r="N363" s="12" t="s">
        <v>881</v>
      </c>
      <c r="O363" s="6" t="s">
        <v>882</v>
      </c>
      <c r="P363" s="6" t="s">
        <v>2</v>
      </c>
      <c r="Q363" s="6" t="s">
        <v>20</v>
      </c>
      <c r="R363" s="12"/>
      <c r="S363" s="12"/>
      <c r="T363" s="12"/>
      <c r="U363" s="12"/>
      <c r="V363" s="12"/>
      <c r="W363" s="12"/>
      <c r="X363" s="6" t="str">
        <f aca="false">IF(COUNT(R363:W363)=6,SUM(R363:W363),"ko‘rilmagan")</f>
        <v>ko‘rilmagan</v>
      </c>
      <c r="Y363" s="12"/>
    </row>
    <row r="364" customFormat="false" ht="35.05" hidden="false" customHeight="false" outlineLevel="0" collapsed="false">
      <c r="A364" s="6" t="s">
        <v>2484</v>
      </c>
      <c r="B364" s="6" t="s">
        <v>560</v>
      </c>
      <c r="C364" s="6"/>
      <c r="D364" s="6" t="str">
        <f aca="false">IFERROR(INDEX(Mundarija!$D:$D,MATCH(B364,Mundarija!$A:$A,0)),"kod topilmadi")</f>
        <v>30.7. Turli apparatlar natijalarini taqqoslash cheklovlari.</v>
      </c>
      <c r="E364" s="6" t="s">
        <v>2485</v>
      </c>
      <c r="F364" s="11" t="s">
        <v>2486</v>
      </c>
      <c r="G364" s="6" t="s">
        <v>1699</v>
      </c>
      <c r="H364" s="6" t="s">
        <v>2483</v>
      </c>
      <c r="I364" s="6" t="s">
        <v>877</v>
      </c>
      <c r="J364" s="6" t="s">
        <v>877</v>
      </c>
      <c r="K364" s="6" t="s">
        <v>878</v>
      </c>
      <c r="L364" s="6" t="s">
        <v>1748</v>
      </c>
      <c r="M364" s="6" t="s">
        <v>912</v>
      </c>
      <c r="N364" s="12" t="s">
        <v>881</v>
      </c>
      <c r="O364" s="6" t="s">
        <v>882</v>
      </c>
      <c r="P364" s="6" t="s">
        <v>2</v>
      </c>
      <c r="Q364" s="6" t="s">
        <v>20</v>
      </c>
      <c r="R364" s="12"/>
      <c r="S364" s="12"/>
      <c r="T364" s="12"/>
      <c r="U364" s="12"/>
      <c r="V364" s="12"/>
      <c r="W364" s="12"/>
      <c r="X364" s="6" t="str">
        <f aca="false">IF(COUNT(R364:W364)=6,SUM(R364:W364),"ko‘rilmagan")</f>
        <v>ko‘rilmagan</v>
      </c>
      <c r="Y364" s="12"/>
    </row>
    <row r="365" customFormat="false" ht="23.85" hidden="false" customHeight="false" outlineLevel="0" collapsed="false">
      <c r="A365" s="6" t="s">
        <v>2487</v>
      </c>
      <c r="B365" s="6" t="s">
        <v>564</v>
      </c>
      <c r="C365" s="6"/>
      <c r="D365" s="6" t="str">
        <f aca="false">IFERROR(INDEX(Mundarija!$D:$D,MATCH(B365,Mundarija!$A:$A,0)),"kod topilmadi")</f>
        <v>31.1. CEUS fizikasi va mikro-pufakchali kontrast moddalar.</v>
      </c>
      <c r="E365" s="6" t="s">
        <v>2488</v>
      </c>
      <c r="F365" s="11" t="s">
        <v>2489</v>
      </c>
      <c r="G365" s="6" t="s">
        <v>1504</v>
      </c>
      <c r="H365" s="6" t="s">
        <v>1779</v>
      </c>
      <c r="I365" s="6" t="s">
        <v>877</v>
      </c>
      <c r="J365" s="6" t="s">
        <v>877</v>
      </c>
      <c r="K365" s="6" t="s">
        <v>878</v>
      </c>
      <c r="L365" s="6" t="s">
        <v>904</v>
      </c>
      <c r="M365" s="6" t="s">
        <v>912</v>
      </c>
      <c r="N365" s="12" t="s">
        <v>881</v>
      </c>
      <c r="O365" s="6" t="s">
        <v>882</v>
      </c>
      <c r="P365" s="6" t="s">
        <v>2</v>
      </c>
      <c r="Q365" s="6" t="s">
        <v>20</v>
      </c>
      <c r="R365" s="12"/>
      <c r="S365" s="12"/>
      <c r="T365" s="12"/>
      <c r="U365" s="12"/>
      <c r="V365" s="12"/>
      <c r="W365" s="12"/>
      <c r="X365" s="6" t="str">
        <f aca="false">IF(COUNT(R365:W365)=6,SUM(R365:W365),"ko‘rilmagan")</f>
        <v>ko‘rilmagan</v>
      </c>
      <c r="Y365" s="12"/>
    </row>
    <row r="366" customFormat="false" ht="23.85" hidden="false" customHeight="false" outlineLevel="0" collapsed="false">
      <c r="A366" s="6" t="s">
        <v>2490</v>
      </c>
      <c r="B366" s="6" t="s">
        <v>564</v>
      </c>
      <c r="C366" s="6"/>
      <c r="D366" s="6" t="str">
        <f aca="false">IFERROR(INDEX(Mundarija!$D:$D,MATCH(B366,Mundarija!$A:$A,0)),"kod topilmadi")</f>
        <v>31.1. CEUS fizikasi va mikro-pufakchali kontrast moddalar.</v>
      </c>
      <c r="E366" s="6" t="s">
        <v>2491</v>
      </c>
      <c r="F366" s="11" t="s">
        <v>2492</v>
      </c>
      <c r="G366" s="6" t="s">
        <v>874</v>
      </c>
      <c r="H366" s="6" t="s">
        <v>2067</v>
      </c>
      <c r="I366" s="6" t="s">
        <v>877</v>
      </c>
      <c r="J366" s="6" t="s">
        <v>877</v>
      </c>
      <c r="K366" s="6" t="s">
        <v>878</v>
      </c>
      <c r="L366" s="6" t="s">
        <v>879</v>
      </c>
      <c r="M366" s="6" t="s">
        <v>912</v>
      </c>
      <c r="N366" s="12" t="s">
        <v>881</v>
      </c>
      <c r="O366" s="6" t="s">
        <v>882</v>
      </c>
      <c r="P366" s="6" t="s">
        <v>2</v>
      </c>
      <c r="Q366" s="6" t="s">
        <v>20</v>
      </c>
      <c r="R366" s="12"/>
      <c r="S366" s="12"/>
      <c r="T366" s="12"/>
      <c r="U366" s="12"/>
      <c r="V366" s="12"/>
      <c r="W366" s="12"/>
      <c r="X366" s="6" t="str">
        <f aca="false">IF(COUNT(R366:W366)=6,SUM(R366:W366),"ko‘rilmagan")</f>
        <v>ko‘rilmagan</v>
      </c>
      <c r="Y366" s="12"/>
    </row>
    <row r="367" customFormat="false" ht="23.85" hidden="false" customHeight="false" outlineLevel="0" collapsed="false">
      <c r="A367" s="6" t="s">
        <v>2493</v>
      </c>
      <c r="B367" s="6" t="s">
        <v>564</v>
      </c>
      <c r="C367" s="6"/>
      <c r="D367" s="6" t="str">
        <f aca="false">IFERROR(INDEX(Mundarija!$D:$D,MATCH(B367,Mundarija!$A:$A,0)),"kod topilmadi")</f>
        <v>31.1. CEUS fizikasi va mikro-pufakchali kontrast moddalar.</v>
      </c>
      <c r="E367" s="6" t="s">
        <v>2494</v>
      </c>
      <c r="F367" s="11" t="s">
        <v>2495</v>
      </c>
      <c r="G367" s="6" t="s">
        <v>2496</v>
      </c>
      <c r="H367" s="6" t="s">
        <v>2497</v>
      </c>
      <c r="I367" s="6" t="s">
        <v>877</v>
      </c>
      <c r="J367" s="6" t="s">
        <v>877</v>
      </c>
      <c r="K367" s="6" t="s">
        <v>878</v>
      </c>
      <c r="L367" s="6" t="s">
        <v>904</v>
      </c>
      <c r="M367" s="6" t="s">
        <v>912</v>
      </c>
      <c r="N367" s="12" t="s">
        <v>881</v>
      </c>
      <c r="O367" s="6" t="s">
        <v>882</v>
      </c>
      <c r="P367" s="6" t="s">
        <v>2</v>
      </c>
      <c r="Q367" s="6" t="s">
        <v>20</v>
      </c>
      <c r="R367" s="12"/>
      <c r="S367" s="12"/>
      <c r="T367" s="12"/>
      <c r="U367" s="12"/>
      <c r="V367" s="12"/>
      <c r="W367" s="12"/>
      <c r="X367" s="6" t="str">
        <f aca="false">IF(COUNT(R367:W367)=6,SUM(R367:W367),"ko‘rilmagan")</f>
        <v>ko‘rilmagan</v>
      </c>
      <c r="Y367" s="12"/>
    </row>
    <row r="368" customFormat="false" ht="23.85" hidden="false" customHeight="false" outlineLevel="0" collapsed="false">
      <c r="A368" s="6" t="s">
        <v>2498</v>
      </c>
      <c r="B368" s="6" t="s">
        <v>567</v>
      </c>
      <c r="C368" s="6"/>
      <c r="D368" s="6" t="str">
        <f aca="false">IFERROR(INDEX(Mundarija!$D:$D,MATCH(B368,Mundarija!$A:$A,0)),"kod topilmadi")</f>
        <v>31.2. Kontrastli jigar UZI va fokal hosilalarni baholash.</v>
      </c>
      <c r="E368" s="6" t="s">
        <v>2499</v>
      </c>
      <c r="F368" s="11" t="s">
        <v>2500</v>
      </c>
      <c r="G368" s="6" t="s">
        <v>1235</v>
      </c>
      <c r="H368" s="6" t="s">
        <v>2446</v>
      </c>
      <c r="I368" s="6" t="s">
        <v>877</v>
      </c>
      <c r="J368" s="6" t="s">
        <v>877</v>
      </c>
      <c r="K368" s="6" t="s">
        <v>878</v>
      </c>
      <c r="L368" s="6" t="s">
        <v>904</v>
      </c>
      <c r="M368" s="6" t="s">
        <v>912</v>
      </c>
      <c r="N368" s="12" t="s">
        <v>881</v>
      </c>
      <c r="O368" s="6" t="s">
        <v>882</v>
      </c>
      <c r="P368" s="6" t="s">
        <v>2</v>
      </c>
      <c r="Q368" s="6" t="s">
        <v>20</v>
      </c>
      <c r="R368" s="12"/>
      <c r="S368" s="12"/>
      <c r="T368" s="12"/>
      <c r="U368" s="12"/>
      <c r="V368" s="12"/>
      <c r="W368" s="12"/>
      <c r="X368" s="6" t="str">
        <f aca="false">IF(COUNT(R368:W368)=6,SUM(R368:W368),"ko‘rilmagan")</f>
        <v>ko‘rilmagan</v>
      </c>
      <c r="Y368" s="12"/>
    </row>
    <row r="369" customFormat="false" ht="23.85" hidden="false" customHeight="false" outlineLevel="0" collapsed="false">
      <c r="A369" s="6" t="s">
        <v>2501</v>
      </c>
      <c r="B369" s="6" t="s">
        <v>567</v>
      </c>
      <c r="C369" s="6"/>
      <c r="D369" s="6" t="str">
        <f aca="false">IFERROR(INDEX(Mundarija!$D:$D,MATCH(B369,Mundarija!$A:$A,0)),"kod topilmadi")</f>
        <v>31.2. Kontrastli jigar UZI va fokal hosilalarni baholash.</v>
      </c>
      <c r="E369" s="6" t="s">
        <v>2502</v>
      </c>
      <c r="F369" s="11" t="s">
        <v>2503</v>
      </c>
      <c r="G369" s="6" t="s">
        <v>1269</v>
      </c>
      <c r="H369" s="6" t="s">
        <v>1733</v>
      </c>
      <c r="I369" s="6" t="s">
        <v>877</v>
      </c>
      <c r="J369" s="6" t="s">
        <v>877</v>
      </c>
      <c r="K369" s="6" t="s">
        <v>878</v>
      </c>
      <c r="L369" s="6" t="s">
        <v>904</v>
      </c>
      <c r="M369" s="6" t="s">
        <v>1713</v>
      </c>
      <c r="N369" s="12" t="s">
        <v>881</v>
      </c>
      <c r="O369" s="6" t="s">
        <v>882</v>
      </c>
      <c r="P369" s="6" t="s">
        <v>2</v>
      </c>
      <c r="Q369" s="6" t="s">
        <v>20</v>
      </c>
      <c r="R369" s="12"/>
      <c r="S369" s="12"/>
      <c r="T369" s="12"/>
      <c r="U369" s="12"/>
      <c r="V369" s="12"/>
      <c r="W369" s="12"/>
      <c r="X369" s="6" t="str">
        <f aca="false">IF(COUNT(R369:W369)=6,SUM(R369:W369),"ko‘rilmagan")</f>
        <v>ko‘rilmagan</v>
      </c>
      <c r="Y369" s="12"/>
    </row>
    <row r="370" customFormat="false" ht="23.85" hidden="false" customHeight="false" outlineLevel="0" collapsed="false">
      <c r="A370" s="6" t="s">
        <v>2504</v>
      </c>
      <c r="B370" s="6" t="s">
        <v>567</v>
      </c>
      <c r="C370" s="6"/>
      <c r="D370" s="6" t="str">
        <f aca="false">IFERROR(INDEX(Mundarija!$D:$D,MATCH(B370,Mundarija!$A:$A,0)),"kod topilmadi")</f>
        <v>31.2. Kontrastli jigar UZI va fokal hosilalarni baholash.</v>
      </c>
      <c r="E370" s="6" t="s">
        <v>2505</v>
      </c>
      <c r="F370" s="11" t="s">
        <v>2506</v>
      </c>
      <c r="G370" s="6" t="s">
        <v>1269</v>
      </c>
      <c r="H370" s="6" t="s">
        <v>1733</v>
      </c>
      <c r="I370" s="6" t="s">
        <v>877</v>
      </c>
      <c r="J370" s="6" t="s">
        <v>877</v>
      </c>
      <c r="K370" s="6" t="s">
        <v>878</v>
      </c>
      <c r="L370" s="6" t="s">
        <v>904</v>
      </c>
      <c r="M370" s="6" t="s">
        <v>1713</v>
      </c>
      <c r="N370" s="12" t="s">
        <v>881</v>
      </c>
      <c r="O370" s="6" t="s">
        <v>882</v>
      </c>
      <c r="P370" s="6" t="s">
        <v>2</v>
      </c>
      <c r="Q370" s="6" t="s">
        <v>20</v>
      </c>
      <c r="R370" s="12"/>
      <c r="S370" s="12"/>
      <c r="T370" s="12"/>
      <c r="U370" s="12"/>
      <c r="V370" s="12"/>
      <c r="W370" s="12"/>
      <c r="X370" s="6" t="str">
        <f aca="false">IF(COUNT(R370:W370)=6,SUM(R370:W370),"ko‘rilmagan")</f>
        <v>ko‘rilmagan</v>
      </c>
      <c r="Y370" s="12"/>
    </row>
    <row r="371" customFormat="false" ht="35.05" hidden="false" customHeight="false" outlineLevel="0" collapsed="false">
      <c r="A371" s="6" t="s">
        <v>2507</v>
      </c>
      <c r="B371" s="6" t="s">
        <v>569</v>
      </c>
      <c r="C371" s="6"/>
      <c r="D371" s="6" t="str">
        <f aca="false">IFERROR(INDEX(Mundarija!$D:$D,MATCH(B371,Mundarija!$A:$A,0)),"kod topilmadi")</f>
        <v>31.3. Boshqa a’zolarda CEUS: dalillar, ko‘rsatmalar va cheklovlar.</v>
      </c>
      <c r="E371" s="6" t="s">
        <v>2508</v>
      </c>
      <c r="F371" s="11" t="s">
        <v>2509</v>
      </c>
      <c r="G371" s="6" t="s">
        <v>1499</v>
      </c>
      <c r="H371" s="6" t="s">
        <v>2510</v>
      </c>
      <c r="I371" s="6" t="s">
        <v>877</v>
      </c>
      <c r="J371" s="6" t="s">
        <v>877</v>
      </c>
      <c r="K371" s="6" t="s">
        <v>878</v>
      </c>
      <c r="L371" s="6" t="s">
        <v>1748</v>
      </c>
      <c r="M371" s="6" t="s">
        <v>891</v>
      </c>
      <c r="N371" s="12" t="s">
        <v>881</v>
      </c>
      <c r="O371" s="6" t="s">
        <v>882</v>
      </c>
      <c r="P371" s="6" t="s">
        <v>2</v>
      </c>
      <c r="Q371" s="6" t="s">
        <v>20</v>
      </c>
      <c r="R371" s="12"/>
      <c r="S371" s="12"/>
      <c r="T371" s="12"/>
      <c r="U371" s="12"/>
      <c r="V371" s="12"/>
      <c r="W371" s="12"/>
      <c r="X371" s="6" t="str">
        <f aca="false">IF(COUNT(R371:W371)=6,SUM(R371:W371),"ko‘rilmagan")</f>
        <v>ko‘rilmagan</v>
      </c>
      <c r="Y371" s="12"/>
    </row>
    <row r="372" customFormat="false" ht="23.85" hidden="false" customHeight="false" outlineLevel="0" collapsed="false">
      <c r="A372" s="6" t="s">
        <v>2511</v>
      </c>
      <c r="B372" s="6" t="s">
        <v>569</v>
      </c>
      <c r="C372" s="6"/>
      <c r="D372" s="6" t="str">
        <f aca="false">IFERROR(INDEX(Mundarija!$D:$D,MATCH(B372,Mundarija!$A:$A,0)),"kod topilmadi")</f>
        <v>31.3. Boshqa a’zolarda CEUS: dalillar, ko‘rsatmalar va cheklovlar.</v>
      </c>
      <c r="E372" s="6" t="s">
        <v>2512</v>
      </c>
      <c r="F372" s="11" t="s">
        <v>2513</v>
      </c>
      <c r="G372" s="6" t="s">
        <v>2514</v>
      </c>
      <c r="H372" s="6" t="s">
        <v>2515</v>
      </c>
      <c r="I372" s="6" t="s">
        <v>877</v>
      </c>
      <c r="J372" s="6" t="s">
        <v>877</v>
      </c>
      <c r="K372" s="6" t="s">
        <v>878</v>
      </c>
      <c r="L372" s="6" t="s">
        <v>1748</v>
      </c>
      <c r="M372" s="6" t="s">
        <v>891</v>
      </c>
      <c r="N372" s="12" t="s">
        <v>881</v>
      </c>
      <c r="O372" s="6" t="s">
        <v>882</v>
      </c>
      <c r="P372" s="6" t="s">
        <v>2</v>
      </c>
      <c r="Q372" s="6" t="s">
        <v>20</v>
      </c>
      <c r="R372" s="12"/>
      <c r="S372" s="12"/>
      <c r="T372" s="12"/>
      <c r="U372" s="12"/>
      <c r="V372" s="12"/>
      <c r="W372" s="12"/>
      <c r="X372" s="6" t="str">
        <f aca="false">IF(COUNT(R372:W372)=6,SUM(R372:W372),"ko‘rilmagan")</f>
        <v>ko‘rilmagan</v>
      </c>
      <c r="Y372" s="12"/>
    </row>
    <row r="373" customFormat="false" ht="23.85" hidden="false" customHeight="false" outlineLevel="0" collapsed="false">
      <c r="A373" s="6" t="s">
        <v>2516</v>
      </c>
      <c r="B373" s="6" t="s">
        <v>571</v>
      </c>
      <c r="C373" s="6"/>
      <c r="D373" s="6" t="str">
        <f aca="false">IFERROR(INDEX(Mundarija!$D:$D,MATCH(B373,Mundarija!$A:$A,0)),"kod topilmadi")</f>
        <v>31.4. 3D/4D tasvirlash va avtomatlashtirilgan o‘lchovlar.</v>
      </c>
      <c r="E373" s="6" t="s">
        <v>2517</v>
      </c>
      <c r="F373" s="11" t="s">
        <v>2518</v>
      </c>
      <c r="G373" s="6" t="s">
        <v>2519</v>
      </c>
      <c r="H373" s="6" t="s">
        <v>2520</v>
      </c>
      <c r="I373" s="6" t="s">
        <v>877</v>
      </c>
      <c r="J373" s="6" t="s">
        <v>877</v>
      </c>
      <c r="K373" s="6" t="s">
        <v>878</v>
      </c>
      <c r="L373" s="6" t="s">
        <v>904</v>
      </c>
      <c r="M373" s="6" t="s">
        <v>891</v>
      </c>
      <c r="N373" s="12" t="s">
        <v>881</v>
      </c>
      <c r="O373" s="6" t="s">
        <v>882</v>
      </c>
      <c r="P373" s="6" t="s">
        <v>2</v>
      </c>
      <c r="Q373" s="6" t="s">
        <v>20</v>
      </c>
      <c r="R373" s="12"/>
      <c r="S373" s="12"/>
      <c r="T373" s="12"/>
      <c r="U373" s="12"/>
      <c r="V373" s="12"/>
      <c r="W373" s="12"/>
      <c r="X373" s="6" t="str">
        <f aca="false">IF(COUNT(R373:W373)=6,SUM(R373:W373),"ko‘rilmagan")</f>
        <v>ko‘rilmagan</v>
      </c>
      <c r="Y373" s="12"/>
    </row>
    <row r="374" customFormat="false" ht="23.85" hidden="false" customHeight="false" outlineLevel="0" collapsed="false">
      <c r="A374" s="6" t="s">
        <v>2521</v>
      </c>
      <c r="B374" s="6" t="s">
        <v>571</v>
      </c>
      <c r="C374" s="6"/>
      <c r="D374" s="6" t="str">
        <f aca="false">IFERROR(INDEX(Mundarija!$D:$D,MATCH(B374,Mundarija!$A:$A,0)),"kod topilmadi")</f>
        <v>31.4. 3D/4D tasvirlash va avtomatlashtirilgan o‘lchovlar.</v>
      </c>
      <c r="E374" s="6" t="s">
        <v>2522</v>
      </c>
      <c r="F374" s="11" t="s">
        <v>2523</v>
      </c>
      <c r="G374" s="6" t="s">
        <v>1969</v>
      </c>
      <c r="H374" s="6" t="s">
        <v>2524</v>
      </c>
      <c r="I374" s="6" t="s">
        <v>877</v>
      </c>
      <c r="J374" s="6" t="s">
        <v>877</v>
      </c>
      <c r="K374" s="6" t="s">
        <v>878</v>
      </c>
      <c r="L374" s="6" t="s">
        <v>904</v>
      </c>
      <c r="M374" s="6" t="s">
        <v>912</v>
      </c>
      <c r="N374" s="12" t="s">
        <v>881</v>
      </c>
      <c r="O374" s="6" t="s">
        <v>882</v>
      </c>
      <c r="P374" s="6" t="s">
        <v>2</v>
      </c>
      <c r="Q374" s="6" t="s">
        <v>20</v>
      </c>
      <c r="R374" s="12"/>
      <c r="S374" s="12"/>
      <c r="T374" s="12"/>
      <c r="U374" s="12"/>
      <c r="V374" s="12"/>
      <c r="W374" s="12"/>
      <c r="X374" s="6" t="str">
        <f aca="false">IF(COUNT(R374:W374)=6,SUM(R374:W374),"ko‘rilmagan")</f>
        <v>ko‘rilmagan</v>
      </c>
      <c r="Y374" s="12"/>
    </row>
    <row r="375" customFormat="false" ht="35.05" hidden="false" customHeight="false" outlineLevel="0" collapsed="false">
      <c r="A375" s="6" t="s">
        <v>2525</v>
      </c>
      <c r="B375" s="6" t="s">
        <v>573</v>
      </c>
      <c r="C375" s="6"/>
      <c r="D375" s="6" t="str">
        <f aca="false">IFERROR(INDEX(Mundarija!$D:$D,MATCH(B375,Mundarija!$A:$A,0)),"kod topilmadi")</f>
        <v>31.5. Sun’iy intellekt va kompyuter yordamidagi diagnostika.</v>
      </c>
      <c r="E375" s="6" t="s">
        <v>2526</v>
      </c>
      <c r="F375" s="11" t="s">
        <v>2527</v>
      </c>
      <c r="G375" s="6" t="s">
        <v>1245</v>
      </c>
      <c r="H375" s="6" t="s">
        <v>2343</v>
      </c>
      <c r="I375" s="6" t="s">
        <v>877</v>
      </c>
      <c r="J375" s="6" t="s">
        <v>877</v>
      </c>
      <c r="K375" s="6" t="s">
        <v>878</v>
      </c>
      <c r="L375" s="6" t="s">
        <v>904</v>
      </c>
      <c r="M375" s="6" t="s">
        <v>912</v>
      </c>
      <c r="N375" s="12" t="s">
        <v>881</v>
      </c>
      <c r="O375" s="6" t="s">
        <v>882</v>
      </c>
      <c r="P375" s="6" t="s">
        <v>2</v>
      </c>
      <c r="Q375" s="6" t="s">
        <v>20</v>
      </c>
      <c r="R375" s="12"/>
      <c r="S375" s="12"/>
      <c r="T375" s="12"/>
      <c r="U375" s="12"/>
      <c r="V375" s="12"/>
      <c r="W375" s="12"/>
      <c r="X375" s="6" t="str">
        <f aca="false">IF(COUNT(R375:W375)=6,SUM(R375:W375),"ko‘rilmagan")</f>
        <v>ko‘rilmagan</v>
      </c>
      <c r="Y375" s="12"/>
    </row>
    <row r="376" customFormat="false" ht="23.85" hidden="false" customHeight="false" outlineLevel="0" collapsed="false">
      <c r="A376" s="6" t="s">
        <v>2528</v>
      </c>
      <c r="B376" s="6" t="s">
        <v>573</v>
      </c>
      <c r="C376" s="6"/>
      <c r="D376" s="6" t="str">
        <f aca="false">IFERROR(INDEX(Mundarija!$D:$D,MATCH(B376,Mundarija!$A:$A,0)),"kod topilmadi")</f>
        <v>31.5. Sun’iy intellekt va kompyuter yordamidagi diagnostika.</v>
      </c>
      <c r="E376" s="6" t="s">
        <v>2529</v>
      </c>
      <c r="F376" s="11" t="s">
        <v>2530</v>
      </c>
      <c r="G376" s="6" t="s">
        <v>2531</v>
      </c>
      <c r="H376" s="6" t="s">
        <v>1726</v>
      </c>
      <c r="I376" s="6" t="s">
        <v>877</v>
      </c>
      <c r="J376" s="6" t="s">
        <v>877</v>
      </c>
      <c r="K376" s="6" t="s">
        <v>878</v>
      </c>
      <c r="L376" s="6" t="s">
        <v>904</v>
      </c>
      <c r="M376" s="6" t="s">
        <v>912</v>
      </c>
      <c r="N376" s="12" t="s">
        <v>881</v>
      </c>
      <c r="O376" s="6" t="s">
        <v>882</v>
      </c>
      <c r="P376" s="6" t="s">
        <v>2</v>
      </c>
      <c r="Q376" s="6" t="s">
        <v>20</v>
      </c>
      <c r="R376" s="12"/>
      <c r="S376" s="12"/>
      <c r="T376" s="12"/>
      <c r="U376" s="12"/>
      <c r="V376" s="12"/>
      <c r="W376" s="12"/>
      <c r="X376" s="6" t="str">
        <f aca="false">IF(COUNT(R376:W376)=6,SUM(R376:W376),"ko‘rilmagan")</f>
        <v>ko‘rilmagan</v>
      </c>
      <c r="Y376" s="12"/>
    </row>
    <row r="377" customFormat="false" ht="23.85" hidden="false" customHeight="false" outlineLevel="0" collapsed="false">
      <c r="A377" s="6" t="s">
        <v>2532</v>
      </c>
      <c r="B377" s="6" t="s">
        <v>573</v>
      </c>
      <c r="C377" s="6"/>
      <c r="D377" s="6" t="str">
        <f aca="false">IFERROR(INDEX(Mundarija!$D:$D,MATCH(B377,Mundarija!$A:$A,0)),"kod topilmadi")</f>
        <v>31.5. Sun’iy intellekt va kompyuter yordamidagi diagnostika.</v>
      </c>
      <c r="E377" s="6" t="s">
        <v>2533</v>
      </c>
      <c r="F377" s="11" t="s">
        <v>2534</v>
      </c>
      <c r="G377" s="6" t="s">
        <v>2535</v>
      </c>
      <c r="H377" s="6" t="s">
        <v>2536</v>
      </c>
      <c r="I377" s="6" t="s">
        <v>877</v>
      </c>
      <c r="J377" s="6" t="s">
        <v>877</v>
      </c>
      <c r="K377" s="6" t="s">
        <v>878</v>
      </c>
      <c r="L377" s="6" t="s">
        <v>904</v>
      </c>
      <c r="M377" s="6" t="s">
        <v>912</v>
      </c>
      <c r="N377" s="12" t="s">
        <v>881</v>
      </c>
      <c r="O377" s="6" t="s">
        <v>882</v>
      </c>
      <c r="P377" s="6" t="s">
        <v>2</v>
      </c>
      <c r="Q377" s="6" t="s">
        <v>20</v>
      </c>
      <c r="R377" s="12"/>
      <c r="S377" s="12"/>
      <c r="T377" s="12"/>
      <c r="U377" s="12"/>
      <c r="V377" s="12"/>
      <c r="W377" s="12"/>
      <c r="X377" s="6" t="str">
        <f aca="false">IF(COUNT(R377:W377)=6,SUM(R377:W377),"ko‘rilmagan")</f>
        <v>ko‘rilmagan</v>
      </c>
      <c r="Y377" s="12"/>
    </row>
    <row r="378" customFormat="false" ht="23.85" hidden="false" customHeight="false" outlineLevel="0" collapsed="false">
      <c r="A378" s="6" t="s">
        <v>2537</v>
      </c>
      <c r="B378" s="6" t="s">
        <v>575</v>
      </c>
      <c r="C378" s="6"/>
      <c r="D378" s="6" t="str">
        <f aca="false">IFERROR(INDEX(Mundarija!$D:$D,MATCH(B378,Mundarija!$A:$A,0)),"kod topilmadi")</f>
        <v>31.6. Portativ UZI va qo‘l qurilmalari.</v>
      </c>
      <c r="E378" s="6" t="s">
        <v>2538</v>
      </c>
      <c r="F378" s="11" t="s">
        <v>2539</v>
      </c>
      <c r="G378" s="6" t="s">
        <v>2540</v>
      </c>
      <c r="H378" s="6" t="s">
        <v>1726</v>
      </c>
      <c r="I378" s="6" t="s">
        <v>877</v>
      </c>
      <c r="J378" s="6" t="s">
        <v>877</v>
      </c>
      <c r="K378" s="6" t="s">
        <v>878</v>
      </c>
      <c r="L378" s="6" t="s">
        <v>879</v>
      </c>
      <c r="M378" s="6" t="s">
        <v>912</v>
      </c>
      <c r="N378" s="12" t="s">
        <v>881</v>
      </c>
      <c r="O378" s="6" t="s">
        <v>882</v>
      </c>
      <c r="P378" s="6" t="s">
        <v>2</v>
      </c>
      <c r="Q378" s="6" t="s">
        <v>20</v>
      </c>
      <c r="R378" s="12"/>
      <c r="S378" s="12"/>
      <c r="T378" s="12"/>
      <c r="U378" s="12"/>
      <c r="V378" s="12"/>
      <c r="W378" s="12"/>
      <c r="X378" s="6" t="str">
        <f aca="false">IF(COUNT(R378:W378)=6,SUM(R378:W378),"ko‘rilmagan")</f>
        <v>ko‘rilmagan</v>
      </c>
      <c r="Y378" s="12"/>
    </row>
    <row r="379" customFormat="false" ht="23.85" hidden="false" customHeight="false" outlineLevel="0" collapsed="false">
      <c r="A379" s="6" t="s">
        <v>2541</v>
      </c>
      <c r="B379" s="6" t="s">
        <v>577</v>
      </c>
      <c r="C379" s="6"/>
      <c r="D379" s="6" t="str">
        <f aca="false">IFERROR(INDEX(Mundarija!$D:$D,MATCH(B379,Mundarija!$A:$A,0)),"kod topilmadi")</f>
        <v>31.7. EUS va intraoperatsion ultratovushga kirish.</v>
      </c>
      <c r="E379" s="6" t="s">
        <v>2542</v>
      </c>
      <c r="F379" s="11" t="s">
        <v>2543</v>
      </c>
      <c r="G379" s="6" t="s">
        <v>2544</v>
      </c>
      <c r="H379" s="6" t="s">
        <v>2545</v>
      </c>
      <c r="I379" s="6" t="s">
        <v>877</v>
      </c>
      <c r="J379" s="6" t="s">
        <v>877</v>
      </c>
      <c r="K379" s="6" t="s">
        <v>878</v>
      </c>
      <c r="L379" s="6" t="s">
        <v>879</v>
      </c>
      <c r="M379" s="6" t="s">
        <v>912</v>
      </c>
      <c r="N379" s="12" t="s">
        <v>881</v>
      </c>
      <c r="O379" s="6" t="s">
        <v>882</v>
      </c>
      <c r="P379" s="6" t="s">
        <v>2</v>
      </c>
      <c r="Q379" s="6" t="s">
        <v>20</v>
      </c>
      <c r="R379" s="12"/>
      <c r="S379" s="12"/>
      <c r="T379" s="12"/>
      <c r="U379" s="12"/>
      <c r="V379" s="12"/>
      <c r="W379" s="12"/>
      <c r="X379" s="6" t="str">
        <f aca="false">IF(COUNT(R379:W379)=6,SUM(R379:W379),"ko‘rilmagan")</f>
        <v>ko‘rilmagan</v>
      </c>
      <c r="Y379" s="12"/>
    </row>
    <row r="380" customFormat="false" ht="23.85" hidden="false" customHeight="false" outlineLevel="0" collapsed="false">
      <c r="A380" s="6" t="s">
        <v>2546</v>
      </c>
      <c r="B380" s="6" t="s">
        <v>577</v>
      </c>
      <c r="C380" s="6" t="s">
        <v>584</v>
      </c>
      <c r="D380" s="6" t="str">
        <f aca="false">IFERROR(INDEX(Mundarija!$D:$D,MATCH(B380,Mundarija!$A:$A,0)),"kod topilmadi")</f>
        <v>31.7. EUS va intraoperatsion ultratovushga kirish.</v>
      </c>
      <c r="E380" s="6" t="s">
        <v>2547</v>
      </c>
      <c r="F380" s="11" t="s">
        <v>2548</v>
      </c>
      <c r="G380" s="6" t="s">
        <v>2549</v>
      </c>
      <c r="H380" s="6" t="s">
        <v>2550</v>
      </c>
      <c r="I380" s="6" t="s">
        <v>877</v>
      </c>
      <c r="J380" s="6" t="s">
        <v>877</v>
      </c>
      <c r="K380" s="6" t="s">
        <v>878</v>
      </c>
      <c r="L380" s="6" t="s">
        <v>879</v>
      </c>
      <c r="M380" s="6" t="s">
        <v>912</v>
      </c>
      <c r="N380" s="12" t="s">
        <v>881</v>
      </c>
      <c r="O380" s="6" t="s">
        <v>882</v>
      </c>
      <c r="P380" s="6" t="s">
        <v>2</v>
      </c>
      <c r="Q380" s="6" t="s">
        <v>20</v>
      </c>
      <c r="R380" s="12"/>
      <c r="S380" s="12"/>
      <c r="T380" s="12"/>
      <c r="U380" s="12"/>
      <c r="V380" s="12"/>
      <c r="W380" s="12"/>
      <c r="X380" s="6" t="str">
        <f aca="false">IF(COUNT(R380:W380)=6,SUM(R380:W380),"ko‘rilmagan")</f>
        <v>ko‘rilmagan</v>
      </c>
      <c r="Y380" s="12"/>
    </row>
    <row r="381" customFormat="false" ht="23.85" hidden="false" customHeight="false" outlineLevel="0" collapsed="false">
      <c r="A381" s="6" t="s">
        <v>2551</v>
      </c>
      <c r="B381" s="6" t="s">
        <v>579</v>
      </c>
      <c r="C381" s="6" t="s">
        <v>584</v>
      </c>
      <c r="D381" s="6" t="str">
        <f aca="false">IFERROR(INDEX(Mundarija!$D:$D,MATCH(B381,Mundarija!$A:$A,0)),"kod topilmadi")</f>
        <v>32.1. Intervension UZI ko‘rsatmalari va xavfsizlik.</v>
      </c>
      <c r="E381" s="6" t="s">
        <v>2552</v>
      </c>
      <c r="F381" s="11" t="s">
        <v>2553</v>
      </c>
      <c r="G381" s="6" t="s">
        <v>2554</v>
      </c>
      <c r="H381" s="6" t="s">
        <v>2555</v>
      </c>
      <c r="I381" s="6" t="s">
        <v>877</v>
      </c>
      <c r="J381" s="6" t="s">
        <v>877</v>
      </c>
      <c r="K381" s="6" t="s">
        <v>878</v>
      </c>
      <c r="L381" s="6" t="s">
        <v>879</v>
      </c>
      <c r="M381" s="6" t="s">
        <v>912</v>
      </c>
      <c r="N381" s="12" t="s">
        <v>881</v>
      </c>
      <c r="O381" s="6" t="s">
        <v>882</v>
      </c>
      <c r="P381" s="6" t="s">
        <v>2</v>
      </c>
      <c r="Q381" s="6" t="s">
        <v>20</v>
      </c>
      <c r="R381" s="12"/>
      <c r="S381" s="12"/>
      <c r="T381" s="12"/>
      <c r="U381" s="12"/>
      <c r="V381" s="12"/>
      <c r="W381" s="12"/>
      <c r="X381" s="6" t="str">
        <f aca="false">IF(COUNT(R381:W381)=6,SUM(R381:W381),"ko‘rilmagan")</f>
        <v>ko‘rilmagan</v>
      </c>
      <c r="Y381" s="12"/>
    </row>
    <row r="382" customFormat="false" ht="23.85" hidden="false" customHeight="false" outlineLevel="0" collapsed="false">
      <c r="A382" s="6" t="s">
        <v>2556</v>
      </c>
      <c r="B382" s="6" t="s">
        <v>582</v>
      </c>
      <c r="C382" s="6"/>
      <c r="D382" s="6" t="str">
        <f aca="false">IFERROR(INDEX(Mundarija!$D:$D,MATCH(B382,Mundarija!$A:$A,0)),"kod topilmadi")</f>
        <v>32.2. UZI nazoratida ignani ko‘rish: in-plane va out-of-plane.</v>
      </c>
      <c r="E382" s="6" t="s">
        <v>2557</v>
      </c>
      <c r="F382" s="11" t="s">
        <v>2558</v>
      </c>
      <c r="G382" s="6" t="s">
        <v>1599</v>
      </c>
      <c r="H382" s="6" t="s">
        <v>2419</v>
      </c>
      <c r="I382" s="6" t="s">
        <v>877</v>
      </c>
      <c r="J382" s="6" t="s">
        <v>877</v>
      </c>
      <c r="K382" s="6" t="s">
        <v>878</v>
      </c>
      <c r="L382" s="6" t="s">
        <v>879</v>
      </c>
      <c r="M382" s="6" t="s">
        <v>891</v>
      </c>
      <c r="N382" s="12" t="s">
        <v>881</v>
      </c>
      <c r="O382" s="6" t="s">
        <v>882</v>
      </c>
      <c r="P382" s="6" t="s">
        <v>2</v>
      </c>
      <c r="Q382" s="6" t="s">
        <v>20</v>
      </c>
      <c r="R382" s="12"/>
      <c r="S382" s="12"/>
      <c r="T382" s="12"/>
      <c r="U382" s="12"/>
      <c r="V382" s="12"/>
      <c r="W382" s="12"/>
      <c r="X382" s="6" t="str">
        <f aca="false">IF(COUNT(R382:W382)=6,SUM(R382:W382),"ko‘rilmagan")</f>
        <v>ko‘rilmagan</v>
      </c>
      <c r="Y382" s="12"/>
    </row>
    <row r="383" customFormat="false" ht="23.85" hidden="false" customHeight="false" outlineLevel="0" collapsed="false">
      <c r="A383" s="6" t="s">
        <v>2559</v>
      </c>
      <c r="B383" s="6" t="s">
        <v>582</v>
      </c>
      <c r="C383" s="6"/>
      <c r="D383" s="6" t="str">
        <f aca="false">IFERROR(INDEX(Mundarija!$D:$D,MATCH(B383,Mundarija!$A:$A,0)),"kod topilmadi")</f>
        <v>32.2. UZI nazoratida ignani ko‘rish: in-plane va out-of-plane.</v>
      </c>
      <c r="E383" s="6" t="s">
        <v>2560</v>
      </c>
      <c r="F383" s="11" t="s">
        <v>2561</v>
      </c>
      <c r="G383" s="6" t="s">
        <v>1499</v>
      </c>
      <c r="H383" s="6" t="s">
        <v>2397</v>
      </c>
      <c r="I383" s="6" t="s">
        <v>877</v>
      </c>
      <c r="J383" s="6" t="s">
        <v>877</v>
      </c>
      <c r="K383" s="6" t="s">
        <v>878</v>
      </c>
      <c r="L383" s="6" t="s">
        <v>879</v>
      </c>
      <c r="M383" s="6" t="s">
        <v>891</v>
      </c>
      <c r="N383" s="12" t="s">
        <v>881</v>
      </c>
      <c r="O383" s="6" t="s">
        <v>882</v>
      </c>
      <c r="P383" s="6" t="s">
        <v>2</v>
      </c>
      <c r="Q383" s="6" t="s">
        <v>20</v>
      </c>
      <c r="R383" s="12"/>
      <c r="S383" s="12"/>
      <c r="T383" s="12"/>
      <c r="U383" s="12"/>
      <c r="V383" s="12"/>
      <c r="W383" s="12"/>
      <c r="X383" s="6" t="str">
        <f aca="false">IF(COUNT(R383:W383)=6,SUM(R383:W383),"ko‘rilmagan")</f>
        <v>ko‘rilmagan</v>
      </c>
      <c r="Y383" s="12"/>
    </row>
    <row r="384" customFormat="false" ht="35.05" hidden="false" customHeight="false" outlineLevel="0" collapsed="false">
      <c r="A384" s="6" t="s">
        <v>2562</v>
      </c>
      <c r="B384" s="6" t="s">
        <v>582</v>
      </c>
      <c r="C384" s="6"/>
      <c r="D384" s="6" t="str">
        <f aca="false">IFERROR(INDEX(Mundarija!$D:$D,MATCH(B384,Mundarija!$A:$A,0)),"kod topilmadi")</f>
        <v>32.2. UZI nazoratida ignani ko‘rish: in-plane va out-of-plane.</v>
      </c>
      <c r="E384" s="6" t="s">
        <v>2563</v>
      </c>
      <c r="F384" s="11" t="s">
        <v>2564</v>
      </c>
      <c r="G384" s="6" t="s">
        <v>2565</v>
      </c>
      <c r="H384" s="6" t="s">
        <v>2566</v>
      </c>
      <c r="I384" s="6" t="s">
        <v>877</v>
      </c>
      <c r="J384" s="6" t="s">
        <v>877</v>
      </c>
      <c r="K384" s="6" t="s">
        <v>878</v>
      </c>
      <c r="L384" s="6" t="s">
        <v>904</v>
      </c>
      <c r="M384" s="6" t="s">
        <v>891</v>
      </c>
      <c r="N384" s="12" t="s">
        <v>881</v>
      </c>
      <c r="O384" s="6" t="s">
        <v>882</v>
      </c>
      <c r="P384" s="6" t="s">
        <v>2</v>
      </c>
      <c r="Q384" s="6" t="s">
        <v>20</v>
      </c>
      <c r="R384" s="12"/>
      <c r="S384" s="12"/>
      <c r="T384" s="12"/>
      <c r="U384" s="12"/>
      <c r="V384" s="12"/>
      <c r="W384" s="12"/>
      <c r="X384" s="6" t="str">
        <f aca="false">IF(COUNT(R384:W384)=6,SUM(R384:W384),"ko‘rilmagan")</f>
        <v>ko‘rilmagan</v>
      </c>
      <c r="Y384" s="12"/>
    </row>
    <row r="385" customFormat="false" ht="23.85" hidden="false" customHeight="false" outlineLevel="0" collapsed="false">
      <c r="A385" s="6" t="s">
        <v>2567</v>
      </c>
      <c r="B385" s="6" t="s">
        <v>587</v>
      </c>
      <c r="C385" s="6"/>
      <c r="D385" s="6" t="str">
        <f aca="false">IFERROR(INDEX(Mundarija!$D:$D,MATCH(B385,Mundarija!$A:$A,0)),"kod topilmadi")</f>
        <v>32.4. Suyuqlik aspiratsiyasi va drenaj.</v>
      </c>
      <c r="E385" s="6" t="s">
        <v>2568</v>
      </c>
      <c r="F385" s="11" t="s">
        <v>2569</v>
      </c>
      <c r="G385" s="6" t="s">
        <v>2570</v>
      </c>
      <c r="H385" s="6" t="s">
        <v>2571</v>
      </c>
      <c r="I385" s="6" t="s">
        <v>877</v>
      </c>
      <c r="J385" s="6" t="s">
        <v>877</v>
      </c>
      <c r="K385" s="6" t="s">
        <v>878</v>
      </c>
      <c r="L385" s="6" t="s">
        <v>904</v>
      </c>
      <c r="M385" s="6" t="s">
        <v>891</v>
      </c>
      <c r="N385" s="12" t="s">
        <v>881</v>
      </c>
      <c r="O385" s="6" t="s">
        <v>882</v>
      </c>
      <c r="P385" s="6" t="s">
        <v>2</v>
      </c>
      <c r="Q385" s="6" t="s">
        <v>20</v>
      </c>
      <c r="R385" s="12"/>
      <c r="S385" s="12"/>
      <c r="T385" s="12"/>
      <c r="U385" s="12"/>
      <c r="V385" s="12"/>
      <c r="W385" s="12"/>
      <c r="X385" s="6" t="str">
        <f aca="false">IF(COUNT(R385:W385)=6,SUM(R385:W385),"ko‘rilmagan")</f>
        <v>ko‘rilmagan</v>
      </c>
      <c r="Y385" s="12"/>
    </row>
    <row r="386" customFormat="false" ht="23.85" hidden="false" customHeight="false" outlineLevel="0" collapsed="false">
      <c r="A386" s="6" t="s">
        <v>2572</v>
      </c>
      <c r="B386" s="6" t="s">
        <v>587</v>
      </c>
      <c r="C386" s="6"/>
      <c r="D386" s="6" t="str">
        <f aca="false">IFERROR(INDEX(Mundarija!$D:$D,MATCH(B386,Mundarija!$A:$A,0)),"kod topilmadi")</f>
        <v>32.4. Suyuqlik aspiratsiyasi va drenaj.</v>
      </c>
      <c r="E386" s="6" t="s">
        <v>2573</v>
      </c>
      <c r="F386" s="11" t="s">
        <v>2574</v>
      </c>
      <c r="G386" s="6" t="s">
        <v>2575</v>
      </c>
      <c r="H386" s="6" t="s">
        <v>2576</v>
      </c>
      <c r="I386" s="6" t="s">
        <v>877</v>
      </c>
      <c r="J386" s="6" t="s">
        <v>877</v>
      </c>
      <c r="K386" s="6" t="s">
        <v>878</v>
      </c>
      <c r="L386" s="6" t="s">
        <v>904</v>
      </c>
      <c r="M386" s="6" t="s">
        <v>891</v>
      </c>
      <c r="N386" s="12" t="s">
        <v>881</v>
      </c>
      <c r="O386" s="6" t="s">
        <v>882</v>
      </c>
      <c r="P386" s="6" t="s">
        <v>2</v>
      </c>
      <c r="Q386" s="6" t="s">
        <v>20</v>
      </c>
      <c r="R386" s="12"/>
      <c r="S386" s="12"/>
      <c r="T386" s="12"/>
      <c r="U386" s="12"/>
      <c r="V386" s="12"/>
      <c r="W386" s="12"/>
      <c r="X386" s="6" t="str">
        <f aca="false">IF(COUNT(R386:W386)=6,SUM(R386:W386),"ko‘rilmagan")</f>
        <v>ko‘rilmagan</v>
      </c>
      <c r="Y386" s="12"/>
    </row>
    <row r="387" customFormat="false" ht="23.85" hidden="false" customHeight="false" outlineLevel="0" collapsed="false">
      <c r="A387" s="6" t="s">
        <v>2577</v>
      </c>
      <c r="B387" s="6" t="s">
        <v>587</v>
      </c>
      <c r="C387" s="6"/>
      <c r="D387" s="6" t="str">
        <f aca="false">IFERROR(INDEX(Mundarija!$D:$D,MATCH(B387,Mundarija!$A:$A,0)),"kod topilmadi")</f>
        <v>32.4. Suyuqlik aspiratsiyasi va drenaj.</v>
      </c>
      <c r="E387" s="6" t="s">
        <v>2578</v>
      </c>
      <c r="F387" s="11" t="s">
        <v>2579</v>
      </c>
      <c r="G387" s="6" t="s">
        <v>1798</v>
      </c>
      <c r="H387" s="6" t="s">
        <v>2580</v>
      </c>
      <c r="I387" s="6" t="s">
        <v>877</v>
      </c>
      <c r="J387" s="6" t="s">
        <v>877</v>
      </c>
      <c r="K387" s="6" t="s">
        <v>878</v>
      </c>
      <c r="L387" s="6" t="s">
        <v>904</v>
      </c>
      <c r="M387" s="6" t="s">
        <v>891</v>
      </c>
      <c r="N387" s="12" t="s">
        <v>881</v>
      </c>
      <c r="O387" s="6" t="s">
        <v>882</v>
      </c>
      <c r="P387" s="6" t="s">
        <v>2</v>
      </c>
      <c r="Q387" s="6" t="s">
        <v>20</v>
      </c>
      <c r="R387" s="12"/>
      <c r="S387" s="12"/>
      <c r="T387" s="12"/>
      <c r="U387" s="12"/>
      <c r="V387" s="12"/>
      <c r="W387" s="12"/>
      <c r="X387" s="6" t="str">
        <f aca="false">IF(COUNT(R387:W387)=6,SUM(R387:W387),"ko‘rilmagan")</f>
        <v>ko‘rilmagan</v>
      </c>
      <c r="Y387" s="12"/>
    </row>
    <row r="388" customFormat="false" ht="23.85" hidden="false" customHeight="false" outlineLevel="0" collapsed="false">
      <c r="A388" s="6" t="s">
        <v>2581</v>
      </c>
      <c r="B388" s="6" t="s">
        <v>589</v>
      </c>
      <c r="C388" s="6"/>
      <c r="D388" s="6" t="str">
        <f aca="false">IFERROR(INDEX(Mundarija!$D:$D,MATCH(B388,Mundarija!$A:$A,0)),"kod topilmadi")</f>
        <v>32.5. Biopsiyadan keyingi kuzatuv va asoratlar.</v>
      </c>
      <c r="E388" s="6" t="s">
        <v>2582</v>
      </c>
      <c r="F388" s="11" t="s">
        <v>2583</v>
      </c>
      <c r="G388" s="6" t="s">
        <v>2584</v>
      </c>
      <c r="H388" s="6" t="s">
        <v>2585</v>
      </c>
      <c r="I388" s="6" t="s">
        <v>877</v>
      </c>
      <c r="J388" s="6" t="s">
        <v>877</v>
      </c>
      <c r="K388" s="6" t="s">
        <v>878</v>
      </c>
      <c r="L388" s="6" t="s">
        <v>904</v>
      </c>
      <c r="M388" s="6" t="s">
        <v>912</v>
      </c>
      <c r="N388" s="12" t="s">
        <v>881</v>
      </c>
      <c r="O388" s="6" t="s">
        <v>882</v>
      </c>
      <c r="P388" s="6" t="s">
        <v>2</v>
      </c>
      <c r="Q388" s="6" t="s">
        <v>20</v>
      </c>
      <c r="R388" s="12"/>
      <c r="S388" s="12"/>
      <c r="T388" s="12"/>
      <c r="U388" s="12"/>
      <c r="V388" s="12"/>
      <c r="W388" s="12"/>
      <c r="X388" s="6" t="str">
        <f aca="false">IF(COUNT(R388:W388)=6,SUM(R388:W388),"ko‘rilmagan")</f>
        <v>ko‘rilmagan</v>
      </c>
      <c r="Y388" s="12"/>
    </row>
    <row r="389" customFormat="false" ht="35.05" hidden="false" customHeight="false" outlineLevel="0" collapsed="false">
      <c r="A389" s="6" t="s">
        <v>2586</v>
      </c>
      <c r="B389" s="6" t="s">
        <v>589</v>
      </c>
      <c r="C389" s="6" t="s">
        <v>591</v>
      </c>
      <c r="D389" s="6" t="str">
        <f aca="false">IFERROR(INDEX(Mundarija!$D:$D,MATCH(B389,Mundarija!$A:$A,0)),"kod topilmadi")</f>
        <v>32.5. Biopsiyadan keyingi kuzatuv va asoratlar.</v>
      </c>
      <c r="E389" s="6" t="s">
        <v>2587</v>
      </c>
      <c r="F389" s="11" t="s">
        <v>2588</v>
      </c>
      <c r="G389" s="6" t="s">
        <v>1245</v>
      </c>
      <c r="H389" s="6" t="s">
        <v>2343</v>
      </c>
      <c r="I389" s="6" t="s">
        <v>877</v>
      </c>
      <c r="J389" s="6" t="s">
        <v>877</v>
      </c>
      <c r="K389" s="6" t="s">
        <v>878</v>
      </c>
      <c r="L389" s="6" t="s">
        <v>904</v>
      </c>
      <c r="M389" s="6" t="s">
        <v>912</v>
      </c>
      <c r="N389" s="12" t="s">
        <v>881</v>
      </c>
      <c r="O389" s="6" t="s">
        <v>882</v>
      </c>
      <c r="P389" s="6" t="s">
        <v>2</v>
      </c>
      <c r="Q389" s="6" t="s">
        <v>20</v>
      </c>
      <c r="R389" s="12"/>
      <c r="S389" s="12"/>
      <c r="T389" s="12"/>
      <c r="U389" s="12"/>
      <c r="V389" s="12"/>
      <c r="W389" s="12"/>
      <c r="X389" s="6" t="str">
        <f aca="false">IF(COUNT(R389:W389)=6,SUM(R389:W389),"ko‘rilmagan")</f>
        <v>ko‘rilmagan</v>
      </c>
      <c r="Y389" s="12"/>
    </row>
    <row r="390" customFormat="false" ht="23.85" hidden="false" customHeight="false" outlineLevel="0" collapsed="false">
      <c r="A390" s="6" t="s">
        <v>2589</v>
      </c>
      <c r="B390" s="6" t="s">
        <v>591</v>
      </c>
      <c r="C390" s="6" t="s">
        <v>582</v>
      </c>
      <c r="D390" s="6" t="str">
        <f aca="false">IFERROR(INDEX(Mundarija!$D:$D,MATCH(B390,Mundarija!$A:$A,0)),"kod topilmadi")</f>
        <v>32.6. Nerv blokadalari va bo‘g‘im inyeksiyalariga kirish.</v>
      </c>
      <c r="E390" s="6" t="s">
        <v>2590</v>
      </c>
      <c r="F390" s="11" t="s">
        <v>2591</v>
      </c>
      <c r="G390" s="6" t="s">
        <v>2592</v>
      </c>
      <c r="H390" s="6" t="s">
        <v>2593</v>
      </c>
      <c r="I390" s="6" t="s">
        <v>877</v>
      </c>
      <c r="J390" s="6" t="s">
        <v>877</v>
      </c>
      <c r="K390" s="6" t="s">
        <v>878</v>
      </c>
      <c r="L390" s="6" t="s">
        <v>879</v>
      </c>
      <c r="M390" s="6" t="s">
        <v>912</v>
      </c>
      <c r="N390" s="12" t="s">
        <v>881</v>
      </c>
      <c r="O390" s="6" t="s">
        <v>882</v>
      </c>
      <c r="P390" s="6" t="s">
        <v>2</v>
      </c>
      <c r="Q390" s="6" t="s">
        <v>20</v>
      </c>
      <c r="R390" s="12"/>
      <c r="S390" s="12"/>
      <c r="T390" s="12"/>
      <c r="U390" s="12"/>
      <c r="V390" s="12"/>
      <c r="W390" s="12"/>
      <c r="X390" s="6" t="str">
        <f aca="false">IF(COUNT(R390:W390)=6,SUM(R390:W390),"ko‘rilmagan")</f>
        <v>ko‘rilmagan</v>
      </c>
      <c r="Y390" s="12"/>
    </row>
    <row r="391" customFormat="false" ht="23.85" hidden="false" customHeight="false" outlineLevel="0" collapsed="false">
      <c r="A391" s="6" t="s">
        <v>2594</v>
      </c>
      <c r="B391" s="6" t="s">
        <v>591</v>
      </c>
      <c r="C391" s="6"/>
      <c r="D391" s="6" t="str">
        <f aca="false">IFERROR(INDEX(Mundarija!$D:$D,MATCH(B391,Mundarija!$A:$A,0)),"kod topilmadi")</f>
        <v>32.6. Nerv blokadalari va bo‘g‘im inyeksiyalariga kirish.</v>
      </c>
      <c r="E391" s="6" t="s">
        <v>2595</v>
      </c>
      <c r="F391" s="11" t="s">
        <v>2596</v>
      </c>
      <c r="G391" s="6" t="s">
        <v>2597</v>
      </c>
      <c r="H391" s="6" t="s">
        <v>2598</v>
      </c>
      <c r="I391" s="6" t="s">
        <v>877</v>
      </c>
      <c r="J391" s="6" t="s">
        <v>877</v>
      </c>
      <c r="K391" s="6" t="s">
        <v>878</v>
      </c>
      <c r="L391" s="6" t="s">
        <v>904</v>
      </c>
      <c r="M391" s="6" t="s">
        <v>891</v>
      </c>
      <c r="N391" s="12" t="s">
        <v>881</v>
      </c>
      <c r="O391" s="6" t="s">
        <v>882</v>
      </c>
      <c r="P391" s="6" t="s">
        <v>2</v>
      </c>
      <c r="Q391" s="6" t="s">
        <v>20</v>
      </c>
      <c r="R391" s="12"/>
      <c r="S391" s="12"/>
      <c r="T391" s="12"/>
      <c r="U391" s="12"/>
      <c r="V391" s="12"/>
      <c r="W391" s="12"/>
      <c r="X391" s="6" t="str">
        <f aca="false">IF(COUNT(R391:W391)=6,SUM(R391:W391),"ko‘rilmagan")</f>
        <v>ko‘rilmagan</v>
      </c>
      <c r="Y391" s="12"/>
    </row>
    <row r="392" customFormat="false" ht="23.85" hidden="false" customHeight="false" outlineLevel="0" collapsed="false">
      <c r="A392" s="6" t="s">
        <v>2599</v>
      </c>
      <c r="B392" s="6" t="s">
        <v>591</v>
      </c>
      <c r="C392" s="6"/>
      <c r="D392" s="6" t="str">
        <f aca="false">IFERROR(INDEX(Mundarija!$D:$D,MATCH(B392,Mundarija!$A:$A,0)),"kod topilmadi")</f>
        <v>32.6. Nerv blokadalari va bo‘g‘im inyeksiyalariga kirish.</v>
      </c>
      <c r="E392" s="6" t="s">
        <v>2600</v>
      </c>
      <c r="F392" s="11" t="s">
        <v>2601</v>
      </c>
      <c r="G392" s="6" t="s">
        <v>2602</v>
      </c>
      <c r="H392" s="6" t="s">
        <v>2571</v>
      </c>
      <c r="I392" s="6" t="s">
        <v>877</v>
      </c>
      <c r="J392" s="6" t="s">
        <v>877</v>
      </c>
      <c r="K392" s="6" t="s">
        <v>878</v>
      </c>
      <c r="L392" s="6" t="s">
        <v>904</v>
      </c>
      <c r="M392" s="6" t="s">
        <v>891</v>
      </c>
      <c r="N392" s="12" t="s">
        <v>881</v>
      </c>
      <c r="O392" s="6" t="s">
        <v>882</v>
      </c>
      <c r="P392" s="6" t="s">
        <v>2</v>
      </c>
      <c r="Q392" s="6" t="s">
        <v>20</v>
      </c>
      <c r="R392" s="12"/>
      <c r="S392" s="12"/>
      <c r="T392" s="12"/>
      <c r="U392" s="12"/>
      <c r="V392" s="12"/>
      <c r="W392" s="12"/>
      <c r="X392" s="6" t="str">
        <f aca="false">IF(COUNT(R392:W392)=6,SUM(R392:W392),"ko‘rilmagan")</f>
        <v>ko‘rilmagan</v>
      </c>
      <c r="Y392" s="12"/>
    </row>
    <row r="393" customFormat="false" ht="23.85" hidden="false" customHeight="false" outlineLevel="0" collapsed="false">
      <c r="A393" s="6" t="s">
        <v>2603</v>
      </c>
      <c r="B393" s="6" t="s">
        <v>600</v>
      </c>
      <c r="C393" s="6"/>
      <c r="D393" s="6" t="str">
        <f aca="false">IFERROR(INDEX(Mundarija!$D:$D,MATCH(B393,Mundarija!$A:$A,0)),"kod topilmadi")</f>
        <v>33.2. Normal qiymatlar va ularning yosh, jins hamda klinik holatga bog‘liqligi.</v>
      </c>
      <c r="E393" s="6" t="s">
        <v>2604</v>
      </c>
      <c r="F393" s="11" t="s">
        <v>2605</v>
      </c>
      <c r="G393" s="6" t="s">
        <v>1259</v>
      </c>
      <c r="H393" s="6" t="s">
        <v>2332</v>
      </c>
      <c r="I393" s="6" t="s">
        <v>877</v>
      </c>
      <c r="J393" s="6" t="s">
        <v>877</v>
      </c>
      <c r="K393" s="6" t="s">
        <v>878</v>
      </c>
      <c r="L393" s="6" t="s">
        <v>879</v>
      </c>
      <c r="M393" s="6" t="s">
        <v>912</v>
      </c>
      <c r="N393" s="12" t="s">
        <v>881</v>
      </c>
      <c r="O393" s="6" t="s">
        <v>882</v>
      </c>
      <c r="P393" s="6" t="s">
        <v>2</v>
      </c>
      <c r="Q393" s="6" t="s">
        <v>20</v>
      </c>
      <c r="R393" s="12"/>
      <c r="S393" s="12"/>
      <c r="T393" s="12"/>
      <c r="U393" s="12"/>
      <c r="V393" s="12"/>
      <c r="W393" s="12"/>
      <c r="X393" s="6" t="str">
        <f aca="false">IF(COUNT(R393:W393)=6,SUM(R393:W393),"ko‘rilmagan")</f>
        <v>ko‘rilmagan</v>
      </c>
      <c r="Y393" s="12"/>
    </row>
    <row r="394" customFormat="false" ht="23.85" hidden="false" customHeight="false" outlineLevel="0" collapsed="false">
      <c r="A394" s="6" t="s">
        <v>2606</v>
      </c>
      <c r="B394" s="6" t="s">
        <v>602</v>
      </c>
      <c r="C394" s="6"/>
      <c r="D394" s="6" t="str">
        <f aca="false">IFERROR(INDEX(Mundarija!$D:$D,MATCH(B394,Mundarija!$A:$A,0)),"kod topilmadi")</f>
        <v>33.3. Diagnostik xatolar, tuzoqlar va klinik holatlarni tahlil qilish.</v>
      </c>
      <c r="E394" s="6" t="s">
        <v>2607</v>
      </c>
      <c r="F394" s="11" t="s">
        <v>2608</v>
      </c>
      <c r="G394" s="6" t="s">
        <v>1649</v>
      </c>
      <c r="H394" s="6" t="s">
        <v>1650</v>
      </c>
      <c r="I394" s="6" t="s">
        <v>877</v>
      </c>
      <c r="J394" s="6" t="s">
        <v>877</v>
      </c>
      <c r="K394" s="6" t="s">
        <v>878</v>
      </c>
      <c r="L394" s="6" t="s">
        <v>904</v>
      </c>
      <c r="M394" s="6" t="s">
        <v>912</v>
      </c>
      <c r="N394" s="12" t="s">
        <v>881</v>
      </c>
      <c r="O394" s="6" t="s">
        <v>882</v>
      </c>
      <c r="P394" s="6" t="s">
        <v>2</v>
      </c>
      <c r="Q394" s="6" t="s">
        <v>20</v>
      </c>
      <c r="R394" s="12"/>
      <c r="S394" s="12"/>
      <c r="T394" s="12"/>
      <c r="U394" s="12"/>
      <c r="V394" s="12"/>
      <c r="W394" s="12"/>
      <c r="X394" s="6" t="str">
        <f aca="false">IF(COUNT(R394:W394)=6,SUM(R394:W394),"ko‘rilmagan")</f>
        <v>ko‘rilmagan</v>
      </c>
      <c r="Y394" s="12"/>
    </row>
    <row r="395" customFormat="false" ht="23.85" hidden="false" customHeight="false" outlineLevel="0" collapsed="false">
      <c r="A395" s="6" t="s">
        <v>2609</v>
      </c>
      <c r="B395" s="6" t="s">
        <v>602</v>
      </c>
      <c r="C395" s="6"/>
      <c r="D395" s="6" t="str">
        <f aca="false">IFERROR(INDEX(Mundarija!$D:$D,MATCH(B395,Mundarija!$A:$A,0)),"kod topilmadi")</f>
        <v>33.3. Diagnostik xatolar, tuzoqlar va klinik holatlarni tahlil qilish.</v>
      </c>
      <c r="E395" s="6" t="s">
        <v>2610</v>
      </c>
      <c r="F395" s="11" t="s">
        <v>2611</v>
      </c>
      <c r="G395" s="6" t="s">
        <v>1778</v>
      </c>
      <c r="H395" s="6" t="s">
        <v>1779</v>
      </c>
      <c r="I395" s="6" t="s">
        <v>877</v>
      </c>
      <c r="J395" s="6" t="s">
        <v>877</v>
      </c>
      <c r="K395" s="6" t="s">
        <v>878</v>
      </c>
      <c r="L395" s="6" t="s">
        <v>904</v>
      </c>
      <c r="M395" s="6" t="s">
        <v>912</v>
      </c>
      <c r="N395" s="12" t="s">
        <v>881</v>
      </c>
      <c r="O395" s="6" t="s">
        <v>882</v>
      </c>
      <c r="P395" s="6" t="s">
        <v>2</v>
      </c>
      <c r="Q395" s="6" t="s">
        <v>20</v>
      </c>
      <c r="R395" s="12"/>
      <c r="S395" s="12"/>
      <c r="T395" s="12"/>
      <c r="U395" s="12"/>
      <c r="V395" s="12"/>
      <c r="W395" s="12"/>
      <c r="X395" s="6" t="str">
        <f aca="false">IF(COUNT(R395:W395)=6,SUM(R395:W395),"ko‘rilmagan")</f>
        <v>ko‘rilmagan</v>
      </c>
      <c r="Y395" s="12"/>
    </row>
    <row r="396" customFormat="false" ht="23.85" hidden="false" customHeight="false" outlineLevel="0" collapsed="false">
      <c r="A396" s="6" t="s">
        <v>2612</v>
      </c>
      <c r="B396" s="6" t="s">
        <v>602</v>
      </c>
      <c r="C396" s="6"/>
      <c r="D396" s="6" t="str">
        <f aca="false">IFERROR(INDEX(Mundarija!$D:$D,MATCH(B396,Mundarija!$A:$A,0)),"kod topilmadi")</f>
        <v>33.3. Diagnostik xatolar, tuzoqlar va klinik holatlarni tahlil qilish.</v>
      </c>
      <c r="E396" s="6" t="s">
        <v>2613</v>
      </c>
      <c r="F396" s="11" t="s">
        <v>2614</v>
      </c>
      <c r="G396" s="6" t="s">
        <v>2615</v>
      </c>
      <c r="H396" s="6" t="s">
        <v>2616</v>
      </c>
      <c r="I396" s="6" t="s">
        <v>877</v>
      </c>
      <c r="J396" s="6" t="s">
        <v>877</v>
      </c>
      <c r="K396" s="6" t="s">
        <v>878</v>
      </c>
      <c r="L396" s="6" t="s">
        <v>904</v>
      </c>
      <c r="M396" s="6" t="s">
        <v>912</v>
      </c>
      <c r="N396" s="12" t="s">
        <v>881</v>
      </c>
      <c r="O396" s="6" t="s">
        <v>882</v>
      </c>
      <c r="P396" s="6" t="s">
        <v>2</v>
      </c>
      <c r="Q396" s="6" t="s">
        <v>20</v>
      </c>
      <c r="R396" s="12"/>
      <c r="S396" s="12"/>
      <c r="T396" s="12"/>
      <c r="U396" s="12"/>
      <c r="V396" s="12"/>
      <c r="W396" s="12"/>
      <c r="X396" s="6" t="str">
        <f aca="false">IF(COUNT(R396:W396)=6,SUM(R396:W396),"ko‘rilmagan")</f>
        <v>ko‘rilmagan</v>
      </c>
      <c r="Y396" s="12"/>
    </row>
    <row r="397" customFormat="false" ht="23.85" hidden="false" customHeight="false" outlineLevel="0" collapsed="false">
      <c r="A397" s="6" t="s">
        <v>2617</v>
      </c>
      <c r="B397" s="6" t="s">
        <v>610</v>
      </c>
      <c r="C397" s="6"/>
      <c r="D397" s="6" t="str">
        <f aca="false">IFERROR(INDEX(Mundarija!$D:$D,MATCH(B397,Mundarija!$A:$A,0)),"kod topilmadi")</f>
        <v>33.7. Dalillarga asoslangan tibbiyot va klinik tavsiyalarni tekshirish.</v>
      </c>
      <c r="E397" s="6" t="s">
        <v>2618</v>
      </c>
      <c r="F397" s="11" t="s">
        <v>2619</v>
      </c>
      <c r="G397" s="6" t="s">
        <v>2620</v>
      </c>
      <c r="H397" s="6" t="s">
        <v>2621</v>
      </c>
      <c r="I397" s="6" t="s">
        <v>877</v>
      </c>
      <c r="J397" s="6" t="s">
        <v>877</v>
      </c>
      <c r="K397" s="6" t="s">
        <v>878</v>
      </c>
      <c r="L397" s="6" t="s">
        <v>904</v>
      </c>
      <c r="M397" s="6" t="s">
        <v>912</v>
      </c>
      <c r="N397" s="12" t="s">
        <v>881</v>
      </c>
      <c r="O397" s="6" t="s">
        <v>882</v>
      </c>
      <c r="P397" s="6" t="s">
        <v>2</v>
      </c>
      <c r="Q397" s="6" t="s">
        <v>20</v>
      </c>
      <c r="R397" s="12"/>
      <c r="S397" s="12"/>
      <c r="T397" s="12"/>
      <c r="U397" s="12"/>
      <c r="V397" s="12"/>
      <c r="W397" s="12"/>
      <c r="X397" s="6" t="str">
        <f aca="false">IF(COUNT(R397:W397)=6,SUM(R397:W397),"ko‘rilmagan")</f>
        <v>ko‘rilmagan</v>
      </c>
      <c r="Y397" s="12"/>
    </row>
    <row r="398" customFormat="false" ht="23.85" hidden="false" customHeight="false" outlineLevel="0" collapsed="false">
      <c r="A398" s="6" t="s">
        <v>2622</v>
      </c>
      <c r="B398" s="6" t="s">
        <v>610</v>
      </c>
      <c r="C398" s="6"/>
      <c r="D398" s="6" t="str">
        <f aca="false">IFERROR(INDEX(Mundarija!$D:$D,MATCH(B398,Mundarija!$A:$A,0)),"kod topilmadi")</f>
        <v>33.7. Dalillarga asoslangan tibbiyot va klinik tavsiyalarni tekshirish.</v>
      </c>
      <c r="E398" s="6" t="s">
        <v>2623</v>
      </c>
      <c r="F398" s="11" t="s">
        <v>2624</v>
      </c>
      <c r="G398" s="6" t="s">
        <v>2625</v>
      </c>
      <c r="H398" s="6" t="s">
        <v>2626</v>
      </c>
      <c r="I398" s="6" t="s">
        <v>877</v>
      </c>
      <c r="J398" s="6" t="s">
        <v>877</v>
      </c>
      <c r="K398" s="6" t="s">
        <v>878</v>
      </c>
      <c r="L398" s="6" t="s">
        <v>879</v>
      </c>
      <c r="M398" s="6" t="s">
        <v>912</v>
      </c>
      <c r="N398" s="12" t="s">
        <v>881</v>
      </c>
      <c r="O398" s="6" t="s">
        <v>882</v>
      </c>
      <c r="P398" s="6" t="s">
        <v>2</v>
      </c>
      <c r="Q398" s="6" t="s">
        <v>20</v>
      </c>
      <c r="R398" s="12"/>
      <c r="S398" s="12"/>
      <c r="T398" s="12"/>
      <c r="U398" s="12"/>
      <c r="V398" s="12"/>
      <c r="W398" s="12"/>
      <c r="X398" s="6" t="str">
        <f aca="false">IF(COUNT(R398:W398)=6,SUM(R398:W398),"ko‘rilmagan")</f>
        <v>ko‘rilmagan</v>
      </c>
      <c r="Y398" s="12"/>
    </row>
    <row r="399" customFormat="false" ht="23.85" hidden="false" customHeight="false" outlineLevel="0" collapsed="false">
      <c r="A399" s="6" t="s">
        <v>2627</v>
      </c>
      <c r="B399" s="6" t="s">
        <v>610</v>
      </c>
      <c r="C399" s="6"/>
      <c r="D399" s="6" t="str">
        <f aca="false">IFERROR(INDEX(Mundarija!$D:$D,MATCH(B399,Mundarija!$A:$A,0)),"kod topilmadi")</f>
        <v>33.7. Dalillarga asoslangan tibbiyot va klinik tavsiyalarni tekshirish.</v>
      </c>
      <c r="E399" s="6" t="s">
        <v>2628</v>
      </c>
      <c r="F399" s="11" t="s">
        <v>2629</v>
      </c>
      <c r="G399" s="6" t="s">
        <v>2630</v>
      </c>
      <c r="H399" s="6" t="s">
        <v>2631</v>
      </c>
      <c r="I399" s="6" t="s">
        <v>877</v>
      </c>
      <c r="J399" s="6" t="s">
        <v>877</v>
      </c>
      <c r="K399" s="6" t="s">
        <v>878</v>
      </c>
      <c r="L399" s="6" t="s">
        <v>904</v>
      </c>
      <c r="M399" s="6" t="s">
        <v>912</v>
      </c>
      <c r="N399" s="12" t="s">
        <v>881</v>
      </c>
      <c r="O399" s="6" t="s">
        <v>882</v>
      </c>
      <c r="P399" s="6" t="s">
        <v>2</v>
      </c>
      <c r="Q399" s="6" t="s">
        <v>20</v>
      </c>
      <c r="R399" s="12"/>
      <c r="S399" s="12"/>
      <c r="T399" s="12"/>
      <c r="U399" s="12"/>
      <c r="V399" s="12"/>
      <c r="W399" s="12"/>
      <c r="X399" s="6" t="str">
        <f aca="false">IF(COUNT(R399:W399)=6,SUM(R399:W399),"ko‘rilmagan")</f>
        <v>ko‘rilmagan</v>
      </c>
      <c r="Y399" s="12"/>
    </row>
    <row r="400" customFormat="false" ht="23.85" hidden="false" customHeight="false" outlineLevel="0" collapsed="false">
      <c r="A400" s="6" t="s">
        <v>2632</v>
      </c>
      <c r="B400" s="6" t="s">
        <v>82</v>
      </c>
      <c r="C400" s="6"/>
      <c r="D400" s="6" t="str">
        <f aca="false">IFERROR(INDEX(Mundarija!$D:$D,MATCH(B400,Mundarija!$A:$A,0)),"kod topilmadi")</f>
        <v>3.5. Turli a’zolar uchun boshlang‘ich sozlamalar.</v>
      </c>
      <c r="E400" s="6" t="s">
        <v>2633</v>
      </c>
      <c r="F400" s="11" t="s">
        <v>2634</v>
      </c>
      <c r="G400" s="6" t="s">
        <v>2352</v>
      </c>
      <c r="H400" s="6" t="s">
        <v>2353</v>
      </c>
      <c r="I400" s="6" t="s">
        <v>877</v>
      </c>
      <c r="J400" s="6" t="s">
        <v>877</v>
      </c>
      <c r="K400" s="6" t="s">
        <v>878</v>
      </c>
      <c r="L400" s="6" t="s">
        <v>879</v>
      </c>
      <c r="M400" s="6" t="s">
        <v>891</v>
      </c>
      <c r="N400" s="12" t="s">
        <v>881</v>
      </c>
      <c r="O400" s="6" t="s">
        <v>882</v>
      </c>
      <c r="P400" s="6" t="s">
        <v>2</v>
      </c>
      <c r="Q400" s="6" t="s">
        <v>20</v>
      </c>
      <c r="R400" s="12"/>
      <c r="S400" s="12"/>
      <c r="T400" s="12"/>
      <c r="U400" s="12"/>
      <c r="V400" s="12"/>
      <c r="W400" s="12"/>
      <c r="X400" s="6" t="str">
        <f aca="false">IF(COUNT(R400:W400)=6,SUM(R400:W400),"ko‘rilmagan")</f>
        <v>ko‘rilmagan</v>
      </c>
      <c r="Y400" s="12"/>
    </row>
    <row r="401" customFormat="false" ht="23.85" hidden="false" customHeight="false" outlineLevel="0" collapsed="false">
      <c r="A401" s="6" t="s">
        <v>2635</v>
      </c>
      <c r="B401" s="6" t="s">
        <v>82</v>
      </c>
      <c r="C401" s="6"/>
      <c r="D401" s="6" t="str">
        <f aca="false">IFERROR(INDEX(Mundarija!$D:$D,MATCH(B401,Mundarija!$A:$A,0)),"kod topilmadi")</f>
        <v>3.5. Turli a’zolar uchun boshlang‘ich sozlamalar.</v>
      </c>
      <c r="E401" s="6" t="s">
        <v>2636</v>
      </c>
      <c r="F401" s="11" t="s">
        <v>2637</v>
      </c>
      <c r="G401" s="6" t="s">
        <v>1318</v>
      </c>
      <c r="H401" s="6" t="s">
        <v>2304</v>
      </c>
      <c r="I401" s="6" t="s">
        <v>877</v>
      </c>
      <c r="J401" s="6" t="s">
        <v>877</v>
      </c>
      <c r="K401" s="6" t="s">
        <v>878</v>
      </c>
      <c r="L401" s="6" t="s">
        <v>879</v>
      </c>
      <c r="M401" s="6" t="s">
        <v>891</v>
      </c>
      <c r="N401" s="12" t="s">
        <v>881</v>
      </c>
      <c r="O401" s="6" t="s">
        <v>882</v>
      </c>
      <c r="P401" s="6" t="s">
        <v>2</v>
      </c>
      <c r="Q401" s="6" t="s">
        <v>20</v>
      </c>
      <c r="R401" s="12"/>
      <c r="S401" s="12"/>
      <c r="T401" s="12"/>
      <c r="U401" s="12"/>
      <c r="V401" s="12"/>
      <c r="W401" s="12"/>
      <c r="X401" s="6" t="str">
        <f aca="false">IF(COUNT(R401:W401)=6,SUM(R401:W401),"ko‘rilmagan")</f>
        <v>ko‘rilmagan</v>
      </c>
      <c r="Y401" s="12"/>
    </row>
    <row r="402" customFormat="false" ht="23.85" hidden="false" customHeight="false" outlineLevel="0" collapsed="false">
      <c r="A402" s="6" t="s">
        <v>2638</v>
      </c>
      <c r="B402" s="6" t="s">
        <v>82</v>
      </c>
      <c r="C402" s="6"/>
      <c r="D402" s="6" t="str">
        <f aca="false">IFERROR(INDEX(Mundarija!$D:$D,MATCH(B402,Mundarija!$A:$A,0)),"kod topilmadi")</f>
        <v>3.5. Turli a’zolar uchun boshlang‘ich sozlamalar.</v>
      </c>
      <c r="E402" s="6" t="s">
        <v>2639</v>
      </c>
      <c r="F402" s="11" t="s">
        <v>2640</v>
      </c>
      <c r="G402" s="6" t="s">
        <v>1318</v>
      </c>
      <c r="H402" s="6" t="s">
        <v>2304</v>
      </c>
      <c r="I402" s="6" t="s">
        <v>877</v>
      </c>
      <c r="J402" s="6" t="s">
        <v>877</v>
      </c>
      <c r="K402" s="6" t="s">
        <v>878</v>
      </c>
      <c r="L402" s="6" t="s">
        <v>879</v>
      </c>
      <c r="M402" s="6" t="s">
        <v>891</v>
      </c>
      <c r="N402" s="12" t="s">
        <v>881</v>
      </c>
      <c r="O402" s="6" t="s">
        <v>882</v>
      </c>
      <c r="P402" s="6" t="s">
        <v>2</v>
      </c>
      <c r="Q402" s="6" t="s">
        <v>20</v>
      </c>
      <c r="R402" s="12"/>
      <c r="S402" s="12"/>
      <c r="T402" s="12"/>
      <c r="U402" s="12"/>
      <c r="V402" s="12"/>
      <c r="W402" s="12"/>
      <c r="X402" s="6" t="str">
        <f aca="false">IF(COUNT(R402:W402)=6,SUM(R402:W402),"ko‘rilmagan")</f>
        <v>ko‘rilmagan</v>
      </c>
      <c r="Y402" s="12"/>
    </row>
    <row r="403" customFormat="false" ht="23.85" hidden="false" customHeight="false" outlineLevel="0" collapsed="false">
      <c r="A403" s="6" t="s">
        <v>2641</v>
      </c>
      <c r="B403" s="6" t="s">
        <v>131</v>
      </c>
      <c r="C403" s="6"/>
      <c r="D403" s="6" t="str">
        <f aca="false">IFERROR(INDEX(Mundarija!$D:$D,MATCH(B403,Mundarija!$A:$A,0)),"kod topilmadi")</f>
        <v>7.1. Anamnez, klinik savol va yo‘llanmani tahlil qilish.</v>
      </c>
      <c r="E403" s="6" t="s">
        <v>2642</v>
      </c>
      <c r="F403" s="11" t="s">
        <v>2643</v>
      </c>
      <c r="G403" s="6" t="s">
        <v>2644</v>
      </c>
      <c r="H403" s="6" t="s">
        <v>2645</v>
      </c>
      <c r="I403" s="6" t="s">
        <v>877</v>
      </c>
      <c r="J403" s="6" t="s">
        <v>877</v>
      </c>
      <c r="K403" s="6" t="s">
        <v>878</v>
      </c>
      <c r="L403" s="6" t="s">
        <v>879</v>
      </c>
      <c r="M403" s="6" t="s">
        <v>912</v>
      </c>
      <c r="N403" s="12" t="s">
        <v>881</v>
      </c>
      <c r="O403" s="6" t="s">
        <v>882</v>
      </c>
      <c r="P403" s="6" t="s">
        <v>2</v>
      </c>
      <c r="Q403" s="6" t="s">
        <v>20</v>
      </c>
      <c r="R403" s="12"/>
      <c r="S403" s="12"/>
      <c r="T403" s="12"/>
      <c r="U403" s="12"/>
      <c r="V403" s="12"/>
      <c r="W403" s="12"/>
      <c r="X403" s="6" t="str">
        <f aca="false">IF(COUNT(R403:W403)=6,SUM(R403:W403),"ko‘rilmagan")</f>
        <v>ko‘rilmagan</v>
      </c>
      <c r="Y403" s="12"/>
    </row>
    <row r="404" customFormat="false" ht="23.85" hidden="false" customHeight="false" outlineLevel="0" collapsed="false">
      <c r="A404" s="6" t="s">
        <v>2646</v>
      </c>
      <c r="B404" s="6" t="s">
        <v>169</v>
      </c>
      <c r="C404" s="6"/>
      <c r="D404" s="6" t="str">
        <f aca="false">IFERROR(INDEX(Mundarija!$D:$D,MATCH(B404,Mundarija!$A:$A,0)),"kod topilmadi")</f>
        <v>9.6. Cheklovlar, tasodifiy topilmalar va shoshilinch belgilar.</v>
      </c>
      <c r="E404" s="6" t="s">
        <v>2647</v>
      </c>
      <c r="F404" s="11" t="s">
        <v>2648</v>
      </c>
      <c r="G404" s="6" t="s">
        <v>2649</v>
      </c>
      <c r="H404" s="6" t="s">
        <v>2650</v>
      </c>
      <c r="I404" s="6" t="s">
        <v>877</v>
      </c>
      <c r="J404" s="6" t="s">
        <v>877</v>
      </c>
      <c r="K404" s="6" t="s">
        <v>878</v>
      </c>
      <c r="L404" s="6" t="s">
        <v>904</v>
      </c>
      <c r="M404" s="6" t="s">
        <v>912</v>
      </c>
      <c r="N404" s="12" t="s">
        <v>881</v>
      </c>
      <c r="O404" s="6" t="s">
        <v>882</v>
      </c>
      <c r="P404" s="6" t="s">
        <v>2</v>
      </c>
      <c r="Q404" s="6" t="s">
        <v>20</v>
      </c>
      <c r="R404" s="12"/>
      <c r="S404" s="12"/>
      <c r="T404" s="12"/>
      <c r="U404" s="12"/>
      <c r="V404" s="12"/>
      <c r="W404" s="12"/>
      <c r="X404" s="6" t="str">
        <f aca="false">IF(COUNT(R404:W404)=6,SUM(R404:W404),"ko‘rilmagan")</f>
        <v>ko‘rilmagan</v>
      </c>
      <c r="Y404" s="12"/>
    </row>
    <row r="405" customFormat="false" ht="23.85" hidden="false" customHeight="false" outlineLevel="0" collapsed="false">
      <c r="A405" s="6" t="s">
        <v>2651</v>
      </c>
      <c r="B405" s="6" t="s">
        <v>169</v>
      </c>
      <c r="C405" s="6"/>
      <c r="D405" s="6" t="str">
        <f aca="false">IFERROR(INDEX(Mundarija!$D:$D,MATCH(B405,Mundarija!$A:$A,0)),"kod topilmadi")</f>
        <v>9.6. Cheklovlar, tasodifiy topilmalar va shoshilinch belgilar.</v>
      </c>
      <c r="E405" s="6" t="s">
        <v>2652</v>
      </c>
      <c r="F405" s="11" t="s">
        <v>2653</v>
      </c>
      <c r="G405" s="6" t="s">
        <v>1300</v>
      </c>
      <c r="H405" s="6" t="s">
        <v>2654</v>
      </c>
      <c r="I405" s="6" t="s">
        <v>877</v>
      </c>
      <c r="J405" s="6" t="s">
        <v>877</v>
      </c>
      <c r="K405" s="6" t="s">
        <v>878</v>
      </c>
      <c r="L405" s="6" t="s">
        <v>904</v>
      </c>
      <c r="M405" s="6" t="s">
        <v>912</v>
      </c>
      <c r="N405" s="12" t="s">
        <v>881</v>
      </c>
      <c r="O405" s="6" t="s">
        <v>882</v>
      </c>
      <c r="P405" s="6" t="s">
        <v>2</v>
      </c>
      <c r="Q405" s="6" t="s">
        <v>20</v>
      </c>
      <c r="R405" s="12"/>
      <c r="S405" s="12"/>
      <c r="T405" s="12"/>
      <c r="U405" s="12"/>
      <c r="V405" s="12"/>
      <c r="W405" s="12"/>
      <c r="X405" s="6" t="str">
        <f aca="false">IF(COUNT(R405:W405)=6,SUM(R405:W405),"ko‘rilmagan")</f>
        <v>ko‘rilmagan</v>
      </c>
      <c r="Y405" s="12"/>
    </row>
    <row r="406" customFormat="false" ht="23.85" hidden="false" customHeight="false" outlineLevel="0" collapsed="false">
      <c r="A406" s="6" t="s">
        <v>2655</v>
      </c>
      <c r="B406" s="6" t="s">
        <v>169</v>
      </c>
      <c r="C406" s="6"/>
      <c r="D406" s="6" t="str">
        <f aca="false">IFERROR(INDEX(Mundarija!$D:$D,MATCH(B406,Mundarija!$A:$A,0)),"kod topilmadi")</f>
        <v>9.6. Cheklovlar, tasodifiy topilmalar va shoshilinch belgilar.</v>
      </c>
      <c r="E406" s="6" t="s">
        <v>2656</v>
      </c>
      <c r="F406" s="11" t="s">
        <v>2657</v>
      </c>
      <c r="G406" s="6" t="s">
        <v>2658</v>
      </c>
      <c r="H406" s="6" t="s">
        <v>2659</v>
      </c>
      <c r="I406" s="6" t="s">
        <v>877</v>
      </c>
      <c r="J406" s="6" t="s">
        <v>877</v>
      </c>
      <c r="K406" s="6" t="s">
        <v>878</v>
      </c>
      <c r="L406" s="6" t="s">
        <v>904</v>
      </c>
      <c r="M406" s="6" t="s">
        <v>912</v>
      </c>
      <c r="N406" s="12" t="s">
        <v>881</v>
      </c>
      <c r="O406" s="6" t="s">
        <v>882</v>
      </c>
      <c r="P406" s="6" t="s">
        <v>2</v>
      </c>
      <c r="Q406" s="6" t="s">
        <v>20</v>
      </c>
      <c r="R406" s="12"/>
      <c r="S406" s="12"/>
      <c r="T406" s="12"/>
      <c r="U406" s="12"/>
      <c r="V406" s="12"/>
      <c r="W406" s="12"/>
      <c r="X406" s="6" t="str">
        <f aca="false">IF(COUNT(R406:W406)=6,SUM(R406:W406),"ko‘rilmagan")</f>
        <v>ko‘rilmagan</v>
      </c>
      <c r="Y406" s="12"/>
    </row>
    <row r="407" customFormat="false" ht="23.85" hidden="false" customHeight="false" outlineLevel="0" collapsed="false">
      <c r="A407" s="6" t="s">
        <v>2660</v>
      </c>
      <c r="B407" s="6" t="s">
        <v>204</v>
      </c>
      <c r="C407" s="6"/>
      <c r="D407" s="6" t="str">
        <f aca="false">IFERROR(INDEX(Mundarija!$D:$D,MATCH(B407,Mundarija!$A:$A,0)),"kod topilmadi")</f>
        <v>11.5. Intrahepatik va ekstrahepatik o‘t yo‘llari kengayishi.</v>
      </c>
      <c r="E407" s="6" t="s">
        <v>2661</v>
      </c>
      <c r="F407" s="11" t="s">
        <v>2662</v>
      </c>
      <c r="G407" s="6" t="s">
        <v>2663</v>
      </c>
      <c r="H407" s="6" t="s">
        <v>2664</v>
      </c>
      <c r="I407" s="6" t="s">
        <v>877</v>
      </c>
      <c r="J407" s="6" t="s">
        <v>877</v>
      </c>
      <c r="K407" s="6" t="s">
        <v>878</v>
      </c>
      <c r="L407" s="6" t="s">
        <v>879</v>
      </c>
      <c r="M407" s="6" t="s">
        <v>1713</v>
      </c>
      <c r="N407" s="12" t="s">
        <v>881</v>
      </c>
      <c r="O407" s="6" t="s">
        <v>882</v>
      </c>
      <c r="P407" s="6" t="s">
        <v>2</v>
      </c>
      <c r="Q407" s="6" t="s">
        <v>20</v>
      </c>
      <c r="R407" s="12"/>
      <c r="S407" s="12"/>
      <c r="T407" s="12"/>
      <c r="U407" s="12"/>
      <c r="V407" s="12"/>
      <c r="W407" s="12"/>
      <c r="X407" s="6" t="str">
        <f aca="false">IF(COUNT(R407:W407)=6,SUM(R407:W407),"ko‘rilmagan")</f>
        <v>ko‘rilmagan</v>
      </c>
      <c r="Y407" s="12"/>
    </row>
    <row r="408" customFormat="false" ht="23.85" hidden="false" customHeight="false" outlineLevel="0" collapsed="false">
      <c r="A408" s="6" t="s">
        <v>2665</v>
      </c>
      <c r="B408" s="6" t="s">
        <v>204</v>
      </c>
      <c r="C408" s="6"/>
      <c r="D408" s="6" t="str">
        <f aca="false">IFERROR(INDEX(Mundarija!$D:$D,MATCH(B408,Mundarija!$A:$A,0)),"kod topilmadi")</f>
        <v>11.5. Intrahepatik va ekstrahepatik o‘t yo‘llari kengayishi.</v>
      </c>
      <c r="E408" s="6" t="s">
        <v>2666</v>
      </c>
      <c r="F408" s="11" t="s">
        <v>2667</v>
      </c>
      <c r="G408" s="6" t="s">
        <v>1679</v>
      </c>
      <c r="H408" s="6" t="s">
        <v>2668</v>
      </c>
      <c r="I408" s="6" t="s">
        <v>877</v>
      </c>
      <c r="J408" s="6" t="s">
        <v>877</v>
      </c>
      <c r="K408" s="6" t="s">
        <v>878</v>
      </c>
      <c r="L408" s="6" t="s">
        <v>879</v>
      </c>
      <c r="M408" s="6" t="s">
        <v>1713</v>
      </c>
      <c r="N408" s="12" t="s">
        <v>881</v>
      </c>
      <c r="O408" s="6" t="s">
        <v>882</v>
      </c>
      <c r="P408" s="6" t="s">
        <v>2</v>
      </c>
      <c r="Q408" s="6" t="s">
        <v>20</v>
      </c>
      <c r="R408" s="12"/>
      <c r="S408" s="12"/>
      <c r="T408" s="12"/>
      <c r="U408" s="12"/>
      <c r="V408" s="12"/>
      <c r="W408" s="12"/>
      <c r="X408" s="6" t="str">
        <f aca="false">IF(COUNT(R408:W408)=6,SUM(R408:W408),"ko‘rilmagan")</f>
        <v>ko‘rilmagan</v>
      </c>
      <c r="Y408" s="12"/>
    </row>
    <row r="409" customFormat="false" ht="23.85" hidden="false" customHeight="false" outlineLevel="0" collapsed="false">
      <c r="A409" s="6" t="s">
        <v>2669</v>
      </c>
      <c r="B409" s="6" t="s">
        <v>204</v>
      </c>
      <c r="C409" s="6" t="s">
        <v>208</v>
      </c>
      <c r="D409" s="6" t="str">
        <f aca="false">IFERROR(INDEX(Mundarija!$D:$D,MATCH(B409,Mundarija!$A:$A,0)),"kod topilmadi")</f>
        <v>11.5. Intrahepatik va ekstrahepatik o‘t yo‘llari kengayishi.</v>
      </c>
      <c r="E409" s="6" t="s">
        <v>2670</v>
      </c>
      <c r="F409" s="11" t="s">
        <v>2671</v>
      </c>
      <c r="G409" s="6" t="s">
        <v>2672</v>
      </c>
      <c r="H409" s="6" t="s">
        <v>2673</v>
      </c>
      <c r="I409" s="6" t="s">
        <v>877</v>
      </c>
      <c r="J409" s="6" t="s">
        <v>877</v>
      </c>
      <c r="K409" s="6" t="s">
        <v>878</v>
      </c>
      <c r="L409" s="6" t="s">
        <v>879</v>
      </c>
      <c r="M409" s="6" t="s">
        <v>912</v>
      </c>
      <c r="N409" s="12" t="s">
        <v>881</v>
      </c>
      <c r="O409" s="6" t="s">
        <v>882</v>
      </c>
      <c r="P409" s="6" t="s">
        <v>2</v>
      </c>
      <c r="Q409" s="6" t="s">
        <v>20</v>
      </c>
      <c r="R409" s="12"/>
      <c r="S409" s="12"/>
      <c r="T409" s="12"/>
      <c r="U409" s="12"/>
      <c r="V409" s="12"/>
      <c r="W409" s="12"/>
      <c r="X409" s="6" t="str">
        <f aca="false">IF(COUNT(R409:W409)=6,SUM(R409:W409),"ko‘rilmagan")</f>
        <v>ko‘rilmagan</v>
      </c>
      <c r="Y409" s="12"/>
    </row>
    <row r="410" customFormat="false" ht="23.85" hidden="false" customHeight="false" outlineLevel="0" collapsed="false">
      <c r="A410" s="6" t="s">
        <v>2674</v>
      </c>
      <c r="B410" s="6" t="s">
        <v>208</v>
      </c>
      <c r="C410" s="6"/>
      <c r="D410" s="6" t="str">
        <f aca="false">IFERROR(INDEX(Mundarija!$D:$D,MATCH(B410,Mundarija!$A:$A,0)),"kod topilmadi")</f>
        <v>11.7. Mexanik sariqlikning sonografik sabablari.</v>
      </c>
      <c r="E410" s="6" t="s">
        <v>2675</v>
      </c>
      <c r="F410" s="11" t="s">
        <v>2676</v>
      </c>
      <c r="G410" s="6" t="s">
        <v>1269</v>
      </c>
      <c r="H410" s="6" t="s">
        <v>1733</v>
      </c>
      <c r="I410" s="6" t="s">
        <v>877</v>
      </c>
      <c r="J410" s="6" t="s">
        <v>877</v>
      </c>
      <c r="K410" s="6" t="s">
        <v>878</v>
      </c>
      <c r="L410" s="6" t="s">
        <v>904</v>
      </c>
      <c r="M410" s="6" t="s">
        <v>1713</v>
      </c>
      <c r="N410" s="12" t="s">
        <v>881</v>
      </c>
      <c r="O410" s="6" t="s">
        <v>882</v>
      </c>
      <c r="P410" s="6" t="s">
        <v>2</v>
      </c>
      <c r="Q410" s="6" t="s">
        <v>20</v>
      </c>
      <c r="R410" s="12"/>
      <c r="S410" s="12"/>
      <c r="T410" s="12"/>
      <c r="U410" s="12"/>
      <c r="V410" s="12"/>
      <c r="W410" s="12"/>
      <c r="X410" s="6" t="str">
        <f aca="false">IF(COUNT(R410:W410)=6,SUM(R410:W410),"ko‘rilmagan")</f>
        <v>ko‘rilmagan</v>
      </c>
      <c r="Y410" s="12"/>
    </row>
    <row r="411" customFormat="false" ht="23.85" hidden="false" customHeight="false" outlineLevel="0" collapsed="false">
      <c r="A411" s="6" t="s">
        <v>2677</v>
      </c>
      <c r="B411" s="6" t="s">
        <v>208</v>
      </c>
      <c r="C411" s="6"/>
      <c r="D411" s="6" t="str">
        <f aca="false">IFERROR(INDEX(Mundarija!$D:$D,MATCH(B411,Mundarija!$A:$A,0)),"kod topilmadi")</f>
        <v>11.7. Mexanik sariqlikning sonografik sabablari.</v>
      </c>
      <c r="E411" s="6" t="s">
        <v>2678</v>
      </c>
      <c r="F411" s="11" t="s">
        <v>2679</v>
      </c>
      <c r="G411" s="6" t="s">
        <v>1863</v>
      </c>
      <c r="H411" s="6" t="s">
        <v>2680</v>
      </c>
      <c r="I411" s="6" t="s">
        <v>877</v>
      </c>
      <c r="J411" s="6" t="s">
        <v>877</v>
      </c>
      <c r="K411" s="6" t="s">
        <v>878</v>
      </c>
      <c r="L411" s="6" t="s">
        <v>879</v>
      </c>
      <c r="M411" s="6" t="s">
        <v>1713</v>
      </c>
      <c r="N411" s="12" t="s">
        <v>881</v>
      </c>
      <c r="O411" s="6" t="s">
        <v>882</v>
      </c>
      <c r="P411" s="6" t="s">
        <v>2</v>
      </c>
      <c r="Q411" s="6" t="s">
        <v>20</v>
      </c>
      <c r="R411" s="12"/>
      <c r="S411" s="12"/>
      <c r="T411" s="12"/>
      <c r="U411" s="12"/>
      <c r="V411" s="12"/>
      <c r="W411" s="12"/>
      <c r="X411" s="6" t="str">
        <f aca="false">IF(COUNT(R411:W411)=6,SUM(R411:W411),"ko‘rilmagan")</f>
        <v>ko‘rilmagan</v>
      </c>
      <c r="Y411" s="12"/>
    </row>
    <row r="412" customFormat="false" ht="23.85" hidden="false" customHeight="false" outlineLevel="0" collapsed="false">
      <c r="A412" s="6" t="s">
        <v>2681</v>
      </c>
      <c r="B412" s="6" t="s">
        <v>210</v>
      </c>
      <c r="C412" s="6" t="s">
        <v>204</v>
      </c>
      <c r="D412" s="6" t="str">
        <f aca="false">IFERROR(INDEX(Mundarija!$D:$D,MATCH(B412,Mundarija!$A:$A,0)),"kod topilmadi")</f>
        <v>11.8. O‘t yo‘llari kasalliklarida differensial diagnostika.</v>
      </c>
      <c r="E412" s="6" t="s">
        <v>2682</v>
      </c>
      <c r="F412" s="11" t="s">
        <v>2683</v>
      </c>
      <c r="G412" s="6" t="s">
        <v>1259</v>
      </c>
      <c r="H412" s="6" t="s">
        <v>2332</v>
      </c>
      <c r="I412" s="6" t="s">
        <v>877</v>
      </c>
      <c r="J412" s="6" t="s">
        <v>877</v>
      </c>
      <c r="K412" s="6" t="s">
        <v>878</v>
      </c>
      <c r="L412" s="6" t="s">
        <v>879</v>
      </c>
      <c r="M412" s="6" t="s">
        <v>1713</v>
      </c>
      <c r="N412" s="12" t="s">
        <v>881</v>
      </c>
      <c r="O412" s="6" t="s">
        <v>882</v>
      </c>
      <c r="P412" s="6" t="s">
        <v>2</v>
      </c>
      <c r="Q412" s="6" t="s">
        <v>20</v>
      </c>
      <c r="R412" s="12"/>
      <c r="S412" s="12"/>
      <c r="T412" s="12"/>
      <c r="U412" s="12"/>
      <c r="V412" s="12"/>
      <c r="W412" s="12"/>
      <c r="X412" s="6" t="str">
        <f aca="false">IF(COUNT(R412:W412)=6,SUM(R412:W412),"ko‘rilmagan")</f>
        <v>ko‘rilmagan</v>
      </c>
      <c r="Y412" s="12"/>
    </row>
    <row r="413" customFormat="false" ht="23.85" hidden="false" customHeight="false" outlineLevel="0" collapsed="false">
      <c r="A413" s="6" t="s">
        <v>2684</v>
      </c>
      <c r="B413" s="6" t="s">
        <v>217</v>
      </c>
      <c r="C413" s="6"/>
      <c r="D413" s="6" t="str">
        <f aca="false">IFERROR(INDEX(Mundarija!$D:$D,MATCH(B413,Mundarija!$A:$A,0)),"kod topilmadi")</f>
        <v>12.3. Psevdokista va boshqa suyuqlikli hosilalar.</v>
      </c>
      <c r="E413" s="6" t="s">
        <v>2685</v>
      </c>
      <c r="F413" s="11" t="s">
        <v>2686</v>
      </c>
      <c r="G413" s="6" t="s">
        <v>2687</v>
      </c>
      <c r="H413" s="6" t="s">
        <v>2688</v>
      </c>
      <c r="I413" s="6" t="s">
        <v>877</v>
      </c>
      <c r="J413" s="6" t="s">
        <v>877</v>
      </c>
      <c r="K413" s="6" t="s">
        <v>878</v>
      </c>
      <c r="L413" s="6" t="s">
        <v>904</v>
      </c>
      <c r="M413" s="6" t="s">
        <v>912</v>
      </c>
      <c r="N413" s="12" t="s">
        <v>881</v>
      </c>
      <c r="O413" s="6" t="s">
        <v>882</v>
      </c>
      <c r="P413" s="6" t="s">
        <v>2</v>
      </c>
      <c r="Q413" s="6" t="s">
        <v>20</v>
      </c>
      <c r="R413" s="12"/>
      <c r="S413" s="12"/>
      <c r="T413" s="12"/>
      <c r="U413" s="12"/>
      <c r="V413" s="12"/>
      <c r="W413" s="12"/>
      <c r="X413" s="6" t="str">
        <f aca="false">IF(COUNT(R413:W413)=6,SUM(R413:W413),"ko‘rilmagan")</f>
        <v>ko‘rilmagan</v>
      </c>
      <c r="Y413" s="12"/>
    </row>
    <row r="414" customFormat="false" ht="23.85" hidden="false" customHeight="false" outlineLevel="0" collapsed="false">
      <c r="A414" s="6" t="s">
        <v>2689</v>
      </c>
      <c r="B414" s="6" t="s">
        <v>219</v>
      </c>
      <c r="C414" s="6" t="s">
        <v>208</v>
      </c>
      <c r="D414" s="6" t="str">
        <f aca="false">IFERROR(INDEX(Mundarija!$D:$D,MATCH(B414,Mundarija!$A:$A,0)),"kod topilmadi")</f>
        <v>12.4. Pankreas o‘smalari va kengaygan pankreatik yo‘l.</v>
      </c>
      <c r="E414" s="6" t="s">
        <v>2690</v>
      </c>
      <c r="F414" s="11" t="s">
        <v>2691</v>
      </c>
      <c r="G414" s="6" t="s">
        <v>1834</v>
      </c>
      <c r="H414" s="6" t="s">
        <v>2692</v>
      </c>
      <c r="I414" s="6" t="s">
        <v>877</v>
      </c>
      <c r="J414" s="6" t="s">
        <v>877</v>
      </c>
      <c r="K414" s="6" t="s">
        <v>878</v>
      </c>
      <c r="L414" s="6" t="s">
        <v>904</v>
      </c>
      <c r="M414" s="6" t="s">
        <v>1713</v>
      </c>
      <c r="N414" s="12" t="s">
        <v>881</v>
      </c>
      <c r="O414" s="6" t="s">
        <v>882</v>
      </c>
      <c r="P414" s="6" t="s">
        <v>2</v>
      </c>
      <c r="Q414" s="6" t="s">
        <v>20</v>
      </c>
      <c r="R414" s="12"/>
      <c r="S414" s="12"/>
      <c r="T414" s="12"/>
      <c r="U414" s="12"/>
      <c r="V414" s="12"/>
      <c r="W414" s="12"/>
      <c r="X414" s="6" t="str">
        <f aca="false">IF(COUNT(R414:W414)=6,SUM(R414:W414),"ko‘rilmagan")</f>
        <v>ko‘rilmagan</v>
      </c>
      <c r="Y414" s="12"/>
    </row>
    <row r="415" customFormat="false" ht="23.85" hidden="false" customHeight="false" outlineLevel="0" collapsed="false">
      <c r="A415" s="6" t="s">
        <v>2693</v>
      </c>
      <c r="B415" s="6" t="s">
        <v>219</v>
      </c>
      <c r="C415" s="6" t="s">
        <v>217</v>
      </c>
      <c r="D415" s="6" t="str">
        <f aca="false">IFERROR(INDEX(Mundarija!$D:$D,MATCH(B415,Mundarija!$A:$A,0)),"kod topilmadi")</f>
        <v>12.4. Pankreas o‘smalari va kengaygan pankreatik yo‘l.</v>
      </c>
      <c r="E415" s="6" t="s">
        <v>2694</v>
      </c>
      <c r="F415" s="11" t="s">
        <v>2695</v>
      </c>
      <c r="G415" s="6" t="s">
        <v>1259</v>
      </c>
      <c r="H415" s="6" t="s">
        <v>2332</v>
      </c>
      <c r="I415" s="6" t="s">
        <v>877</v>
      </c>
      <c r="J415" s="6" t="s">
        <v>877</v>
      </c>
      <c r="K415" s="6" t="s">
        <v>878</v>
      </c>
      <c r="L415" s="6" t="s">
        <v>879</v>
      </c>
      <c r="M415" s="6" t="s">
        <v>1713</v>
      </c>
      <c r="N415" s="12" t="s">
        <v>881</v>
      </c>
      <c r="O415" s="6" t="s">
        <v>882</v>
      </c>
      <c r="P415" s="6" t="s">
        <v>2</v>
      </c>
      <c r="Q415" s="6" t="s">
        <v>20</v>
      </c>
      <c r="R415" s="12"/>
      <c r="S415" s="12"/>
      <c r="T415" s="12"/>
      <c r="U415" s="12"/>
      <c r="V415" s="12"/>
      <c r="W415" s="12"/>
      <c r="X415" s="6" t="str">
        <f aca="false">IF(COUNT(R415:W415)=6,SUM(R415:W415),"ko‘rilmagan")</f>
        <v>ko‘rilmagan</v>
      </c>
      <c r="Y415" s="12"/>
    </row>
    <row r="416" customFormat="false" ht="23.85" hidden="false" customHeight="false" outlineLevel="0" collapsed="false">
      <c r="A416" s="6" t="s">
        <v>2696</v>
      </c>
      <c r="B416" s="6" t="s">
        <v>221</v>
      </c>
      <c r="C416" s="6" t="s">
        <v>212</v>
      </c>
      <c r="D416" s="6" t="str">
        <f aca="false">IFERROR(INDEX(Mundarija!$D:$D,MATCH(B416,Mundarija!$A:$A,0)),"kod topilmadi")</f>
        <v>12.5. Ko‘rish cheklovlari va differensial diagnostika.</v>
      </c>
      <c r="E416" s="6" t="s">
        <v>2697</v>
      </c>
      <c r="F416" s="11" t="s">
        <v>2698</v>
      </c>
      <c r="G416" s="6" t="s">
        <v>1463</v>
      </c>
      <c r="H416" s="6" t="s">
        <v>2699</v>
      </c>
      <c r="I416" s="6" t="s">
        <v>877</v>
      </c>
      <c r="J416" s="6" t="s">
        <v>877</v>
      </c>
      <c r="K416" s="6" t="s">
        <v>878</v>
      </c>
      <c r="L416" s="6" t="s">
        <v>879</v>
      </c>
      <c r="M416" s="6" t="s">
        <v>891</v>
      </c>
      <c r="N416" s="12" t="s">
        <v>881</v>
      </c>
      <c r="O416" s="6" t="s">
        <v>882</v>
      </c>
      <c r="P416" s="6" t="s">
        <v>2</v>
      </c>
      <c r="Q416" s="6" t="s">
        <v>20</v>
      </c>
      <c r="R416" s="12"/>
      <c r="S416" s="12"/>
      <c r="T416" s="12"/>
      <c r="U416" s="12"/>
      <c r="V416" s="12"/>
      <c r="W416" s="12"/>
      <c r="X416" s="6" t="str">
        <f aca="false">IF(COUNT(R416:W416)=6,SUM(R416:W416),"ko‘rilmagan")</f>
        <v>ko‘rilmagan</v>
      </c>
      <c r="Y416" s="12"/>
    </row>
    <row r="417" customFormat="false" ht="23.85" hidden="false" customHeight="false" outlineLevel="0" collapsed="false">
      <c r="A417" s="6" t="s">
        <v>2700</v>
      </c>
      <c r="B417" s="6" t="s">
        <v>221</v>
      </c>
      <c r="C417" s="6" t="s">
        <v>212</v>
      </c>
      <c r="D417" s="6" t="str">
        <f aca="false">IFERROR(INDEX(Mundarija!$D:$D,MATCH(B417,Mundarija!$A:$A,0)),"kod topilmadi")</f>
        <v>12.5. Ko‘rish cheklovlari va differensial diagnostika.</v>
      </c>
      <c r="E417" s="6" t="s">
        <v>2701</v>
      </c>
      <c r="F417" s="11" t="s">
        <v>2702</v>
      </c>
      <c r="G417" s="6" t="s">
        <v>1834</v>
      </c>
      <c r="H417" s="6" t="s">
        <v>2692</v>
      </c>
      <c r="I417" s="6" t="s">
        <v>877</v>
      </c>
      <c r="J417" s="6" t="s">
        <v>877</v>
      </c>
      <c r="K417" s="6" t="s">
        <v>878</v>
      </c>
      <c r="L417" s="6" t="s">
        <v>879</v>
      </c>
      <c r="M417" s="6" t="s">
        <v>891</v>
      </c>
      <c r="N417" s="12" t="s">
        <v>881</v>
      </c>
      <c r="O417" s="6" t="s">
        <v>882</v>
      </c>
      <c r="P417" s="6" t="s">
        <v>2</v>
      </c>
      <c r="Q417" s="6" t="s">
        <v>20</v>
      </c>
      <c r="R417" s="12"/>
      <c r="S417" s="12"/>
      <c r="T417" s="12"/>
      <c r="U417" s="12"/>
      <c r="V417" s="12"/>
      <c r="W417" s="12"/>
      <c r="X417" s="6" t="str">
        <f aca="false">IF(COUNT(R417:W417)=6,SUM(R417:W417),"ko‘rilmagan")</f>
        <v>ko‘rilmagan</v>
      </c>
      <c r="Y417" s="12"/>
    </row>
    <row r="418" customFormat="false" ht="23.85" hidden="false" customHeight="false" outlineLevel="0" collapsed="false">
      <c r="A418" s="6" t="s">
        <v>2703</v>
      </c>
      <c r="B418" s="6" t="s">
        <v>228</v>
      </c>
      <c r="C418" s="6"/>
      <c r="D418" s="6" t="str">
        <f aca="false">IFERROR(INDEX(Mundarija!$D:$D,MATCH(B418,Mundarija!$A:$A,0)),"kod topilmadi")</f>
        <v>13.3. Infarkt, travma va gematoma.</v>
      </c>
      <c r="E418" s="6" t="s">
        <v>2704</v>
      </c>
      <c r="F418" s="11" t="s">
        <v>2705</v>
      </c>
      <c r="G418" s="6" t="s">
        <v>1834</v>
      </c>
      <c r="H418" s="6" t="s">
        <v>2692</v>
      </c>
      <c r="I418" s="6" t="s">
        <v>877</v>
      </c>
      <c r="J418" s="6" t="s">
        <v>877</v>
      </c>
      <c r="K418" s="6" t="s">
        <v>878</v>
      </c>
      <c r="L418" s="6" t="s">
        <v>904</v>
      </c>
      <c r="M418" s="6" t="s">
        <v>1713</v>
      </c>
      <c r="N418" s="12" t="s">
        <v>881</v>
      </c>
      <c r="O418" s="6" t="s">
        <v>882</v>
      </c>
      <c r="P418" s="6" t="s">
        <v>2</v>
      </c>
      <c r="Q418" s="6" t="s">
        <v>20</v>
      </c>
      <c r="R418" s="12"/>
      <c r="S418" s="12"/>
      <c r="T418" s="12"/>
      <c r="U418" s="12"/>
      <c r="V418" s="12"/>
      <c r="W418" s="12"/>
      <c r="X418" s="6" t="str">
        <f aca="false">IF(COUNT(R418:W418)=6,SUM(R418:W418),"ko‘rilmagan")</f>
        <v>ko‘rilmagan</v>
      </c>
      <c r="Y418" s="12"/>
    </row>
    <row r="419" customFormat="false" ht="23.85" hidden="false" customHeight="false" outlineLevel="0" collapsed="false">
      <c r="A419" s="6" t="s">
        <v>2706</v>
      </c>
      <c r="B419" s="6" t="s">
        <v>228</v>
      </c>
      <c r="C419" s="6"/>
      <c r="D419" s="6" t="str">
        <f aca="false">IFERROR(INDEX(Mundarija!$D:$D,MATCH(B419,Mundarija!$A:$A,0)),"kod topilmadi")</f>
        <v>13.3. Infarkt, travma va gematoma.</v>
      </c>
      <c r="E419" s="6" t="s">
        <v>2707</v>
      </c>
      <c r="F419" s="11" t="s">
        <v>2708</v>
      </c>
      <c r="G419" s="6" t="s">
        <v>2709</v>
      </c>
      <c r="H419" s="6" t="s">
        <v>2710</v>
      </c>
      <c r="I419" s="6" t="s">
        <v>877</v>
      </c>
      <c r="J419" s="6" t="s">
        <v>877</v>
      </c>
      <c r="K419" s="6" t="s">
        <v>878</v>
      </c>
      <c r="L419" s="6" t="s">
        <v>879</v>
      </c>
      <c r="M419" s="6" t="s">
        <v>1713</v>
      </c>
      <c r="N419" s="12" t="s">
        <v>881</v>
      </c>
      <c r="O419" s="6" t="s">
        <v>882</v>
      </c>
      <c r="P419" s="6" t="s">
        <v>2</v>
      </c>
      <c r="Q419" s="6" t="s">
        <v>20</v>
      </c>
      <c r="R419" s="12"/>
      <c r="S419" s="12"/>
      <c r="T419" s="12"/>
      <c r="U419" s="12"/>
      <c r="V419" s="12"/>
      <c r="W419" s="12"/>
      <c r="X419" s="6" t="str">
        <f aca="false">IF(COUNT(R419:W419)=6,SUM(R419:W419),"ko‘rilmagan")</f>
        <v>ko‘rilmagan</v>
      </c>
      <c r="Y419" s="12"/>
    </row>
    <row r="420" customFormat="false" ht="23.85" hidden="false" customHeight="false" outlineLevel="0" collapsed="false">
      <c r="A420" s="6" t="s">
        <v>2711</v>
      </c>
      <c r="B420" s="6" t="s">
        <v>228</v>
      </c>
      <c r="C420" s="6" t="s">
        <v>528</v>
      </c>
      <c r="D420" s="6" t="str">
        <f aca="false">IFERROR(INDEX(Mundarija!$D:$D,MATCH(B420,Mundarija!$A:$A,0)),"kod topilmadi")</f>
        <v>13.3. Infarkt, travma va gematoma.</v>
      </c>
      <c r="E420" s="6" t="s">
        <v>2712</v>
      </c>
      <c r="F420" s="11" t="s">
        <v>2713</v>
      </c>
      <c r="G420" s="6" t="s">
        <v>2714</v>
      </c>
      <c r="H420" s="6" t="s">
        <v>2715</v>
      </c>
      <c r="I420" s="6" t="s">
        <v>877</v>
      </c>
      <c r="J420" s="6" t="s">
        <v>877</v>
      </c>
      <c r="K420" s="6" t="s">
        <v>878</v>
      </c>
      <c r="L420" s="6" t="s">
        <v>904</v>
      </c>
      <c r="M420" s="6" t="s">
        <v>1713</v>
      </c>
      <c r="N420" s="12" t="s">
        <v>881</v>
      </c>
      <c r="O420" s="6" t="s">
        <v>882</v>
      </c>
      <c r="P420" s="6" t="s">
        <v>2</v>
      </c>
      <c r="Q420" s="6" t="s">
        <v>20</v>
      </c>
      <c r="R420" s="12"/>
      <c r="S420" s="12"/>
      <c r="T420" s="12"/>
      <c r="U420" s="12"/>
      <c r="V420" s="12"/>
      <c r="W420" s="12"/>
      <c r="X420" s="6" t="str">
        <f aca="false">IF(COUNT(R420:W420)=6,SUM(R420:W420),"ko‘rilmagan")</f>
        <v>ko‘rilmagan</v>
      </c>
      <c r="Y420" s="12"/>
    </row>
    <row r="421" customFormat="false" ht="23.85" hidden="false" customHeight="false" outlineLevel="0" collapsed="false">
      <c r="A421" s="6" t="s">
        <v>2716</v>
      </c>
      <c r="B421" s="6" t="s">
        <v>241</v>
      </c>
      <c r="C421" s="6"/>
      <c r="D421" s="6" t="str">
        <f aca="false">IFERROR(INDEX(Mundarija!$D:$D,MATCH(B421,Mundarija!$A:$A,0)),"kod topilmadi")</f>
        <v>14.5. Diffuz parenximatoz o‘zgarishlar.</v>
      </c>
      <c r="E421" s="6" t="s">
        <v>2717</v>
      </c>
      <c r="F421" s="11" t="s">
        <v>2718</v>
      </c>
      <c r="G421" s="6" t="s">
        <v>2392</v>
      </c>
      <c r="H421" s="6" t="s">
        <v>2393</v>
      </c>
      <c r="I421" s="6" t="s">
        <v>877</v>
      </c>
      <c r="J421" s="6" t="s">
        <v>877</v>
      </c>
      <c r="K421" s="6" t="s">
        <v>878</v>
      </c>
      <c r="L421" s="6" t="s">
        <v>904</v>
      </c>
      <c r="M421" s="6" t="s">
        <v>912</v>
      </c>
      <c r="N421" s="12" t="s">
        <v>881</v>
      </c>
      <c r="O421" s="6" t="s">
        <v>882</v>
      </c>
      <c r="P421" s="6" t="s">
        <v>2</v>
      </c>
      <c r="Q421" s="6" t="s">
        <v>20</v>
      </c>
      <c r="R421" s="12"/>
      <c r="S421" s="12"/>
      <c r="T421" s="12"/>
      <c r="U421" s="12"/>
      <c r="V421" s="12"/>
      <c r="W421" s="12"/>
      <c r="X421" s="6" t="str">
        <f aca="false">IF(COUNT(R421:W421)=6,SUM(R421:W421),"ko‘rilmagan")</f>
        <v>ko‘rilmagan</v>
      </c>
      <c r="Y421" s="12"/>
    </row>
    <row r="422" customFormat="false" ht="23.85" hidden="false" customHeight="false" outlineLevel="0" collapsed="false">
      <c r="A422" s="6" t="s">
        <v>2719</v>
      </c>
      <c r="B422" s="6" t="s">
        <v>241</v>
      </c>
      <c r="C422" s="6"/>
      <c r="D422" s="6" t="str">
        <f aca="false">IFERROR(INDEX(Mundarija!$D:$D,MATCH(B422,Mundarija!$A:$A,0)),"kod topilmadi")</f>
        <v>14.5. Diffuz parenximatoz o‘zgarishlar.</v>
      </c>
      <c r="E422" s="6" t="s">
        <v>2720</v>
      </c>
      <c r="F422" s="11" t="s">
        <v>2721</v>
      </c>
      <c r="G422" s="6" t="s">
        <v>2722</v>
      </c>
      <c r="H422" s="6" t="s">
        <v>2723</v>
      </c>
      <c r="I422" s="6" t="s">
        <v>877</v>
      </c>
      <c r="J422" s="6" t="s">
        <v>877</v>
      </c>
      <c r="K422" s="6" t="s">
        <v>878</v>
      </c>
      <c r="L422" s="6" t="s">
        <v>1748</v>
      </c>
      <c r="M422" s="6" t="s">
        <v>912</v>
      </c>
      <c r="N422" s="12" t="s">
        <v>881</v>
      </c>
      <c r="O422" s="6" t="s">
        <v>882</v>
      </c>
      <c r="P422" s="6" t="s">
        <v>2</v>
      </c>
      <c r="Q422" s="6" t="s">
        <v>20</v>
      </c>
      <c r="R422" s="12"/>
      <c r="S422" s="12"/>
      <c r="T422" s="12"/>
      <c r="U422" s="12"/>
      <c r="V422" s="12"/>
      <c r="W422" s="12"/>
      <c r="X422" s="6" t="str">
        <f aca="false">IF(COUNT(R422:W422)=6,SUM(R422:W422),"ko‘rilmagan")</f>
        <v>ko‘rilmagan</v>
      </c>
      <c r="Y422" s="12"/>
    </row>
    <row r="423" customFormat="false" ht="23.85" hidden="false" customHeight="false" outlineLevel="0" collapsed="false">
      <c r="A423" s="6" t="s">
        <v>2724</v>
      </c>
      <c r="B423" s="6" t="s">
        <v>241</v>
      </c>
      <c r="C423" s="6"/>
      <c r="D423" s="6" t="str">
        <f aca="false">IFERROR(INDEX(Mundarija!$D:$D,MATCH(B423,Mundarija!$A:$A,0)),"kod topilmadi")</f>
        <v>14.5. Diffuz parenximatoz o‘zgarishlar.</v>
      </c>
      <c r="E423" s="6" t="s">
        <v>2725</v>
      </c>
      <c r="F423" s="11" t="s">
        <v>2726</v>
      </c>
      <c r="G423" s="6" t="s">
        <v>1259</v>
      </c>
      <c r="H423" s="6" t="s">
        <v>2332</v>
      </c>
      <c r="I423" s="6" t="s">
        <v>877</v>
      </c>
      <c r="J423" s="6" t="s">
        <v>877</v>
      </c>
      <c r="K423" s="6" t="s">
        <v>878</v>
      </c>
      <c r="L423" s="6" t="s">
        <v>879</v>
      </c>
      <c r="M423" s="6" t="s">
        <v>1713</v>
      </c>
      <c r="N423" s="12" t="s">
        <v>881</v>
      </c>
      <c r="O423" s="6" t="s">
        <v>882</v>
      </c>
      <c r="P423" s="6" t="s">
        <v>2</v>
      </c>
      <c r="Q423" s="6" t="s">
        <v>20</v>
      </c>
      <c r="R423" s="12"/>
      <c r="S423" s="12"/>
      <c r="T423" s="12"/>
      <c r="U423" s="12"/>
      <c r="V423" s="12"/>
      <c r="W423" s="12"/>
      <c r="X423" s="6" t="str">
        <f aca="false">IF(COUNT(R423:W423)=6,SUM(R423:W423),"ko‘rilmagan")</f>
        <v>ko‘rilmagan</v>
      </c>
      <c r="Y423" s="12"/>
    </row>
    <row r="424" customFormat="false" ht="23.85" hidden="false" customHeight="false" outlineLevel="0" collapsed="false">
      <c r="A424" s="6" t="s">
        <v>2727</v>
      </c>
      <c r="B424" s="6" t="s">
        <v>249</v>
      </c>
      <c r="C424" s="6"/>
      <c r="D424" s="6" t="str">
        <f aca="false">IFERROR(INDEX(Mundarija!$D:$D,MATCH(B424,Mundarija!$A:$A,0)),"kod topilmadi")</f>
        <v>14.9. Buyrak usti bezlari va ularning UZI imkoniyatlari.</v>
      </c>
      <c r="E424" s="6" t="s">
        <v>2728</v>
      </c>
      <c r="F424" s="11" t="s">
        <v>2729</v>
      </c>
      <c r="G424" s="6" t="s">
        <v>1259</v>
      </c>
      <c r="H424" s="6" t="s">
        <v>2332</v>
      </c>
      <c r="I424" s="6" t="s">
        <v>877</v>
      </c>
      <c r="J424" s="6" t="s">
        <v>877</v>
      </c>
      <c r="K424" s="6" t="s">
        <v>878</v>
      </c>
      <c r="L424" s="6" t="s">
        <v>879</v>
      </c>
      <c r="M424" s="6" t="s">
        <v>1713</v>
      </c>
      <c r="N424" s="12" t="s">
        <v>881</v>
      </c>
      <c r="O424" s="6" t="s">
        <v>882</v>
      </c>
      <c r="P424" s="6" t="s">
        <v>2</v>
      </c>
      <c r="Q424" s="6" t="s">
        <v>20</v>
      </c>
      <c r="R424" s="12"/>
      <c r="S424" s="12"/>
      <c r="T424" s="12"/>
      <c r="U424" s="12"/>
      <c r="V424" s="12"/>
      <c r="W424" s="12"/>
      <c r="X424" s="6" t="str">
        <f aca="false">IF(COUNT(R424:W424)=6,SUM(R424:W424),"ko‘rilmagan")</f>
        <v>ko‘rilmagan</v>
      </c>
      <c r="Y424" s="12"/>
    </row>
    <row r="425" customFormat="false" ht="23.85" hidden="false" customHeight="false" outlineLevel="0" collapsed="false">
      <c r="A425" s="6" t="s">
        <v>2730</v>
      </c>
      <c r="B425" s="6" t="s">
        <v>249</v>
      </c>
      <c r="C425" s="6"/>
      <c r="D425" s="6" t="str">
        <f aca="false">IFERROR(INDEX(Mundarija!$D:$D,MATCH(B425,Mundarija!$A:$A,0)),"kod topilmadi")</f>
        <v>14.9. Buyrak usti bezlari va ularning UZI imkoniyatlari.</v>
      </c>
      <c r="E425" s="6" t="s">
        <v>2731</v>
      </c>
      <c r="F425" s="11" t="s">
        <v>2732</v>
      </c>
      <c r="G425" s="6" t="s">
        <v>1318</v>
      </c>
      <c r="H425" s="6" t="s">
        <v>2304</v>
      </c>
      <c r="I425" s="6" t="s">
        <v>877</v>
      </c>
      <c r="J425" s="6" t="s">
        <v>877</v>
      </c>
      <c r="K425" s="6" t="s">
        <v>878</v>
      </c>
      <c r="L425" s="6" t="s">
        <v>904</v>
      </c>
      <c r="M425" s="6" t="s">
        <v>891</v>
      </c>
      <c r="N425" s="12" t="s">
        <v>881</v>
      </c>
      <c r="O425" s="6" t="s">
        <v>882</v>
      </c>
      <c r="P425" s="6" t="s">
        <v>2</v>
      </c>
      <c r="Q425" s="6" t="s">
        <v>20</v>
      </c>
      <c r="R425" s="12"/>
      <c r="S425" s="12"/>
      <c r="T425" s="12"/>
      <c r="U425" s="12"/>
      <c r="V425" s="12"/>
      <c r="W425" s="12"/>
      <c r="X425" s="6" t="str">
        <f aca="false">IF(COUNT(R425:W425)=6,SUM(R425:W425),"ko‘rilmagan")</f>
        <v>ko‘rilmagan</v>
      </c>
      <c r="Y425" s="12"/>
    </row>
    <row r="426" customFormat="false" ht="23.85" hidden="false" customHeight="false" outlineLevel="0" collapsed="false">
      <c r="A426" s="6" t="s">
        <v>2733</v>
      </c>
      <c r="B426" s="6" t="s">
        <v>249</v>
      </c>
      <c r="C426" s="6"/>
      <c r="D426" s="6" t="str">
        <f aca="false">IFERROR(INDEX(Mundarija!$D:$D,MATCH(B426,Mundarija!$A:$A,0)),"kod topilmadi")</f>
        <v>14.9. Buyrak usti bezlari va ularning UZI imkoniyatlari.</v>
      </c>
      <c r="E426" s="6" t="s">
        <v>2734</v>
      </c>
      <c r="F426" s="11" t="s">
        <v>2735</v>
      </c>
      <c r="G426" s="6" t="s">
        <v>1318</v>
      </c>
      <c r="H426" s="6" t="s">
        <v>2304</v>
      </c>
      <c r="I426" s="6" t="s">
        <v>877</v>
      </c>
      <c r="J426" s="6" t="s">
        <v>877</v>
      </c>
      <c r="K426" s="6" t="s">
        <v>878</v>
      </c>
      <c r="L426" s="6" t="s">
        <v>904</v>
      </c>
      <c r="M426" s="6" t="s">
        <v>891</v>
      </c>
      <c r="N426" s="12" t="s">
        <v>881</v>
      </c>
      <c r="O426" s="6" t="s">
        <v>882</v>
      </c>
      <c r="P426" s="6" t="s">
        <v>2</v>
      </c>
      <c r="Q426" s="6" t="s">
        <v>20</v>
      </c>
      <c r="R426" s="12"/>
      <c r="S426" s="12"/>
      <c r="T426" s="12"/>
      <c r="U426" s="12"/>
      <c r="V426" s="12"/>
      <c r="W426" s="12"/>
      <c r="X426" s="6" t="str">
        <f aca="false">IF(COUNT(R426:W426)=6,SUM(R426:W426),"ko‘rilmagan")</f>
        <v>ko‘rilmagan</v>
      </c>
      <c r="Y426" s="12"/>
    </row>
    <row r="427" customFormat="false" ht="23.85" hidden="false" customHeight="false" outlineLevel="0" collapsed="false">
      <c r="A427" s="6" t="s">
        <v>2736</v>
      </c>
      <c r="B427" s="6" t="s">
        <v>258</v>
      </c>
      <c r="C427" s="6" t="s">
        <v>249</v>
      </c>
      <c r="D427" s="6" t="str">
        <f aca="false">IFERROR(INDEX(Mundarija!$D:$D,MATCH(B427,Mundarija!$A:$A,0)),"kod topilmadi")</f>
        <v>15.3. Retroperitoneal soha va limfa tugunlari.</v>
      </c>
      <c r="E427" s="6" t="s">
        <v>2737</v>
      </c>
      <c r="F427" s="11" t="s">
        <v>2738</v>
      </c>
      <c r="G427" s="6" t="s">
        <v>1235</v>
      </c>
      <c r="H427" s="6" t="s">
        <v>2446</v>
      </c>
      <c r="I427" s="6" t="s">
        <v>877</v>
      </c>
      <c r="J427" s="6" t="s">
        <v>877</v>
      </c>
      <c r="K427" s="6" t="s">
        <v>878</v>
      </c>
      <c r="L427" s="6" t="s">
        <v>904</v>
      </c>
      <c r="M427" s="6" t="s">
        <v>912</v>
      </c>
      <c r="N427" s="12" t="s">
        <v>881</v>
      </c>
      <c r="O427" s="6" t="s">
        <v>882</v>
      </c>
      <c r="P427" s="6" t="s">
        <v>2</v>
      </c>
      <c r="Q427" s="6" t="s">
        <v>20</v>
      </c>
      <c r="R427" s="12"/>
      <c r="S427" s="12"/>
      <c r="T427" s="12"/>
      <c r="U427" s="12"/>
      <c r="V427" s="12"/>
      <c r="W427" s="12"/>
      <c r="X427" s="6" t="str">
        <f aca="false">IF(COUNT(R427:W427)=6,SUM(R427:W427),"ko‘rilmagan")</f>
        <v>ko‘rilmagan</v>
      </c>
      <c r="Y427" s="12"/>
    </row>
    <row r="428" customFormat="false" ht="23.85" hidden="false" customHeight="false" outlineLevel="0" collapsed="false">
      <c r="A428" s="6" t="s">
        <v>2739</v>
      </c>
      <c r="B428" s="6" t="s">
        <v>258</v>
      </c>
      <c r="C428" s="6"/>
      <c r="D428" s="6" t="str">
        <f aca="false">IFERROR(INDEX(Mundarija!$D:$D,MATCH(B428,Mundarija!$A:$A,0)),"kod topilmadi")</f>
        <v>15.3. Retroperitoneal soha va limfa tugunlari.</v>
      </c>
      <c r="E428" s="6" t="s">
        <v>2740</v>
      </c>
      <c r="F428" s="11" t="s">
        <v>2741</v>
      </c>
      <c r="G428" s="6" t="s">
        <v>1269</v>
      </c>
      <c r="H428" s="6" t="s">
        <v>1733</v>
      </c>
      <c r="I428" s="6" t="s">
        <v>877</v>
      </c>
      <c r="J428" s="6" t="s">
        <v>877</v>
      </c>
      <c r="K428" s="6" t="s">
        <v>878</v>
      </c>
      <c r="L428" s="6" t="s">
        <v>904</v>
      </c>
      <c r="M428" s="6" t="s">
        <v>1713</v>
      </c>
      <c r="N428" s="12" t="s">
        <v>881</v>
      </c>
      <c r="O428" s="6" t="s">
        <v>882</v>
      </c>
      <c r="P428" s="6" t="s">
        <v>2</v>
      </c>
      <c r="Q428" s="6" t="s">
        <v>20</v>
      </c>
      <c r="R428" s="12"/>
      <c r="S428" s="12"/>
      <c r="T428" s="12"/>
      <c r="U428" s="12"/>
      <c r="V428" s="12"/>
      <c r="W428" s="12"/>
      <c r="X428" s="6" t="str">
        <f aca="false">IF(COUNT(R428:W428)=6,SUM(R428:W428),"ko‘rilmagan")</f>
        <v>ko‘rilmagan</v>
      </c>
      <c r="Y428" s="12"/>
    </row>
    <row r="429" customFormat="false" ht="23.85" hidden="false" customHeight="false" outlineLevel="0" collapsed="false">
      <c r="A429" s="6" t="s">
        <v>2742</v>
      </c>
      <c r="B429" s="6" t="s">
        <v>262</v>
      </c>
      <c r="C429" s="6"/>
      <c r="D429" s="6" t="str">
        <f aca="false">IFERROR(INDEX(Mundarija!$D:$D,MATCH(B429,Mundarija!$A:$A,0)),"kod topilmadi")</f>
        <v>15.5. Qorin devori churralari va yumshoq to‘qimalar.</v>
      </c>
      <c r="E429" s="6" t="s">
        <v>2743</v>
      </c>
      <c r="F429" s="11" t="s">
        <v>2744</v>
      </c>
      <c r="G429" s="6" t="s">
        <v>1834</v>
      </c>
      <c r="H429" s="6" t="s">
        <v>2692</v>
      </c>
      <c r="I429" s="6" t="s">
        <v>877</v>
      </c>
      <c r="J429" s="6" t="s">
        <v>877</v>
      </c>
      <c r="K429" s="6" t="s">
        <v>878</v>
      </c>
      <c r="L429" s="6" t="s">
        <v>904</v>
      </c>
      <c r="M429" s="6" t="s">
        <v>1713</v>
      </c>
      <c r="N429" s="12" t="s">
        <v>881</v>
      </c>
      <c r="O429" s="6" t="s">
        <v>882</v>
      </c>
      <c r="P429" s="6" t="s">
        <v>2</v>
      </c>
      <c r="Q429" s="6" t="s">
        <v>20</v>
      </c>
      <c r="R429" s="12"/>
      <c r="S429" s="12"/>
      <c r="T429" s="12"/>
      <c r="U429" s="12"/>
      <c r="V429" s="12"/>
      <c r="W429" s="12"/>
      <c r="X429" s="6" t="str">
        <f aca="false">IF(COUNT(R429:W429)=6,SUM(R429:W429),"ko‘rilmagan")</f>
        <v>ko‘rilmagan</v>
      </c>
      <c r="Y429" s="12"/>
    </row>
    <row r="430" customFormat="false" ht="23.85" hidden="false" customHeight="false" outlineLevel="0" collapsed="false">
      <c r="A430" s="6" t="s">
        <v>2745</v>
      </c>
      <c r="B430" s="6" t="s">
        <v>262</v>
      </c>
      <c r="C430" s="6"/>
      <c r="D430" s="6" t="str">
        <f aca="false">IFERROR(INDEX(Mundarija!$D:$D,MATCH(B430,Mundarija!$A:$A,0)),"kod topilmadi")</f>
        <v>15.5. Qorin devori churralari va yumshoq to‘qimalar.</v>
      </c>
      <c r="E430" s="6" t="s">
        <v>2746</v>
      </c>
      <c r="F430" s="11" t="s">
        <v>2747</v>
      </c>
      <c r="G430" s="6" t="s">
        <v>1834</v>
      </c>
      <c r="H430" s="6" t="s">
        <v>2692</v>
      </c>
      <c r="I430" s="6" t="s">
        <v>877</v>
      </c>
      <c r="J430" s="6" t="s">
        <v>877</v>
      </c>
      <c r="K430" s="6" t="s">
        <v>878</v>
      </c>
      <c r="L430" s="6" t="s">
        <v>904</v>
      </c>
      <c r="M430" s="6" t="s">
        <v>1713</v>
      </c>
      <c r="N430" s="12" t="s">
        <v>881</v>
      </c>
      <c r="O430" s="6" t="s">
        <v>882</v>
      </c>
      <c r="P430" s="6" t="s">
        <v>2</v>
      </c>
      <c r="Q430" s="6" t="s">
        <v>20</v>
      </c>
      <c r="R430" s="12"/>
      <c r="S430" s="12"/>
      <c r="T430" s="12"/>
      <c r="U430" s="12"/>
      <c r="V430" s="12"/>
      <c r="W430" s="12"/>
      <c r="X430" s="6" t="str">
        <f aca="false">IF(COUNT(R430:W430)=6,SUM(R430:W430),"ko‘rilmagan")</f>
        <v>ko‘rilmagan</v>
      </c>
      <c r="Y430" s="12"/>
    </row>
    <row r="431" customFormat="false" ht="23.85" hidden="false" customHeight="false" outlineLevel="0" collapsed="false">
      <c r="A431" s="6" t="s">
        <v>2748</v>
      </c>
      <c r="B431" s="6" t="s">
        <v>262</v>
      </c>
      <c r="C431" s="6"/>
      <c r="D431" s="6" t="str">
        <f aca="false">IFERROR(INDEX(Mundarija!$D:$D,MATCH(B431,Mundarija!$A:$A,0)),"kod topilmadi")</f>
        <v>15.5. Qorin devori churralari va yumshoq to‘qimalar.</v>
      </c>
      <c r="E431" s="6" t="s">
        <v>2749</v>
      </c>
      <c r="F431" s="11" t="s">
        <v>2750</v>
      </c>
      <c r="G431" s="6" t="s">
        <v>2751</v>
      </c>
      <c r="H431" s="6" t="s">
        <v>2752</v>
      </c>
      <c r="I431" s="6" t="s">
        <v>877</v>
      </c>
      <c r="J431" s="6" t="s">
        <v>877</v>
      </c>
      <c r="K431" s="6" t="s">
        <v>878</v>
      </c>
      <c r="L431" s="6" t="s">
        <v>879</v>
      </c>
      <c r="M431" s="6" t="s">
        <v>891</v>
      </c>
      <c r="N431" s="12" t="s">
        <v>881</v>
      </c>
      <c r="O431" s="6" t="s">
        <v>882</v>
      </c>
      <c r="P431" s="6" t="s">
        <v>2</v>
      </c>
      <c r="Q431" s="6" t="s">
        <v>20</v>
      </c>
      <c r="R431" s="12"/>
      <c r="S431" s="12"/>
      <c r="T431" s="12"/>
      <c r="U431" s="12"/>
      <c r="V431" s="12"/>
      <c r="W431" s="12"/>
      <c r="X431" s="6" t="str">
        <f aca="false">IF(COUNT(R431:W431)=6,SUM(R431:W431),"ko‘rilmagan")</f>
        <v>ko‘rilmagan</v>
      </c>
      <c r="Y431" s="12"/>
    </row>
    <row r="432" customFormat="false" ht="23.85" hidden="false" customHeight="false" outlineLevel="0" collapsed="false">
      <c r="A432" s="6" t="s">
        <v>2753</v>
      </c>
      <c r="B432" s="6" t="s">
        <v>264</v>
      </c>
      <c r="C432" s="6"/>
      <c r="D432" s="6" t="str">
        <f aca="false">IFERROR(INDEX(Mundarija!$D:$D,MATCH(B432,Mundarija!$A:$A,0)),"kod topilmadi")</f>
        <v>15.6. Ichak ultratovushi: devor qatlamlari va harakat.</v>
      </c>
      <c r="E432" s="6" t="s">
        <v>2754</v>
      </c>
      <c r="F432" s="11" t="s">
        <v>2755</v>
      </c>
      <c r="G432" s="6" t="s">
        <v>1278</v>
      </c>
      <c r="H432" s="6" t="s">
        <v>2756</v>
      </c>
      <c r="I432" s="6" t="s">
        <v>877</v>
      </c>
      <c r="J432" s="6" t="s">
        <v>877</v>
      </c>
      <c r="K432" s="6" t="s">
        <v>878</v>
      </c>
      <c r="L432" s="6" t="s">
        <v>904</v>
      </c>
      <c r="M432" s="6" t="s">
        <v>912</v>
      </c>
      <c r="N432" s="12" t="s">
        <v>881</v>
      </c>
      <c r="O432" s="6" t="s">
        <v>882</v>
      </c>
      <c r="P432" s="6" t="s">
        <v>2</v>
      </c>
      <c r="Q432" s="6" t="s">
        <v>20</v>
      </c>
      <c r="R432" s="12"/>
      <c r="S432" s="12"/>
      <c r="T432" s="12"/>
      <c r="U432" s="12"/>
      <c r="V432" s="12"/>
      <c r="W432" s="12"/>
      <c r="X432" s="6" t="str">
        <f aca="false">IF(COUNT(R432:W432)=6,SUM(R432:W432),"ko‘rilmagan")</f>
        <v>ko‘rilmagan</v>
      </c>
      <c r="Y432" s="12"/>
    </row>
    <row r="433" customFormat="false" ht="35.05" hidden="false" customHeight="false" outlineLevel="0" collapsed="false">
      <c r="A433" s="6" t="s">
        <v>2757</v>
      </c>
      <c r="B433" s="6" t="s">
        <v>264</v>
      </c>
      <c r="C433" s="6" t="s">
        <v>268</v>
      </c>
      <c r="D433" s="6" t="str">
        <f aca="false">IFERROR(INDEX(Mundarija!$D:$D,MATCH(B433,Mundarija!$A:$A,0)),"kod topilmadi")</f>
        <v>15.6. Ichak ultratovushi: devor qatlamlari va harakat.</v>
      </c>
      <c r="E433" s="6" t="s">
        <v>2758</v>
      </c>
      <c r="F433" s="11" t="s">
        <v>2759</v>
      </c>
      <c r="G433" s="6" t="s">
        <v>2760</v>
      </c>
      <c r="H433" s="6" t="s">
        <v>2761</v>
      </c>
      <c r="I433" s="6" t="s">
        <v>877</v>
      </c>
      <c r="J433" s="6" t="s">
        <v>877</v>
      </c>
      <c r="K433" s="6" t="s">
        <v>878</v>
      </c>
      <c r="L433" s="6" t="s">
        <v>904</v>
      </c>
      <c r="M433" s="6" t="s">
        <v>912</v>
      </c>
      <c r="N433" s="12" t="s">
        <v>881</v>
      </c>
      <c r="O433" s="6" t="s">
        <v>882</v>
      </c>
      <c r="P433" s="6" t="s">
        <v>2</v>
      </c>
      <c r="Q433" s="6" t="s">
        <v>20</v>
      </c>
      <c r="R433" s="12"/>
      <c r="S433" s="12"/>
      <c r="T433" s="12"/>
      <c r="U433" s="12"/>
      <c r="V433" s="12"/>
      <c r="W433" s="12"/>
      <c r="X433" s="6" t="str">
        <f aca="false">IF(COUNT(R433:W433)=6,SUM(R433:W433),"ko‘rilmagan")</f>
        <v>ko‘rilmagan</v>
      </c>
      <c r="Y433" s="12"/>
    </row>
    <row r="434" customFormat="false" ht="23.85" hidden="false" customHeight="false" outlineLevel="0" collapsed="false">
      <c r="A434" s="6" t="s">
        <v>2762</v>
      </c>
      <c r="B434" s="6" t="s">
        <v>264</v>
      </c>
      <c r="C434" s="6"/>
      <c r="D434" s="6" t="str">
        <f aca="false">IFERROR(INDEX(Mundarija!$D:$D,MATCH(B434,Mundarija!$A:$A,0)),"kod topilmadi")</f>
        <v>15.6. Ichak ultratovushi: devor qatlamlari va harakat.</v>
      </c>
      <c r="E434" s="6" t="s">
        <v>2763</v>
      </c>
      <c r="F434" s="11" t="s">
        <v>2764</v>
      </c>
      <c r="G434" s="6" t="s">
        <v>2765</v>
      </c>
      <c r="H434" s="6" t="s">
        <v>2766</v>
      </c>
      <c r="I434" s="6" t="s">
        <v>877</v>
      </c>
      <c r="J434" s="6" t="s">
        <v>877</v>
      </c>
      <c r="K434" s="6" t="s">
        <v>878</v>
      </c>
      <c r="L434" s="6" t="s">
        <v>879</v>
      </c>
      <c r="M434" s="6" t="s">
        <v>912</v>
      </c>
      <c r="N434" s="12" t="s">
        <v>881</v>
      </c>
      <c r="O434" s="6" t="s">
        <v>882</v>
      </c>
      <c r="P434" s="6" t="s">
        <v>2</v>
      </c>
      <c r="Q434" s="6" t="s">
        <v>20</v>
      </c>
      <c r="R434" s="12"/>
      <c r="S434" s="12"/>
      <c r="T434" s="12"/>
      <c r="U434" s="12"/>
      <c r="V434" s="12"/>
      <c r="W434" s="12"/>
      <c r="X434" s="6" t="str">
        <f aca="false">IF(COUNT(R434:W434)=6,SUM(R434:W434),"ko‘rilmagan")</f>
        <v>ko‘rilmagan</v>
      </c>
      <c r="Y434" s="12"/>
    </row>
    <row r="435" customFormat="false" ht="23.85" hidden="false" customHeight="false" outlineLevel="0" collapsed="false">
      <c r="A435" s="6" t="s">
        <v>2767</v>
      </c>
      <c r="B435" s="6" t="s">
        <v>268</v>
      </c>
      <c r="C435" s="6"/>
      <c r="D435" s="6" t="str">
        <f aca="false">IFERROR(INDEX(Mundarija!$D:$D,MATCH(B435,Mundarija!$A:$A,0)),"kod topilmadi")</f>
        <v>15.8. Oshqozon-ichak UZI: imkoniyatlar, cheklovlar va qo‘shimcha tekshiruv zarurati.</v>
      </c>
      <c r="E435" s="6" t="s">
        <v>2768</v>
      </c>
      <c r="F435" s="11" t="s">
        <v>2769</v>
      </c>
      <c r="G435" s="6" t="s">
        <v>2770</v>
      </c>
      <c r="H435" s="6" t="s">
        <v>2771</v>
      </c>
      <c r="I435" s="6" t="s">
        <v>877</v>
      </c>
      <c r="J435" s="6" t="s">
        <v>877</v>
      </c>
      <c r="K435" s="6" t="s">
        <v>878</v>
      </c>
      <c r="L435" s="6" t="s">
        <v>1748</v>
      </c>
      <c r="M435" s="6" t="s">
        <v>912</v>
      </c>
      <c r="N435" s="12" t="s">
        <v>881</v>
      </c>
      <c r="O435" s="6" t="s">
        <v>882</v>
      </c>
      <c r="P435" s="6" t="s">
        <v>2</v>
      </c>
      <c r="Q435" s="6" t="s">
        <v>20</v>
      </c>
      <c r="R435" s="12"/>
      <c r="S435" s="12"/>
      <c r="T435" s="12"/>
      <c r="U435" s="12"/>
      <c r="V435" s="12"/>
      <c r="W435" s="12"/>
      <c r="X435" s="6" t="str">
        <f aca="false">IF(COUNT(R435:W435)=6,SUM(R435:W435),"ko‘rilmagan")</f>
        <v>ko‘rilmagan</v>
      </c>
      <c r="Y435" s="12"/>
    </row>
    <row r="436" customFormat="false" ht="23.85" hidden="false" customHeight="false" outlineLevel="0" collapsed="false">
      <c r="A436" s="6" t="s">
        <v>2772</v>
      </c>
      <c r="B436" s="6" t="s">
        <v>268</v>
      </c>
      <c r="C436" s="6"/>
      <c r="D436" s="6" t="str">
        <f aca="false">IFERROR(INDEX(Mundarija!$D:$D,MATCH(B436,Mundarija!$A:$A,0)),"kod topilmadi")</f>
        <v>15.8. Oshqozon-ichak UZI: imkoniyatlar, cheklovlar va qo‘shimcha tekshiruv zarurati.</v>
      </c>
      <c r="E436" s="6" t="s">
        <v>2773</v>
      </c>
      <c r="F436" s="11" t="s">
        <v>2774</v>
      </c>
      <c r="G436" s="6" t="s">
        <v>1259</v>
      </c>
      <c r="H436" s="6" t="s">
        <v>2332</v>
      </c>
      <c r="I436" s="6" t="s">
        <v>877</v>
      </c>
      <c r="J436" s="6" t="s">
        <v>877</v>
      </c>
      <c r="K436" s="6" t="s">
        <v>878</v>
      </c>
      <c r="L436" s="6" t="s">
        <v>879</v>
      </c>
      <c r="M436" s="6" t="s">
        <v>1713</v>
      </c>
      <c r="N436" s="12" t="s">
        <v>881</v>
      </c>
      <c r="O436" s="6" t="s">
        <v>882</v>
      </c>
      <c r="P436" s="6" t="s">
        <v>2</v>
      </c>
      <c r="Q436" s="6" t="s">
        <v>20</v>
      </c>
      <c r="R436" s="12"/>
      <c r="S436" s="12"/>
      <c r="T436" s="12"/>
      <c r="U436" s="12"/>
      <c r="V436" s="12"/>
      <c r="W436" s="12"/>
      <c r="X436" s="6" t="str">
        <f aca="false">IF(COUNT(R436:W436)=6,SUM(R436:W436),"ko‘rilmagan")</f>
        <v>ko‘rilmagan</v>
      </c>
      <c r="Y436" s="12"/>
    </row>
    <row r="437" customFormat="false" ht="23.85" hidden="false" customHeight="false" outlineLevel="0" collapsed="false">
      <c r="A437" s="6" t="s">
        <v>2775</v>
      </c>
      <c r="B437" s="6" t="s">
        <v>301</v>
      </c>
      <c r="C437" s="6"/>
      <c r="D437" s="6" t="str">
        <f aca="false">IFERROR(INDEX(Mundarija!$D:$D,MATCH(B437,Mundarija!$A:$A,0)),"kod topilmadi")</f>
        <v>17.5. Moyak ichi va tashqarisidagi hosilalar.</v>
      </c>
      <c r="E437" s="6" t="s">
        <v>2776</v>
      </c>
      <c r="F437" s="11" t="s">
        <v>2777</v>
      </c>
      <c r="G437" s="6" t="s">
        <v>2751</v>
      </c>
      <c r="H437" s="6" t="s">
        <v>2752</v>
      </c>
      <c r="I437" s="6" t="s">
        <v>877</v>
      </c>
      <c r="J437" s="6" t="s">
        <v>877</v>
      </c>
      <c r="K437" s="6" t="s">
        <v>878</v>
      </c>
      <c r="L437" s="6" t="s">
        <v>879</v>
      </c>
      <c r="M437" s="6" t="s">
        <v>1713</v>
      </c>
      <c r="N437" s="12" t="s">
        <v>881</v>
      </c>
      <c r="O437" s="6" t="s">
        <v>882</v>
      </c>
      <c r="P437" s="6" t="s">
        <v>2</v>
      </c>
      <c r="Q437" s="6" t="s">
        <v>20</v>
      </c>
      <c r="R437" s="12"/>
      <c r="S437" s="12"/>
      <c r="T437" s="12"/>
      <c r="U437" s="12"/>
      <c r="V437" s="12"/>
      <c r="W437" s="12"/>
      <c r="X437" s="6" t="str">
        <f aca="false">IF(COUNT(R437:W437)=6,SUM(R437:W437),"ko‘rilmagan")</f>
        <v>ko‘rilmagan</v>
      </c>
      <c r="Y437" s="12"/>
    </row>
    <row r="438" customFormat="false" ht="46.25" hidden="false" customHeight="false" outlineLevel="0" collapsed="false">
      <c r="A438" s="6" t="s">
        <v>2778</v>
      </c>
      <c r="B438" s="6" t="s">
        <v>352</v>
      </c>
      <c r="C438" s="6"/>
      <c r="D438" s="6" t="str">
        <f aca="false">IFERROR(INDEX(Mundarija!$D:$D,MATCH(B438,Mundarija!$A:$A,0)),"kod topilmadi")</f>
        <v>20.7. Skelet, qo‘l-oyoqlar va yumshoq to‘qimalar.</v>
      </c>
      <c r="E438" s="6" t="s">
        <v>2779</v>
      </c>
      <c r="F438" s="11" t="s">
        <v>2780</v>
      </c>
      <c r="G438" s="6" t="s">
        <v>2781</v>
      </c>
      <c r="H438" s="6" t="s">
        <v>2782</v>
      </c>
      <c r="I438" s="6" t="s">
        <v>877</v>
      </c>
      <c r="J438" s="6" t="s">
        <v>877</v>
      </c>
      <c r="K438" s="6" t="s">
        <v>878</v>
      </c>
      <c r="L438" s="6" t="s">
        <v>904</v>
      </c>
      <c r="M438" s="6" t="s">
        <v>912</v>
      </c>
      <c r="N438" s="12" t="s">
        <v>881</v>
      </c>
      <c r="O438" s="6" t="s">
        <v>882</v>
      </c>
      <c r="P438" s="6" t="s">
        <v>2</v>
      </c>
      <c r="Q438" s="6" t="s">
        <v>20</v>
      </c>
      <c r="R438" s="12"/>
      <c r="S438" s="12"/>
      <c r="T438" s="12"/>
      <c r="U438" s="12"/>
      <c r="V438" s="12"/>
      <c r="W438" s="12"/>
      <c r="X438" s="6" t="str">
        <f aca="false">IF(COUNT(R438:W438)=6,SUM(R438:W438),"ko‘rilmagan")</f>
        <v>ko‘rilmagan</v>
      </c>
      <c r="Y438" s="12"/>
    </row>
    <row r="439" customFormat="false" ht="23.85" hidden="false" customHeight="false" outlineLevel="0" collapsed="false">
      <c r="A439" s="6" t="s">
        <v>2783</v>
      </c>
      <c r="B439" s="6" t="s">
        <v>352</v>
      </c>
      <c r="C439" s="6"/>
      <c r="D439" s="6" t="str">
        <f aca="false">IFERROR(INDEX(Mundarija!$D:$D,MATCH(B439,Mundarija!$A:$A,0)),"kod topilmadi")</f>
        <v>20.7. Skelet, qo‘l-oyoqlar va yumshoq to‘qimalar.</v>
      </c>
      <c r="E439" s="6" t="s">
        <v>2784</v>
      </c>
      <c r="F439" s="11" t="s">
        <v>2785</v>
      </c>
      <c r="G439" s="6" t="s">
        <v>1974</v>
      </c>
      <c r="H439" s="6" t="s">
        <v>2786</v>
      </c>
      <c r="I439" s="6" t="s">
        <v>877</v>
      </c>
      <c r="J439" s="6" t="s">
        <v>877</v>
      </c>
      <c r="K439" s="6" t="s">
        <v>878</v>
      </c>
      <c r="L439" s="6" t="s">
        <v>1748</v>
      </c>
      <c r="M439" s="6" t="s">
        <v>912</v>
      </c>
      <c r="N439" s="12" t="s">
        <v>881</v>
      </c>
      <c r="O439" s="6" t="s">
        <v>882</v>
      </c>
      <c r="P439" s="6" t="s">
        <v>2</v>
      </c>
      <c r="Q439" s="6" t="s">
        <v>20</v>
      </c>
      <c r="R439" s="12"/>
      <c r="S439" s="12"/>
      <c r="T439" s="12"/>
      <c r="U439" s="12"/>
      <c r="V439" s="12"/>
      <c r="W439" s="12"/>
      <c r="X439" s="6" t="str">
        <f aca="false">IF(COUNT(R439:W439)=6,SUM(R439:W439),"ko‘rilmagan")</f>
        <v>ko‘rilmagan</v>
      </c>
      <c r="Y439" s="12"/>
    </row>
    <row r="440" customFormat="false" ht="23.85" hidden="false" customHeight="false" outlineLevel="0" collapsed="false">
      <c r="A440" s="6" t="s">
        <v>2787</v>
      </c>
      <c r="B440" s="6" t="s">
        <v>352</v>
      </c>
      <c r="C440" s="6"/>
      <c r="D440" s="6" t="str">
        <f aca="false">IFERROR(INDEX(Mundarija!$D:$D,MATCH(B440,Mundarija!$A:$A,0)),"kod topilmadi")</f>
        <v>20.7. Skelet, qo‘l-oyoqlar va yumshoq to‘qimalar.</v>
      </c>
      <c r="E440" s="6" t="s">
        <v>2788</v>
      </c>
      <c r="F440" s="11" t="s">
        <v>2789</v>
      </c>
      <c r="G440" s="6" t="s">
        <v>1259</v>
      </c>
      <c r="H440" s="6" t="s">
        <v>2332</v>
      </c>
      <c r="I440" s="6" t="s">
        <v>877</v>
      </c>
      <c r="J440" s="6" t="s">
        <v>877</v>
      </c>
      <c r="K440" s="6" t="s">
        <v>878</v>
      </c>
      <c r="L440" s="6" t="s">
        <v>879</v>
      </c>
      <c r="M440" s="6" t="s">
        <v>1713</v>
      </c>
      <c r="N440" s="12" t="s">
        <v>881</v>
      </c>
      <c r="O440" s="6" t="s">
        <v>882</v>
      </c>
      <c r="P440" s="6" t="s">
        <v>2</v>
      </c>
      <c r="Q440" s="6" t="s">
        <v>20</v>
      </c>
      <c r="R440" s="12"/>
      <c r="S440" s="12"/>
      <c r="T440" s="12"/>
      <c r="U440" s="12"/>
      <c r="V440" s="12"/>
      <c r="W440" s="12"/>
      <c r="X440" s="6" t="str">
        <f aca="false">IF(COUNT(R440:W440)=6,SUM(R440:W440),"ko‘rilmagan")</f>
        <v>ko‘rilmagan</v>
      </c>
      <c r="Y440" s="12"/>
    </row>
    <row r="441" customFormat="false" ht="23.85" hidden="false" customHeight="false" outlineLevel="0" collapsed="false">
      <c r="A441" s="6" t="s">
        <v>2790</v>
      </c>
      <c r="B441" s="6" t="s">
        <v>352</v>
      </c>
      <c r="C441" s="6"/>
      <c r="D441" s="6" t="str">
        <f aca="false">IFERROR(INDEX(Mundarija!$D:$D,MATCH(B441,Mundarija!$A:$A,0)),"kod topilmadi")</f>
        <v>20.7. Skelet, qo‘l-oyoqlar va yumshoq to‘qimalar.</v>
      </c>
      <c r="E441" s="6" t="s">
        <v>2791</v>
      </c>
      <c r="F441" s="11" t="s">
        <v>2792</v>
      </c>
      <c r="G441" s="6" t="s">
        <v>2793</v>
      </c>
      <c r="H441" s="6" t="s">
        <v>2794</v>
      </c>
      <c r="I441" s="6" t="s">
        <v>877</v>
      </c>
      <c r="J441" s="6" t="s">
        <v>877</v>
      </c>
      <c r="K441" s="6" t="s">
        <v>878</v>
      </c>
      <c r="L441" s="6" t="s">
        <v>904</v>
      </c>
      <c r="M441" s="6" t="s">
        <v>912</v>
      </c>
      <c r="N441" s="12" t="s">
        <v>881</v>
      </c>
      <c r="O441" s="6" t="s">
        <v>882</v>
      </c>
      <c r="P441" s="6" t="s">
        <v>2</v>
      </c>
      <c r="Q441" s="6" t="s">
        <v>20</v>
      </c>
      <c r="R441" s="12"/>
      <c r="S441" s="12"/>
      <c r="T441" s="12"/>
      <c r="U441" s="12"/>
      <c r="V441" s="12"/>
      <c r="W441" s="12"/>
      <c r="X441" s="6" t="str">
        <f aca="false">IF(COUNT(R441:W441)=6,SUM(R441:W441),"ko‘rilmagan")</f>
        <v>ko‘rilmagan</v>
      </c>
      <c r="Y441" s="12"/>
    </row>
    <row r="442" customFormat="false" ht="23.85" hidden="false" customHeight="false" outlineLevel="0" collapsed="false">
      <c r="A442" s="6" t="s">
        <v>2795</v>
      </c>
      <c r="B442" s="6" t="s">
        <v>415</v>
      </c>
      <c r="C442" s="6"/>
      <c r="D442" s="6" t="str">
        <f aca="false">IFERROR(INDEX(Mundarija!$D:$D,MATCH(B442,Mundarija!$A:$A,0)),"kod topilmadi")</f>
        <v>23.8. Implantlar va maxsus klinik vaziyatlar.</v>
      </c>
      <c r="E442" s="6" t="s">
        <v>2796</v>
      </c>
      <c r="F442" s="11" t="s">
        <v>2797</v>
      </c>
      <c r="G442" s="6" t="s">
        <v>909</v>
      </c>
      <c r="H442" s="6" t="s">
        <v>2287</v>
      </c>
      <c r="I442" s="6" t="s">
        <v>877</v>
      </c>
      <c r="J442" s="6" t="s">
        <v>877</v>
      </c>
      <c r="K442" s="6" t="s">
        <v>878</v>
      </c>
      <c r="L442" s="6" t="s">
        <v>904</v>
      </c>
      <c r="M442" s="6" t="s">
        <v>912</v>
      </c>
      <c r="N442" s="12" t="s">
        <v>881</v>
      </c>
      <c r="O442" s="6" t="s">
        <v>882</v>
      </c>
      <c r="P442" s="6" t="s">
        <v>2</v>
      </c>
      <c r="Q442" s="6" t="s">
        <v>20</v>
      </c>
      <c r="R442" s="12"/>
      <c r="S442" s="12"/>
      <c r="T442" s="12"/>
      <c r="U442" s="12"/>
      <c r="V442" s="12"/>
      <c r="W442" s="12"/>
      <c r="X442" s="6" t="str">
        <f aca="false">IF(COUNT(R442:W442)=6,SUM(R442:W442),"ko‘rilmagan")</f>
        <v>ko‘rilmagan</v>
      </c>
      <c r="Y442" s="12"/>
    </row>
    <row r="443" customFormat="false" ht="23.85" hidden="false" customHeight="false" outlineLevel="0" collapsed="false">
      <c r="A443" s="6" t="s">
        <v>2798</v>
      </c>
      <c r="B443" s="6" t="s">
        <v>489</v>
      </c>
      <c r="C443" s="6"/>
      <c r="D443" s="6" t="str">
        <f aca="false">IFERROR(INDEX(Mundarija!$D:$D,MATCH(B443,Mundarija!$A:$A,0)),"kod topilmadi")</f>
        <v>27.5. Pilorostenoz va invaginatsiya.</v>
      </c>
      <c r="E443" s="6" t="s">
        <v>2799</v>
      </c>
      <c r="F443" s="11" t="s">
        <v>2800</v>
      </c>
      <c r="G443" s="6" t="s">
        <v>1269</v>
      </c>
      <c r="H443" s="6" t="s">
        <v>1733</v>
      </c>
      <c r="I443" s="6" t="s">
        <v>877</v>
      </c>
      <c r="J443" s="6" t="s">
        <v>877</v>
      </c>
      <c r="K443" s="6" t="s">
        <v>878</v>
      </c>
      <c r="L443" s="6" t="s">
        <v>904</v>
      </c>
      <c r="M443" s="6" t="s">
        <v>1713</v>
      </c>
      <c r="N443" s="12" t="s">
        <v>881</v>
      </c>
      <c r="O443" s="6" t="s">
        <v>882</v>
      </c>
      <c r="P443" s="6" t="s">
        <v>2</v>
      </c>
      <c r="Q443" s="6" t="s">
        <v>20</v>
      </c>
      <c r="R443" s="12"/>
      <c r="S443" s="12"/>
      <c r="T443" s="12"/>
      <c r="U443" s="12"/>
      <c r="V443" s="12"/>
      <c r="W443" s="12"/>
      <c r="X443" s="6" t="str">
        <f aca="false">IF(COUNT(R443:W443)=6,SUM(R443:W443),"ko‘rilmagan")</f>
        <v>ko‘rilmagan</v>
      </c>
      <c r="Y443" s="12"/>
    </row>
    <row r="444" customFormat="false" ht="23.85" hidden="false" customHeight="false" outlineLevel="0" collapsed="false">
      <c r="A444" s="6" t="s">
        <v>2801</v>
      </c>
      <c r="B444" s="6" t="s">
        <v>489</v>
      </c>
      <c r="C444" s="6" t="s">
        <v>540</v>
      </c>
      <c r="D444" s="6" t="str">
        <f aca="false">IFERROR(INDEX(Mundarija!$D:$D,MATCH(B444,Mundarija!$A:$A,0)),"kod topilmadi")</f>
        <v>27.5. Pilorostenoz va invaginatsiya.</v>
      </c>
      <c r="E444" s="6" t="s">
        <v>2802</v>
      </c>
      <c r="F444" s="11" t="s">
        <v>2803</v>
      </c>
      <c r="G444" s="6" t="s">
        <v>1628</v>
      </c>
      <c r="H444" s="6" t="s">
        <v>1180</v>
      </c>
      <c r="I444" s="6" t="s">
        <v>877</v>
      </c>
      <c r="J444" s="6" t="s">
        <v>877</v>
      </c>
      <c r="K444" s="6" t="s">
        <v>878</v>
      </c>
      <c r="L444" s="6" t="s">
        <v>904</v>
      </c>
      <c r="M444" s="6" t="s">
        <v>891</v>
      </c>
      <c r="N444" s="12" t="s">
        <v>881</v>
      </c>
      <c r="O444" s="6" t="s">
        <v>882</v>
      </c>
      <c r="P444" s="6" t="s">
        <v>2</v>
      </c>
      <c r="Q444" s="6" t="s">
        <v>20</v>
      </c>
      <c r="R444" s="12"/>
      <c r="S444" s="12"/>
      <c r="T444" s="12"/>
      <c r="U444" s="12"/>
      <c r="V444" s="12"/>
      <c r="W444" s="12"/>
      <c r="X444" s="6" t="str">
        <f aca="false">IF(COUNT(R444:W444)=6,SUM(R444:W444),"ko‘rilmagan")</f>
        <v>ko‘rilmagan</v>
      </c>
      <c r="Y444" s="12"/>
    </row>
    <row r="445" customFormat="false" ht="23.85" hidden="false" customHeight="false" outlineLevel="0" collapsed="false">
      <c r="A445" s="6" t="s">
        <v>2804</v>
      </c>
      <c r="B445" s="6" t="s">
        <v>577</v>
      </c>
      <c r="C445" s="6"/>
      <c r="D445" s="6" t="str">
        <f aca="false">IFERROR(INDEX(Mundarija!$D:$D,MATCH(B445,Mundarija!$A:$A,0)),"kod topilmadi")</f>
        <v>31.7. EUS va intraoperatsion ultratovushga kirish.</v>
      </c>
      <c r="E445" s="6" t="s">
        <v>2805</v>
      </c>
      <c r="F445" s="11" t="s">
        <v>2806</v>
      </c>
      <c r="G445" s="6" t="s">
        <v>2807</v>
      </c>
      <c r="H445" s="6" t="s">
        <v>2808</v>
      </c>
      <c r="I445" s="6" t="s">
        <v>877</v>
      </c>
      <c r="J445" s="6" t="s">
        <v>877</v>
      </c>
      <c r="K445" s="6" t="s">
        <v>878</v>
      </c>
      <c r="L445" s="6" t="s">
        <v>1748</v>
      </c>
      <c r="M445" s="6" t="s">
        <v>891</v>
      </c>
      <c r="N445" s="12" t="s">
        <v>881</v>
      </c>
      <c r="O445" s="6" t="s">
        <v>882</v>
      </c>
      <c r="P445" s="6" t="s">
        <v>2</v>
      </c>
      <c r="Q445" s="6" t="s">
        <v>20</v>
      </c>
      <c r="R445" s="12"/>
      <c r="S445" s="12"/>
      <c r="T445" s="12"/>
      <c r="U445" s="12"/>
      <c r="V445" s="12"/>
      <c r="W445" s="12"/>
      <c r="X445" s="6" t="str">
        <f aca="false">IF(COUNT(R445:W445)=6,SUM(R445:W445),"ko‘rilmagan")</f>
        <v>ko‘rilmagan</v>
      </c>
      <c r="Y445" s="12"/>
    </row>
    <row r="446" customFormat="false" ht="35.05" hidden="false" customHeight="false" outlineLevel="0" collapsed="false">
      <c r="A446" s="6" t="s">
        <v>2809</v>
      </c>
      <c r="B446" s="6" t="s">
        <v>577</v>
      </c>
      <c r="C446" s="6"/>
      <c r="D446" s="6" t="str">
        <f aca="false">IFERROR(INDEX(Mundarija!$D:$D,MATCH(B446,Mundarija!$A:$A,0)),"kod topilmadi")</f>
        <v>31.7. EUS va intraoperatsion ultratovushga kirish.</v>
      </c>
      <c r="E446" s="6" t="s">
        <v>2810</v>
      </c>
      <c r="F446" s="11" t="s">
        <v>2811</v>
      </c>
      <c r="G446" s="6" t="s">
        <v>2812</v>
      </c>
      <c r="H446" s="6" t="s">
        <v>2813</v>
      </c>
      <c r="I446" s="6" t="s">
        <v>877</v>
      </c>
      <c r="J446" s="6" t="s">
        <v>877</v>
      </c>
      <c r="K446" s="6" t="s">
        <v>878</v>
      </c>
      <c r="L446" s="6" t="s">
        <v>1748</v>
      </c>
      <c r="M446" s="6" t="s">
        <v>912</v>
      </c>
      <c r="N446" s="12" t="s">
        <v>881</v>
      </c>
      <c r="O446" s="6" t="s">
        <v>882</v>
      </c>
      <c r="P446" s="6" t="s">
        <v>2</v>
      </c>
      <c r="Q446" s="6" t="s">
        <v>20</v>
      </c>
      <c r="R446" s="12"/>
      <c r="S446" s="12"/>
      <c r="T446" s="12"/>
      <c r="U446" s="12"/>
      <c r="V446" s="12"/>
      <c r="W446" s="12"/>
      <c r="X446" s="6" t="str">
        <f aca="false">IF(COUNT(R446:W446)=6,SUM(R446:W446),"ko‘rilmagan")</f>
        <v>ko‘rilmagan</v>
      </c>
      <c r="Y446" s="12"/>
    </row>
    <row r="447" customFormat="false" ht="23.85" hidden="false" customHeight="false" outlineLevel="0" collapsed="false">
      <c r="A447" s="6" t="s">
        <v>2814</v>
      </c>
      <c r="B447" s="6" t="s">
        <v>595</v>
      </c>
      <c r="C447" s="6" t="s">
        <v>152</v>
      </c>
      <c r="D447" s="6" t="str">
        <f aca="false">IFERROR(INDEX(Mundarija!$D:$D,MATCH(B447,Mundarija!$A:$A,0)),"kod topilmadi")</f>
        <v>33.1. Standart protokollar va tekshiruvning to‘liqligi.</v>
      </c>
      <c r="E447" s="6" t="s">
        <v>2815</v>
      </c>
      <c r="F447" s="11" t="s">
        <v>2816</v>
      </c>
      <c r="G447" s="6" t="s">
        <v>2817</v>
      </c>
      <c r="H447" s="6" t="s">
        <v>1726</v>
      </c>
      <c r="I447" s="6" t="s">
        <v>877</v>
      </c>
      <c r="J447" s="6" t="s">
        <v>877</v>
      </c>
      <c r="K447" s="6" t="s">
        <v>878</v>
      </c>
      <c r="L447" s="6" t="s">
        <v>879</v>
      </c>
      <c r="M447" s="6" t="s">
        <v>891</v>
      </c>
      <c r="N447" s="12" t="s">
        <v>881</v>
      </c>
      <c r="O447" s="6" t="s">
        <v>882</v>
      </c>
      <c r="P447" s="6" t="s">
        <v>2</v>
      </c>
      <c r="Q447" s="6" t="s">
        <v>20</v>
      </c>
      <c r="R447" s="12"/>
      <c r="S447" s="12"/>
      <c r="T447" s="12"/>
      <c r="U447" s="12"/>
      <c r="V447" s="12"/>
      <c r="W447" s="12"/>
      <c r="X447" s="6" t="str">
        <f aca="false">IF(COUNT(R447:W447)=6,SUM(R447:W447),"ko‘rilmagan")</f>
        <v>ko‘rilmagan</v>
      </c>
      <c r="Y447" s="12"/>
    </row>
    <row r="448" customFormat="false" ht="23.85" hidden="false" customHeight="false" outlineLevel="0" collapsed="false">
      <c r="A448" s="6" t="s">
        <v>2818</v>
      </c>
      <c r="B448" s="6" t="s">
        <v>612</v>
      </c>
      <c r="C448" s="6"/>
      <c r="D448" s="6" t="str">
        <f aca="false">IFERROR(INDEX(Mundarija!$D:$D,MATCH(B448,Mundarija!$A:$A,0)),"kod topilmadi")</f>
        <v>33.8. Malaka oshirish, kompetensiya va mahalliy me’yoriy talablar.</v>
      </c>
      <c r="E448" s="6" t="s">
        <v>2819</v>
      </c>
      <c r="F448" s="11" t="s">
        <v>2820</v>
      </c>
      <c r="G448" s="6" t="s">
        <v>1628</v>
      </c>
      <c r="H448" s="6" t="s">
        <v>1180</v>
      </c>
      <c r="I448" s="6" t="s">
        <v>877</v>
      </c>
      <c r="J448" s="6" t="s">
        <v>877</v>
      </c>
      <c r="K448" s="6" t="s">
        <v>878</v>
      </c>
      <c r="L448" s="6" t="s">
        <v>904</v>
      </c>
      <c r="M448" s="6" t="s">
        <v>912</v>
      </c>
      <c r="N448" s="12" t="s">
        <v>881</v>
      </c>
      <c r="O448" s="6" t="s">
        <v>882</v>
      </c>
      <c r="P448" s="6" t="s">
        <v>2</v>
      </c>
      <c r="Q448" s="6" t="s">
        <v>20</v>
      </c>
      <c r="R448" s="12"/>
      <c r="S448" s="12"/>
      <c r="T448" s="12"/>
      <c r="U448" s="12"/>
      <c r="V448" s="12"/>
      <c r="W448" s="12"/>
      <c r="X448" s="6" t="str">
        <f aca="false">IF(COUNT(R448:W448)=6,SUM(R448:W448),"ko‘rilmagan")</f>
        <v>ko‘rilmagan</v>
      </c>
      <c r="Y448" s="12"/>
    </row>
  </sheetData>
  <autoFilter ref="A1:Y448"/>
  <dataValidations count="1">
    <dataValidation allowBlank="true" error="0 dan 5 gacha butun son" errorStyle="stop" operator="between" showDropDown="false" showErrorMessage="false" showInputMessage="false" sqref="R2:W648" type="whole">
      <formula1>0</formula1>
      <formula2>5</formula2>
    </dataValidation>
  </dataValidations>
  <hyperlinks>
    <hyperlink ref="F2" r:id="rId1" display="https://www.youtube.com/watch?v=x6hXhLNc-jU"/>
    <hyperlink ref="F3" r:id="rId2" display="https://www.youtube.com/watch?v=JSUsM8aN1XU"/>
    <hyperlink ref="F4" r:id="rId3" display="https://www.youtube.com/watch?v=GvvGZENUvWc"/>
    <hyperlink ref="F5" r:id="rId4" display="https://www.youtube.com/watch?v=U50O8_fsemY"/>
    <hyperlink ref="F6" r:id="rId5" display="https://www.youtube.com/watch?v=eoze_8nUjfA"/>
    <hyperlink ref="F7" r:id="rId6" display="https://www.youtube.com/watch?v=3pIL7c-8UH8"/>
    <hyperlink ref="F8" r:id="rId7" display="https://www.youtube.com/watch?v=luK0ElID9Hs"/>
    <hyperlink ref="F9" r:id="rId8" display="https://www.youtube.com/watch?v=xLYBOf2da8s"/>
    <hyperlink ref="F10" r:id="rId9" display="https://www.youtube.com/watch?v=SS-ATlJ9OCk"/>
    <hyperlink ref="F11" r:id="rId10" display="https://www.youtube.com/watch?v=yK_ETT0yZ5Q"/>
    <hyperlink ref="F12" r:id="rId11" display="https://www.youtube.com/watch?v=8JjIbqp5kVI"/>
    <hyperlink ref="F13" r:id="rId12" display="https://www.youtube.com/watch?v=LsK7ykAjHog"/>
    <hyperlink ref="F14" r:id="rId13" display="https://www.youtube.com/watch?v=eSekFP_KIQk"/>
    <hyperlink ref="F15" r:id="rId14" display="https://www.youtube.com/watch?v=c6PQzbzJgUg"/>
    <hyperlink ref="F16" r:id="rId15" display="https://www.youtube.com/watch?v=UFU9zVAa6WM"/>
    <hyperlink ref="F17" r:id="rId16" display="https://www.youtube.com/watch?v=jv748J0XB-0"/>
    <hyperlink ref="F18" r:id="rId17" display="https://www.youtube.com/watch?v=htzA4DUZz_s"/>
    <hyperlink ref="F19" r:id="rId18" display="https://www.youtube.com/watch?v=-zXuz0mqe_Q"/>
    <hyperlink ref="F20" r:id="rId19" display="https://www.youtube.com/watch?v=Q1YPZ-04dag"/>
    <hyperlink ref="F21" r:id="rId20" display="https://www.youtube.com/watch?v=77LZeskg4Eg"/>
    <hyperlink ref="F22" r:id="rId21" display="https://www.youtube.com/watch?v=TSHVXMbS2jM"/>
    <hyperlink ref="F23" r:id="rId22" display="https://www.youtube.com/watch?v=HC_tHnNZJ-Q"/>
    <hyperlink ref="F24" r:id="rId23" display="https://www.youtube.com/watch?v=QzZEKS1x0l8"/>
    <hyperlink ref="F25" r:id="rId24" display="https://www.youtube.com/watch?v=C0OFM297MlU"/>
    <hyperlink ref="F26" r:id="rId25" display="https://www.youtube.com/watch?v=iLVeRa95WQc"/>
    <hyperlink ref="F27" r:id="rId26" display="https://www.youtube.com/watch?v=0rmwXyPXwhs"/>
    <hyperlink ref="F28" r:id="rId27" display="https://www.youtube.com/watch?v=EvZSiMTiePI"/>
    <hyperlink ref="F29" r:id="rId28" display="https://www.youtube.com/watch?v=UYtaDkhVrmQ"/>
    <hyperlink ref="F30" r:id="rId29" display="https://www.youtube.com/watch?v=_8R-IiuLM0k"/>
    <hyperlink ref="F31" r:id="rId30" display="https://www.youtube.com/watch?v=8nS4NYD_LnU"/>
    <hyperlink ref="F32" r:id="rId31" display="https://www.youtube.com/watch?v=mKomnw4PEwE"/>
    <hyperlink ref="F33" r:id="rId32" display="https://www.youtube.com/watch?v=z6n7C_4rHhk"/>
    <hyperlink ref="F34" r:id="rId33" display="https://www.youtube.com/watch?v=hMPA6hVPh0A"/>
    <hyperlink ref="F35" r:id="rId34" display="https://www.youtube.com/watch?v=x8suZz5FeuM"/>
    <hyperlink ref="F36" r:id="rId35" display="https://www.youtube.com/watch?v=AvbdjCMA8OU"/>
    <hyperlink ref="F37" r:id="rId36" display="https://www.youtube.com/watch?v=imM2qJY_bEI"/>
    <hyperlink ref="F38" r:id="rId37" display="https://www.youtube.com/watch?v=48m-hcI8i1g"/>
    <hyperlink ref="F39" r:id="rId38" display="https://www.youtube.com/watch?v=0U2Pcu2SjeM"/>
    <hyperlink ref="F40" r:id="rId39" display="https://www.youtube.com/watch?v=SN6_YKVl-U0"/>
    <hyperlink ref="F41" r:id="rId40" display="https://www.youtube.com/watch?v=SyYkOglVVLo"/>
    <hyperlink ref="F42" r:id="rId41" display="https://www.youtube.com/watch?v=NjcYR_tO1iw"/>
    <hyperlink ref="F43" r:id="rId42" display="https://www.youtube.com/watch?v=Xq7VJ864GIg"/>
    <hyperlink ref="F44" r:id="rId43" display="https://www.youtube.com/watch?v=R2yTdxP-j8I"/>
    <hyperlink ref="F45" r:id="rId44" display="https://www.youtube.com/watch?v=NrWKEJD-_RA"/>
    <hyperlink ref="F46" r:id="rId45" display="https://www.youtube.com/watch?v=dIvPZ6Mhraw"/>
    <hyperlink ref="F47" r:id="rId46" display="https://www.youtube.com/watch?v=LeI3ns30mvg"/>
    <hyperlink ref="F48" r:id="rId47" display="https://www.youtube.com/watch?v=U6swOcsO6c0"/>
    <hyperlink ref="F49" r:id="rId48" display="https://www.youtube.com/watch?v=wHdEZaY4M2g"/>
    <hyperlink ref="F50" r:id="rId49" display="https://www.youtube.com/watch?v=3cWIePSocMA"/>
    <hyperlink ref="F51" r:id="rId50" display="https://www.youtube.com/watch?v=XdSrvyKCpfw"/>
    <hyperlink ref="F52" r:id="rId51" display="https://www.youtube.com/watch?v=12AEms8K5oY"/>
    <hyperlink ref="F53" r:id="rId52" display="https://www.youtube.com/watch?v=BEkT3_979fw"/>
    <hyperlink ref="F54" r:id="rId53" display="https://www.youtube.com/watch?v=y8VPgK-tToA"/>
    <hyperlink ref="F55" r:id="rId54" display="https://www.youtube.com/watch?v=HnG1GieOkUk"/>
    <hyperlink ref="F56" r:id="rId55" display="https://www.youtube.com/watch?v=XJ_4bkD8bbg"/>
    <hyperlink ref="F57" r:id="rId56" display="https://www.youtube.com/watch?v=aQRtyG32s1o"/>
    <hyperlink ref="F58" r:id="rId57" display="https://www.youtube.com/watch?v=J5gRFeZ7cZU"/>
    <hyperlink ref="F59" r:id="rId58" display="https://www.youtube.com/watch?v=8pETh6qhIdM"/>
    <hyperlink ref="F60" r:id="rId59" display="https://www.youtube.com/watch?v=A9jHe08T4VE"/>
    <hyperlink ref="F61" r:id="rId60" display="https://www.youtube.com/watch?v=enp-lIVqyBQ"/>
    <hyperlink ref="F62" r:id="rId61" display="https://www.youtube.com/watch?v=374A77l6es0"/>
    <hyperlink ref="F63" r:id="rId62" display="https://www.youtube.com/watch?v=IsJeMgxTFMU"/>
    <hyperlink ref="F64" r:id="rId63" display="https://www.youtube.com/watch?v=e-DBRFgQPYw"/>
    <hyperlink ref="F65" r:id="rId64" display="https://www.youtube.com/watch?v=CZpeA_lJ6rE"/>
    <hyperlink ref="F66" r:id="rId65" display="https://www.youtube.com/watch?v=4JTq2gyW5Nw"/>
    <hyperlink ref="F67" r:id="rId66" display="https://www.youtube.com/watch?v=FpiqQs0gwgI"/>
    <hyperlink ref="F68" r:id="rId67" display="https://www.youtube.com/watch?v=GcS3jKyR5sg"/>
    <hyperlink ref="F69" r:id="rId68" display="https://www.youtube.com/watch?v=sD-aFMQxT08"/>
    <hyperlink ref="F70" r:id="rId69" display="https://www.youtube.com/watch?v=JoQtlTNrGZA"/>
    <hyperlink ref="F71" r:id="rId70" display="https://www.youtube.com/watch?v=veQhbLyqLyU"/>
    <hyperlink ref="F72" r:id="rId71" display="https://www.youtube.com/watch?v=qdlb0bl2eOI"/>
    <hyperlink ref="F73" r:id="rId72" display="https://www.youtube.com/watch?v=vSba7T95CXQ"/>
    <hyperlink ref="F74" r:id="rId73" display="https://www.youtube.com/watch?v=ji2I3Pv1R0g"/>
    <hyperlink ref="F75" r:id="rId74" display="https://www.youtube.com/watch?v=YC3-xfRxwYU"/>
    <hyperlink ref="F76" r:id="rId75" display="https://www.youtube.com/watch?v=R6rX5Qclgl8"/>
    <hyperlink ref="F77" r:id="rId76" display="https://www.youtube.com/watch?v=gcGHNdrgYW8"/>
    <hyperlink ref="F78" r:id="rId77" display="https://www.youtube.com/watch?v=sxLmYjilCxM"/>
    <hyperlink ref="F79" r:id="rId78" display="https://www.youtube.com/watch?v=ULezXrne5n4"/>
    <hyperlink ref="F80" r:id="rId79" display="https://www.youtube.com/watch?v=nPoCYs7uKC0"/>
    <hyperlink ref="F81" r:id="rId80" display="https://www.youtube.com/watch?v=LEd7IzICClE"/>
    <hyperlink ref="F82" r:id="rId81" display="https://www.youtube.com/watch?v=nhVo53WChSA"/>
    <hyperlink ref="F83" r:id="rId82" display="https://www.youtube.com/watch?v=FbXwoxwS1Dw"/>
    <hyperlink ref="F84" r:id="rId83" display="https://www.youtube.com/watch?v=IQ5pUWIu6mI"/>
    <hyperlink ref="F85" r:id="rId84" display="https://www.youtube.com/watch?v=c6A81JiJMSE"/>
    <hyperlink ref="F86" r:id="rId85" display="https://www.youtube.com/watch?v=vpmcgZ7lGFs"/>
    <hyperlink ref="F87" r:id="rId86" display="https://www.youtube.com/watch?v=uyaaVrrBj0I"/>
    <hyperlink ref="F88" r:id="rId87" display="https://www.youtube.com/watch?v=zG8ZZHEMLGA"/>
    <hyperlink ref="F89" r:id="rId88" display="https://www.youtube.com/watch?v=0QdwB2Jr4_o"/>
    <hyperlink ref="F90" r:id="rId89" display="https://www.youtube.com/watch?v=im0gKSxURbg"/>
    <hyperlink ref="F91" r:id="rId90" display="https://www.youtube.com/watch?v=6IV2OcpLUz4"/>
    <hyperlink ref="F92" r:id="rId91" display="https://www.youtube.com/watch?v=JJFx_Se8kvc"/>
    <hyperlink ref="F93" r:id="rId92" display="https://www.youtube.com/watch?v=fPPNqhd9DRk"/>
    <hyperlink ref="F94" r:id="rId93" display="https://www.youtube.com/watch?v=_xXJgRVC0pU"/>
    <hyperlink ref="F95" r:id="rId94" display="https://www.youtube.com/watch?v=7qIoGhlrbVc"/>
    <hyperlink ref="F96" r:id="rId95" display="https://www.youtube.com/watch?v=xrHiJtoggUI"/>
    <hyperlink ref="F97" r:id="rId96" display="https://www.youtube.com/watch?v=l8heXKDGcOA"/>
    <hyperlink ref="F98" r:id="rId97" display="https://www.youtube.com/watch?v=hW9FYG60OUY"/>
    <hyperlink ref="F99" r:id="rId98" display="https://www.youtube.com/watch?v=LQGIWOlGW0E"/>
    <hyperlink ref="F100" r:id="rId99" display="https://www.youtube.com/watch?v=qAyRTluQxU8"/>
    <hyperlink ref="F101" r:id="rId100" display="https://www.youtube.com/watch?v=yGg7Ci88HrQ"/>
    <hyperlink ref="F102" r:id="rId101" display="https://www.youtube.com/watch?v=bwuUR_Z8kb4"/>
    <hyperlink ref="F103" r:id="rId102" display="https://www.youtube.com/watch?v=sA8Sje-Amu0"/>
    <hyperlink ref="F104" r:id="rId103" display="https://www.youtube.com/watch?v=22qAYGU1Y0o"/>
    <hyperlink ref="F105" r:id="rId104" display="https://www.youtube.com/watch?v=Q7KWVNuxHDU"/>
    <hyperlink ref="F106" r:id="rId105" display="https://www.youtube.com/watch?v=L8nAxK3fSpU"/>
    <hyperlink ref="F107" r:id="rId106" display="https://www.youtube.com/watch?v=CENa72T47j0"/>
    <hyperlink ref="F108" r:id="rId107" display="https://www.youtube.com/watch?v=g2_xvYaH7QI"/>
    <hyperlink ref="F109" r:id="rId108" display="https://www.youtube.com/watch?v=Ooy4tdaxGg0"/>
    <hyperlink ref="F110" r:id="rId109" display="https://www.youtube.com/watch?v=BA4K6lfcdAM"/>
    <hyperlink ref="F111" r:id="rId110" display="https://www.youtube.com/watch?v=3_7pAMUD588"/>
    <hyperlink ref="F112" r:id="rId111" display="https://www.youtube.com/watch?v=K3JX3u59UhY"/>
    <hyperlink ref="F113" r:id="rId112" display="https://www.youtube.com/watch?v=yJs1OxjtPu8"/>
    <hyperlink ref="F114" r:id="rId113" display="https://www.youtube.com/watch?v=YCnH12uhPDU"/>
    <hyperlink ref="F115" r:id="rId114" display="https://www.youtube.com/watch?v=AltM6ycwADA"/>
    <hyperlink ref="F116" r:id="rId115" display="https://www.youtube.com/watch?v=KKwAIzhnpCA"/>
    <hyperlink ref="F117" r:id="rId116" display="https://www.youtube.com/watch?v=XTi_JtdnMJM"/>
    <hyperlink ref="F118" r:id="rId117" display="https://www.youtube.com/watch?v=MBXIHbNMIH4"/>
    <hyperlink ref="F119" r:id="rId118" display="https://www.youtube.com/watch?v=s729yinUGbY"/>
    <hyperlink ref="F120" r:id="rId119" display="https://www.youtube.com/watch?v=kK-KIbFOzQw"/>
    <hyperlink ref="F121" r:id="rId120" display="https://www.youtube.com/watch?v=BWQaxujCQOs"/>
    <hyperlink ref="F122" r:id="rId121" display="https://www.youtube.com/watch?v=UN4SN43I_6A"/>
    <hyperlink ref="F123" r:id="rId122" display="https://www.youtube.com/watch?v=-i6o2uF0r8s"/>
    <hyperlink ref="F124" r:id="rId123" display="https://www.youtube.com/watch?v=asGR_FOFljA"/>
    <hyperlink ref="F125" r:id="rId124" display="https://www.youtube.com/watch?v=KD67TdZK70Q"/>
    <hyperlink ref="F126" r:id="rId125" display="https://www.youtube.com/watch?v=mOrHMGMVSh4"/>
    <hyperlink ref="F127" r:id="rId126" display="https://www.youtube.com/watch?v=WP1xj15MjnM"/>
    <hyperlink ref="F128" r:id="rId127" display="https://www.youtube.com/watch?v=dLuWKMY8cV8"/>
    <hyperlink ref="F129" r:id="rId128" display="https://www.youtube.com/watch?v=M-X7PIuxHS0"/>
    <hyperlink ref="F130" r:id="rId129" display="https://www.youtube.com/watch?v=b3NaWMh6tgQ"/>
    <hyperlink ref="F131" r:id="rId130" display="https://www.youtube.com/watch?v=sWR9a3tBZVY"/>
    <hyperlink ref="F132" r:id="rId131" display="https://www.youtube.com/watch?v=1pkokOa9arg"/>
    <hyperlink ref="F133" r:id="rId132" display="https://www.youtube.com/watch?v=BwSJCkTBN0c"/>
    <hyperlink ref="F134" r:id="rId133" display="https://www.youtube.com/watch?v=TCpKWtJ9g9A"/>
    <hyperlink ref="F135" r:id="rId134" display="https://www.youtube.com/watch?v=BkBcQBgUdWw"/>
    <hyperlink ref="F136" r:id="rId135" display="https://www.youtube.com/watch?v=_rakGya8Y3E"/>
    <hyperlink ref="F137" r:id="rId136" display="https://www.youtube.com/watch?v=DY_RDyZBSL4"/>
    <hyperlink ref="F138" r:id="rId137" display="https://www.youtube.com/watch?v=D91jcPrxIJw"/>
    <hyperlink ref="F139" r:id="rId138" display="https://www.youtube.com/watch?v=7KNgLUA587w"/>
    <hyperlink ref="F140" r:id="rId139" display="https://www.youtube.com/watch?v=eanifUMkxHo"/>
    <hyperlink ref="F141" r:id="rId140" display="https://www.youtube.com/watch?v=2B1KRrid-b4"/>
    <hyperlink ref="F142" r:id="rId141" display="https://www.youtube.com/watch?v=SCnuJpgJaxc"/>
    <hyperlink ref="F143" r:id="rId142" display="https://www.youtube.com/watch?v=7F86WvNvU3U"/>
    <hyperlink ref="F144" r:id="rId143" display="https://www.youtube.com/watch?v=F3s_Jh29H5w"/>
    <hyperlink ref="F145" r:id="rId144" display="https://www.youtube.com/watch?v=03aBMNSCuzA"/>
    <hyperlink ref="F146" r:id="rId145" display="https://www.youtube.com/watch?v=GhkNXh0m5Nk"/>
    <hyperlink ref="F147" r:id="rId146" display="https://www.youtube.com/watch?v=2vT6TudpdLs"/>
    <hyperlink ref="F148" r:id="rId147" display="https://www.youtube.com/watch?v=r5WvUEPhCfo"/>
    <hyperlink ref="F149" r:id="rId148" display="https://www.youtube.com/watch?v=upxTXulI7Vw"/>
    <hyperlink ref="F150" r:id="rId149" display="https://www.youtube.com/watch?v=AxuGkz78pBA"/>
    <hyperlink ref="F151" r:id="rId150" display="https://www.youtube.com/watch?v=MhiAiPvxiUM"/>
    <hyperlink ref="F152" r:id="rId151" display="https://www.youtube.com/watch?v=v1Sbi4wdMVs"/>
    <hyperlink ref="F153" r:id="rId152" display="https://www.youtube.com/watch?v=ZFsYdpEkRRc"/>
    <hyperlink ref="F154" r:id="rId153" display="https://www.youtube.com/watch?v=gH1EabSgLMk"/>
    <hyperlink ref="F155" r:id="rId154" display="https://www.youtube.com/watch?v=OBzbE0H9FUM"/>
    <hyperlink ref="F156" r:id="rId155" display="https://www.youtube.com/watch?v=VCq-ZQg6i08"/>
    <hyperlink ref="F157" r:id="rId156" display="https://www.youtube.com/watch?v=CV3jWuFSHo4"/>
    <hyperlink ref="F158" r:id="rId157" display="https://www.youtube.com/watch?v=TKPTNFeMGTA"/>
    <hyperlink ref="F159" r:id="rId158" display="https://www.youtube.com/watch?v=jIn1ZDOUY00"/>
    <hyperlink ref="F160" r:id="rId159" display="https://www.youtube.com/watch?v=3S48hbwkFdg"/>
    <hyperlink ref="F161" r:id="rId160" display="https://www.youtube.com/watch?v=3ECCimg6KSE"/>
    <hyperlink ref="F162" r:id="rId161" display="https://www.youtube.com/watch?v=NnoHlaxJhes"/>
    <hyperlink ref="F163" r:id="rId162" display="https://www.youtube.com/watch?v=l_Ef3D9-8jc"/>
    <hyperlink ref="F164" r:id="rId163" display="https://www.youtube.com/watch?v=10Tus9CBjG4"/>
    <hyperlink ref="F165" r:id="rId164" display="https://www.youtube.com/watch?v=7d4luvgDnnU"/>
    <hyperlink ref="F166" r:id="rId165" display="https://www.youtube.com/watch?v=4M_mon2ubH0"/>
    <hyperlink ref="F167" r:id="rId166" display="https://www.youtube.com/watch?v=zYUjp9_GHCg"/>
    <hyperlink ref="F168" r:id="rId167" display="https://www.youtube.com/watch?v=lkb3nwp_jIE"/>
    <hyperlink ref="F169" r:id="rId168" display="https://www.youtube.com/watch?v=pUDjkNvsfEc"/>
    <hyperlink ref="F170" r:id="rId169" display="https://www.youtube.com/watch?v=jnrb8dKKHvw"/>
    <hyperlink ref="F171" r:id="rId170" display="https://www.youtube.com/watch?v=Bg2LHJoIgao"/>
    <hyperlink ref="F172" r:id="rId171" display="https://www.youtube.com/watch?v=iRhuwIV6msA"/>
    <hyperlink ref="F173" r:id="rId172" display="https://www.youtube.com/watch?v=sLAIM8GJR3w"/>
    <hyperlink ref="F174" r:id="rId173" display="https://www.youtube.com/watch?v=Ql7RBhjJ7GE"/>
    <hyperlink ref="F175" r:id="rId174" display="https://www.youtube.com/watch?v=SLhqztA0E2I"/>
    <hyperlink ref="F176" r:id="rId175" display="https://www.youtube.com/watch?v=nnpASPO3WxQ"/>
    <hyperlink ref="F177" r:id="rId176" display="https://www.youtube.com/watch?v=y7QZvbPdVC4"/>
    <hyperlink ref="F178" r:id="rId177" display="https://www.youtube.com/watch?v=oLmjuV11eTs"/>
    <hyperlink ref="F179" r:id="rId178" display="https://www.youtube.com/watch?v=R2szHuS-jFc"/>
    <hyperlink ref="F180" r:id="rId179" display="https://www.youtube.com/watch?v=DZgK3I78PCA"/>
    <hyperlink ref="F181" r:id="rId180" display="https://www.youtube.com/watch?v=xVgVavfHn7I"/>
    <hyperlink ref="F182" r:id="rId181" display="https://www.youtube.com/watch?v=iVPJ4J4tP3g"/>
    <hyperlink ref="F183" r:id="rId182" display="https://www.youtube.com/watch?v=MzIelLQ4Gmo"/>
    <hyperlink ref="F184" r:id="rId183" display="https://www.youtube.com/watch?v=D-0Quvs4aL4"/>
    <hyperlink ref="F185" r:id="rId184" display="https://www.youtube.com/watch?v=69gsm1iMGr0"/>
    <hyperlink ref="F186" r:id="rId185" display="https://www.youtube.com/watch?v=uR_fIjMSmpo"/>
    <hyperlink ref="F187" r:id="rId186" display="https://www.youtube.com/watch?v=FwL7IKsfjZ0"/>
    <hyperlink ref="F188" r:id="rId187" display="https://www.youtube.com/watch?v=VFsn-LfKCjI"/>
    <hyperlink ref="F189" r:id="rId188" display="https://www.youtube.com/watch?v=TyuYETb4k_I"/>
    <hyperlink ref="F190" r:id="rId189" display="https://www.youtube.com/watch?v=vGKgUPf3A64"/>
    <hyperlink ref="F191" r:id="rId190" display="https://www.youtube.com/watch?v=oAoqrEsk5_k"/>
    <hyperlink ref="F192" r:id="rId191" display="https://www.youtube.com/watch?v=d23v9RM3GXA"/>
    <hyperlink ref="F193" r:id="rId192" display="https://www.youtube.com/watch?v=uts5CNIBuXk"/>
    <hyperlink ref="F194" r:id="rId193" display="https://www.youtube.com/watch?v=kWHAzsYec6o"/>
    <hyperlink ref="F195" r:id="rId194" display="https://www.youtube.com/watch?v=f_GR7AZEDWo"/>
    <hyperlink ref="F196" r:id="rId195" display="https://www.youtube.com/watch?v=lKWYc414iro"/>
    <hyperlink ref="F197" r:id="rId196" display="https://www.youtube.com/watch?v=77ArLz9A7yI"/>
    <hyperlink ref="F198" r:id="rId197" display="https://www.youtube.com/watch?v=dgk8uNfJnAQ"/>
    <hyperlink ref="F199" r:id="rId198" display="https://www.youtube.com/watch?v=4T39JIOiytw"/>
    <hyperlink ref="F200" r:id="rId199" display="https://www.youtube.com/watch?v=b-W_PCM7Tfk"/>
    <hyperlink ref="F201" r:id="rId200" display="https://www.youtube.com/watch?v=raIclmdJOPo"/>
    <hyperlink ref="F202" r:id="rId201" display="https://www.youtube.com/watch?v=HAe1cqz3NBs"/>
    <hyperlink ref="F203" r:id="rId202" display="https://www.youtube.com/watch?v=V4VuRC5oC8c"/>
    <hyperlink ref="F204" r:id="rId203" display="https://www.youtube.com/watch?v=0Fa60LWMuPk"/>
    <hyperlink ref="F205" r:id="rId204" display="https://www.youtube.com/watch?v=uCbcN87colY"/>
    <hyperlink ref="F206" r:id="rId205" display="https://www.youtube.com/watch?v=edk-IFhNPp0"/>
    <hyperlink ref="F207" r:id="rId206" display="https://www.youtube.com/watch?v=4jsv2ClMV6o"/>
    <hyperlink ref="F208" r:id="rId207" display="https://www.youtube.com/watch?v=3z53bFanal4"/>
    <hyperlink ref="F209" r:id="rId208" display="https://www.youtube.com/watch?v=cL8aSaXYjuA"/>
    <hyperlink ref="F210" r:id="rId209" display="https://www.youtube.com/watch?v=yTRL5DDVsn0"/>
    <hyperlink ref="F211" r:id="rId210" display="https://www.youtube.com/watch?v=ILdHR_ZTt0c"/>
    <hyperlink ref="F212" r:id="rId211" display="https://www.youtube.com/watch?v=j6HKEUrJs0U"/>
    <hyperlink ref="F213" r:id="rId212" display="https://www.youtube.com/watch?v=-FRkMaG7ok4"/>
    <hyperlink ref="F214" r:id="rId213" display="https://www.youtube.com/watch?v=dKS3AFX1cAc"/>
    <hyperlink ref="F215" r:id="rId214" display="https://www.youtube.com/watch?v=eSnBj7k4RHI"/>
    <hyperlink ref="F216" r:id="rId215" display="https://www.youtube.com/watch?v=mjA7tOUJDtQ"/>
    <hyperlink ref="F217" r:id="rId216" display="https://www.youtube.com/watch?v=cRdiTjNfKoc"/>
    <hyperlink ref="F218" r:id="rId217" display="https://www.youtube.com/watch?v=6EQ7Klt5deY"/>
    <hyperlink ref="F219" r:id="rId218" display="https://www.youtube.com/watch?v=CEdkxDrsUl0"/>
    <hyperlink ref="F220" r:id="rId219" display="https://www.youtube.com/watch?v=aonx_SmsNUg"/>
    <hyperlink ref="F221" r:id="rId220" display="https://www.youtube.com/watch?v=S0VT5FIdusM"/>
    <hyperlink ref="F222" r:id="rId221" display="https://www.youtube.com/watch?v=xK2n8FL-FDQ"/>
    <hyperlink ref="F223" r:id="rId222" display="https://www.youtube.com/watch?v=uiHuUQAK5aA"/>
    <hyperlink ref="F224" r:id="rId223" display="https://www.youtube.com/watch?v=8msfDgSs2DQ"/>
    <hyperlink ref="F225" r:id="rId224" display="https://www.youtube.com/watch?v=4kiYVtQRp5Q"/>
    <hyperlink ref="F226" r:id="rId225" display="https://www.youtube.com/watch?v=mJ1qLENEmCU"/>
    <hyperlink ref="F227" r:id="rId226" display="https://www.youtube.com/watch?v=FWCc-4uc4Gg"/>
    <hyperlink ref="F228" r:id="rId227" display="https://www.youtube.com/watch?v=NAJ8vEHi47g"/>
    <hyperlink ref="F229" r:id="rId228" display="https://www.youtube.com/watch?v=95hfv5CDagk"/>
    <hyperlink ref="F230" r:id="rId229" display="https://www.youtube.com/watch?v=Y0i9aEq3nPI"/>
    <hyperlink ref="F231" r:id="rId230" display="https://www.youtube.com/watch?v=t9Nfrkfx2yY"/>
    <hyperlink ref="F232" r:id="rId231" display="https://www.youtube.com/watch?v=mgSbrOJtYF0"/>
    <hyperlink ref="F233" r:id="rId232" display="https://www.youtube.com/watch?v=tiyIh86V1w0"/>
    <hyperlink ref="F234" r:id="rId233" display="https://www.youtube.com/watch?v=k4zizDotKGY"/>
    <hyperlink ref="F235" r:id="rId234" display="https://www.youtube.com/watch?v=uJNNdtixjaI"/>
    <hyperlink ref="F236" r:id="rId235" display="https://www.youtube.com/watch?v=5fdcofNDsnc"/>
    <hyperlink ref="F237" r:id="rId236" display="https://www.youtube.com/watch?v=S3hdw5ps9Y4"/>
    <hyperlink ref="F238" r:id="rId237" display="https://www.youtube.com/watch?v=f_rImBA5p0o"/>
    <hyperlink ref="F239" r:id="rId238" display="https://www.youtube.com/watch?v=xZ0XGDjMP-Y"/>
    <hyperlink ref="F240" r:id="rId239" display="https://www.youtube.com/watch?v=H4pFkouRNQU"/>
    <hyperlink ref="F241" r:id="rId240" display="https://www.youtube.com/watch?v=tY8LfQZix6c"/>
    <hyperlink ref="F242" r:id="rId241" display="https://www.youtube.com/watch?v=LwsIsm4LVlA"/>
    <hyperlink ref="F243" r:id="rId242" display="https://www.youtube.com/watch?v=rHw1juJvsOo"/>
    <hyperlink ref="F244" r:id="rId243" display="https://www.youtube.com/watch?v=Pg1ZNXv8_Jo"/>
    <hyperlink ref="F245" r:id="rId244" display="https://www.youtube.com/watch?v=58pckPHl5ss"/>
    <hyperlink ref="F246" r:id="rId245" display="https://www.youtube.com/watch?v=VYqv6z9M3qk"/>
    <hyperlink ref="F247" r:id="rId246" display="https://www.youtube.com/watch?v=-QlMiyUl1nQ"/>
    <hyperlink ref="F248" r:id="rId247" display="https://www.youtube.com/watch?v=ZvVwU57osa4"/>
    <hyperlink ref="F249" r:id="rId248" display="https://www.youtube.com/watch?v=Hlb-rO_dc8s"/>
    <hyperlink ref="F250" r:id="rId249" display="https://www.youtube.com/watch?v=x_oYxvyv11s"/>
    <hyperlink ref="F251" r:id="rId250" display="https://www.youtube.com/watch?v=hOuvpubuSaw"/>
    <hyperlink ref="F252" r:id="rId251" display="https://www.youtube.com/watch?v=4tPKM69ZMHE"/>
    <hyperlink ref="F253" r:id="rId252" display="https://www.youtube.com/watch?v=VuaIfoh8Ptc"/>
    <hyperlink ref="F254" r:id="rId253" display="https://www.youtube.com/watch?v=FCz-gDAicd8"/>
    <hyperlink ref="F255" r:id="rId254" display="https://www.youtube.com/watch?v=hEq1Y8Pm3fg"/>
    <hyperlink ref="F256" r:id="rId255" display="https://www.youtube.com/watch?v=FcDaoIzxgcM"/>
    <hyperlink ref="F257" r:id="rId256" display="https://www.youtube.com/watch?v=hWXD8EeJo6s"/>
    <hyperlink ref="F258" r:id="rId257" display="https://www.youtube.com/watch?v=UWwkysQdNIU"/>
    <hyperlink ref="F259" r:id="rId258" display="https://www.youtube.com/watch?v=4z6I3yGVS-M"/>
    <hyperlink ref="F260" r:id="rId259" display="https://www.youtube.com/watch?v=LBgLEM2jm-c"/>
    <hyperlink ref="F261" r:id="rId260" display="https://www.youtube.com/watch?v=X-e_WsgWjUU"/>
    <hyperlink ref="F262" r:id="rId261" display="https://www.youtube.com/watch?v=mEJU6T0Ac2c"/>
    <hyperlink ref="F263" r:id="rId262" display="https://www.youtube.com/watch?v=gNLTZipajwM"/>
    <hyperlink ref="F264" r:id="rId263" display="https://www.youtube.com/watch?v=PAJ5UomIm4w"/>
    <hyperlink ref="F265" r:id="rId264" display="https://www.youtube.com/watch?v=RmxR883d7DQ"/>
    <hyperlink ref="F266" r:id="rId265" display="https://www.youtube.com/watch?v=mWFupi4YOBA"/>
    <hyperlink ref="F267" r:id="rId266" display="https://www.youtube.com/watch?v=I2vhPP1VgkA"/>
    <hyperlink ref="F268" r:id="rId267" display="https://www.youtube.com/watch?v=ADQxr0da_yk"/>
    <hyperlink ref="F269" r:id="rId268" display="https://www.youtube.com/watch?v=IaejYqKM6mI"/>
    <hyperlink ref="F270" r:id="rId269" display="https://www.youtube.com/watch?v=0jwR7ClJZgo"/>
    <hyperlink ref="F271" r:id="rId270" display="https://www.youtube.com/watch?v=TeGAC9MoZow"/>
    <hyperlink ref="F272" r:id="rId271" display="https://www.youtube.com/watch?v=n5HblR27soE"/>
    <hyperlink ref="F273" r:id="rId272" display="https://www.youtube.com/watch?v=QFDDU7lpsuA"/>
    <hyperlink ref="F274" r:id="rId273" display="https://www.youtube.com/watch?v=LcuG9zdK4tM"/>
    <hyperlink ref="F275" r:id="rId274" display="https://www.youtube.com/watch?v=fyegmq-hMhI"/>
    <hyperlink ref="F276" r:id="rId275" display="https://www.youtube.com/watch?v=SHhKyEaW1NM"/>
    <hyperlink ref="F277" r:id="rId276" display="https://www.youtube.com/watch?v=Flc8xS2foOU"/>
    <hyperlink ref="F278" r:id="rId277" display="https://www.youtube.com/watch?v=ts4a50k08bE"/>
    <hyperlink ref="F279" r:id="rId278" display="https://www.youtube.com/watch?v=cFHfoL1k_pk"/>
    <hyperlink ref="F280" r:id="rId279" display="https://www.youtube.com/watch?v=PeTOlKIaNBI"/>
    <hyperlink ref="F281" r:id="rId280" display="https://www.youtube.com/watch?v=3El9mtbhkX4"/>
    <hyperlink ref="F282" r:id="rId281" display="https://www.youtube.com/watch?v=jF22GbTfFS4"/>
    <hyperlink ref="F283" r:id="rId282" display="https://www.youtube.com/watch?v=1kuYwCDc0tM"/>
    <hyperlink ref="F284" r:id="rId283" display="https://www.youtube.com/watch?v=pZT_13noYjE"/>
    <hyperlink ref="F285" r:id="rId284" display="https://www.youtube.com/watch?v=WJ6EfMZwr6o"/>
    <hyperlink ref="F286" r:id="rId285" display="https://www.youtube.com/watch?v=xcTmcjBMLrU"/>
    <hyperlink ref="F287" r:id="rId286" display="https://www.youtube.com/watch?v=Rm5H_kH2QTg"/>
    <hyperlink ref="F288" r:id="rId287" display="https://www.youtube.com/watch?v=kCCE16_X9_o"/>
    <hyperlink ref="F289" r:id="rId288" display="https://www.youtube.com/watch?v=KfGIkbE_7Yo"/>
    <hyperlink ref="F290" r:id="rId289" display="https://www.youtube.com/watch?v=c5r5o6tdWGo"/>
    <hyperlink ref="F291" r:id="rId290" display="https://www.youtube.com/watch?v=idFDcFpnCGQ"/>
    <hyperlink ref="F292" r:id="rId291" display="https://www.youtube.com/watch?v=kygmtUisB4Y"/>
    <hyperlink ref="F293" r:id="rId292" display="https://www.youtube.com/watch?v=QXMD7dTurO4"/>
    <hyperlink ref="F294" r:id="rId293" display="https://www.youtube.com/watch?v=D2ce7sfiOT0"/>
    <hyperlink ref="F295" r:id="rId294" display="https://www.youtube.com/watch?v=3MsngAG8Pjs"/>
    <hyperlink ref="F296" r:id="rId295" display="https://www.youtube.com/watch?v=WiYZdPS6Wjs"/>
    <hyperlink ref="F297" r:id="rId296" display="https://www.youtube.com/watch?v=AfwjVLFYYt0"/>
    <hyperlink ref="F298" r:id="rId297" display="https://www.youtube.com/watch?v=5mC4uIjsxjI"/>
    <hyperlink ref="F299" r:id="rId298" display="https://www.youtube.com/watch?v=UggcygRRar8"/>
    <hyperlink ref="F300" r:id="rId299" display="https://www.youtube.com/watch?v=fOM-_AGGyxI"/>
    <hyperlink ref="F301" r:id="rId300" display="https://www.youtube.com/watch?v=m3hkemZU3P0"/>
    <hyperlink ref="F302" r:id="rId301" display="https://www.youtube.com/watch?v=tKFjmbKRuuY"/>
    <hyperlink ref="F303" r:id="rId302" display="https://www.youtube.com/watch?v=u_JnrufkxFc"/>
    <hyperlink ref="F304" r:id="rId303" display="https://www.youtube.com/watch?v=yG6R8vwbaTA"/>
    <hyperlink ref="F305" r:id="rId304" display="https://www.youtube.com/watch?v=PLsiuY8DVz4"/>
    <hyperlink ref="F306" r:id="rId305" display="https://www.youtube.com/watch?v=shceIjFAyQ8"/>
    <hyperlink ref="F307" r:id="rId306" display="https://www.youtube.com/watch?v=-c2z6E1ZYv4"/>
    <hyperlink ref="F308" r:id="rId307" display="https://www.youtube.com/watch?v=UUgFHvQl_Zg"/>
    <hyperlink ref="F309" r:id="rId308" display="https://www.youtube.com/watch?v=jAI9PBfPB_Q"/>
    <hyperlink ref="F310" r:id="rId309" display="https://www.youtube.com/watch?v=znsVV0Y2D38"/>
    <hyperlink ref="F311" r:id="rId310" display="https://www.youtube.com/watch?v=TPrepneQZkY"/>
    <hyperlink ref="F312" r:id="rId311" display="https://www.youtube.com/watch?v=0BfDNNj87zk"/>
    <hyperlink ref="F313" r:id="rId312" display="https://www.youtube.com/watch?v=ipkAb5RHF_M"/>
    <hyperlink ref="F314" r:id="rId313" display="https://www.youtube.com/watch?v=cJGFcVnOTug"/>
    <hyperlink ref="F315" r:id="rId314" display="https://www.youtube.com/watch?v=P9cR8czVyr4"/>
    <hyperlink ref="F316" r:id="rId315" display="https://www.youtube.com/watch?v=uZs18hx6yCk"/>
    <hyperlink ref="F317" r:id="rId316" display="https://www.youtube.com/watch?v=WZRvDxP6Abc"/>
    <hyperlink ref="F318" r:id="rId317" display="https://www.youtube.com/watch?v=PzhApRYmpX4"/>
    <hyperlink ref="F319" r:id="rId318" display="https://www.youtube.com/watch?v=FaMwTyYeogI"/>
    <hyperlink ref="F320" r:id="rId319" display="https://www.youtube.com/watch?v=Sq_iRyFIceA"/>
    <hyperlink ref="F321" r:id="rId320" display="https://www.youtube.com/watch?v=ruhbh3UZaCM"/>
    <hyperlink ref="F322" r:id="rId321" display="https://www.youtube.com/watch?v=zAX4ofzWvds"/>
    <hyperlink ref="F323" r:id="rId322" display="https://www.youtube.com/watch?v=bw5gAYuAA3k"/>
    <hyperlink ref="F324" r:id="rId323" display="https://www.youtube.com/watch?v=EIwnKdYPtJ4"/>
    <hyperlink ref="F325" r:id="rId324" display="https://www.youtube.com/watch?v=doFMIeb_PXc"/>
    <hyperlink ref="F326" r:id="rId325" display="https://www.youtube.com/watch?v=FCeS3Kx_vKE"/>
    <hyperlink ref="F327" r:id="rId326" display="https://www.youtube.com/watch?v=eywfXP4HAug"/>
    <hyperlink ref="F328" r:id="rId327" display="https://www.youtube.com/watch?v=C9r_GqeJXSM"/>
    <hyperlink ref="F329" r:id="rId328" display="https://www.youtube.com/watch?v=qyIqEL18GxM"/>
    <hyperlink ref="F330" r:id="rId329" display="https://www.youtube.com/watch?v=7Yfe2vOpFmY"/>
    <hyperlink ref="F331" r:id="rId330" display="https://www.youtube.com/watch?v=8TIxHJVr3Sk"/>
    <hyperlink ref="F332" r:id="rId331" display="https://www.youtube.com/watch?v=KecEMRTWlJY"/>
    <hyperlink ref="F333" r:id="rId332" display="https://www.youtube.com/watch?v=LrCt0o30ygY"/>
    <hyperlink ref="F334" r:id="rId333" display="https://www.youtube.com/watch?v=xLCHZBG8nv0"/>
    <hyperlink ref="F335" r:id="rId334" display="https://www.youtube.com/watch?v=Xv0abFuo5gY"/>
    <hyperlink ref="F336" r:id="rId335" display="https://www.youtube.com/watch?v=nWyF1SoIeBQ"/>
    <hyperlink ref="F337" r:id="rId336" display="https://www.youtube.com/watch?v=SQfxMrcJd08"/>
    <hyperlink ref="F338" r:id="rId337" display="https://www.youtube.com/watch?v=h2geLj0rsf0"/>
    <hyperlink ref="F339" r:id="rId338" display="https://www.youtube.com/watch?v=bRlOQVrITRE"/>
    <hyperlink ref="F340" r:id="rId339" display="https://www.youtube.com/watch?v=l-BX3wVhDIg"/>
    <hyperlink ref="F341" r:id="rId340" display="https://www.youtube.com/watch?v=NMeXq1bjWHs"/>
    <hyperlink ref="F342" r:id="rId341" display="https://www.youtube.com/watch?v=OVUmIIpG8kU"/>
    <hyperlink ref="F343" r:id="rId342" display="https://www.youtube.com/watch?v=1HFbwq0BI5k"/>
    <hyperlink ref="F344" r:id="rId343" display="https://www.youtube.com/watch?v=jv-dLWJCsSo"/>
    <hyperlink ref="F345" r:id="rId344" display="https://www.youtube.com/watch?v=7a35oUQ6qCE"/>
    <hyperlink ref="F346" r:id="rId345" display="https://www.youtube.com/watch?v=0KbvJQtzN7M"/>
    <hyperlink ref="F347" r:id="rId346" display="https://www.youtube.com/watch?v=n1aFbAidte4"/>
    <hyperlink ref="F348" r:id="rId347" display="https://www.youtube.com/watch?v=qs0_Z5iODnk"/>
    <hyperlink ref="F349" r:id="rId348" display="https://www.youtube.com/watch?v=nqzRStX8_As"/>
    <hyperlink ref="F350" r:id="rId349" display="https://www.youtube.com/watch?v=PigsnIUYITE"/>
    <hyperlink ref="F351" r:id="rId350" display="https://www.youtube.com/watch?v=bbvoDaLRcbw"/>
    <hyperlink ref="F352" r:id="rId351" display="https://www.youtube.com/watch?v=sDmaPj0ntu8"/>
    <hyperlink ref="F353" r:id="rId352" display="https://www.youtube.com/watch?v=ONhWQ2iH5yU"/>
    <hyperlink ref="F354" r:id="rId353" display="https://www.youtube.com/watch?v=aNU6KSqL1T0"/>
    <hyperlink ref="F355" r:id="rId354" display="https://www.youtube.com/watch?v=IPPCWEbO_xA"/>
    <hyperlink ref="F356" r:id="rId355" display="https://www.youtube.com/watch?v=Yk_uxvJDOD8"/>
    <hyperlink ref="F357" r:id="rId356" display="https://www.youtube.com/watch?v=UJa9tPzbSXw"/>
    <hyperlink ref="F358" r:id="rId357" display="https://www.youtube.com/watch?v=3ZV3wBT-bbk"/>
    <hyperlink ref="F359" r:id="rId358" display="https://www.youtube.com/watch?v=5yfBvOGrHgs"/>
    <hyperlink ref="F360" r:id="rId359" display="https://www.youtube.com/watch?v=t5P7WxxhzOQ"/>
    <hyperlink ref="F361" r:id="rId360" display="https://www.youtube.com/watch?v=ZohmxyYSqSw"/>
    <hyperlink ref="F362" r:id="rId361" display="https://www.youtube.com/watch?v=w8-K3Z9abBA"/>
    <hyperlink ref="F363" r:id="rId362" display="https://www.youtube.com/watch?v=StWQOqUckZM"/>
    <hyperlink ref="F364" r:id="rId363" display="https://www.youtube.com/watch?v=cBxFVyF2Xy8"/>
    <hyperlink ref="F365" r:id="rId364" display="https://www.youtube.com/watch?v=c6gif0wXZoY"/>
    <hyperlink ref="F366" r:id="rId365" display="https://www.youtube.com/watch?v=tCDZRtU7R8M"/>
    <hyperlink ref="F367" r:id="rId366" display="https://www.youtube.com/watch?v=iBNhC7KfaFA"/>
    <hyperlink ref="F368" r:id="rId367" display="https://www.youtube.com/watch?v=nDWhfoUc_98"/>
    <hyperlink ref="F369" r:id="rId368" display="https://www.youtube.com/watch?v=DbIKr8lMVD8"/>
    <hyperlink ref="F370" r:id="rId369" display="https://www.youtube.com/watch?v=zBesTEum5yM"/>
    <hyperlink ref="F371" r:id="rId370" display="https://www.youtube.com/watch?v=00ElYXPyngk"/>
    <hyperlink ref="F372" r:id="rId371" display="https://www.youtube.com/watch?v=Mcp1NHwq5L8"/>
    <hyperlink ref="F373" r:id="rId372" display="https://www.youtube.com/watch?v=zZGlBijatSQ"/>
    <hyperlink ref="F374" r:id="rId373" display="https://www.youtube.com/watch?v=BS79gV3Ef6Y"/>
    <hyperlink ref="F375" r:id="rId374" display="https://www.youtube.com/watch?v=CJeBZejU0ts"/>
    <hyperlink ref="F376" r:id="rId375" display="https://www.youtube.com/watch?v=ozGTm_DvRSs"/>
    <hyperlink ref="F377" r:id="rId376" display="https://www.youtube.com/watch?v=P5DqGxxN70s"/>
    <hyperlink ref="F378" r:id="rId377" display="https://www.youtube.com/watch?v=CrzW-v_5BiQ"/>
    <hyperlink ref="F379" r:id="rId378" display="https://www.youtube.com/watch?v=NreeQ5eViiU"/>
    <hyperlink ref="F380" r:id="rId379" display="https://www.youtube.com/watch?v=OA4FNAQpeRc"/>
    <hyperlink ref="F381" r:id="rId380" display="https://www.youtube.com/watch?v=TfMBzqYCMyI"/>
    <hyperlink ref="F382" r:id="rId381" display="https://www.youtube.com/watch?v=tMpjaozbegU"/>
    <hyperlink ref="F383" r:id="rId382" display="https://www.youtube.com/watch?v=yRFf2erCqpA"/>
    <hyperlink ref="F384" r:id="rId383" display="https://www.youtube.com/watch?v=jpcvhUSZ_4k"/>
    <hyperlink ref="F385" r:id="rId384" display="https://www.youtube.com/watch?v=nj5fACHLCIo"/>
    <hyperlink ref="F386" r:id="rId385" display="https://www.youtube.com/watch?v=v9ar1mhpT-g"/>
    <hyperlink ref="F387" r:id="rId386" display="https://www.youtube.com/watch?v=9xBnci2N7zU"/>
    <hyperlink ref="F388" r:id="rId387" display="https://www.youtube.com/watch?v=goWpi2BtNcE"/>
    <hyperlink ref="F389" r:id="rId388" display="https://www.youtube.com/watch?v=wVt9frJBk5s"/>
    <hyperlink ref="F390" r:id="rId389" display="https://www.youtube.com/watch?v=P7k1Ejw1dAM"/>
    <hyperlink ref="F391" r:id="rId390" display="https://www.youtube.com/watch?v=tMy978ZwaDU"/>
    <hyperlink ref="F392" r:id="rId391" display="https://www.youtube.com/watch?v=ooSB9_nRL54"/>
    <hyperlink ref="F393" r:id="rId392" display="https://www.youtube.com/watch?v=gsf9fSF031M"/>
    <hyperlink ref="F394" r:id="rId393" display="https://www.youtube.com/watch?v=4zvnuij5Byg"/>
    <hyperlink ref="F395" r:id="rId394" display="https://www.youtube.com/watch?v=ys6vUOsrD-k"/>
    <hyperlink ref="F396" r:id="rId395" display="https://www.youtube.com/watch?v=woMY390LDAU"/>
    <hyperlink ref="F397" r:id="rId396" display="https://www.youtube.com/watch?v=AsD9Lp-q45Y"/>
    <hyperlink ref="F398" r:id="rId397" display="https://www.youtube.com/watch?v=xs9RceAkYy4"/>
    <hyperlink ref="F399" r:id="rId398" display="https://www.youtube.com/watch?v=zUM6N3197O4"/>
    <hyperlink ref="F400" r:id="rId399" display="https://www.youtube.com/watch?v=bPrAxDE2zHw"/>
    <hyperlink ref="F401" r:id="rId400" display="https://www.youtube.com/watch?v=sHUGGxurNog"/>
    <hyperlink ref="F402" r:id="rId401" display="https://www.youtube.com/watch?v=GIau9Z-C4_Y"/>
    <hyperlink ref="F403" r:id="rId402" display="https://www.youtube.com/watch?v=Gupf1_H4bSI"/>
    <hyperlink ref="F404" r:id="rId403" display="https://www.youtube.com/watch?v=bXrZr9nl3yc"/>
    <hyperlink ref="F405" r:id="rId404" display="https://www.youtube.com/watch?v=ORlQ4sITmz4"/>
    <hyperlink ref="F406" r:id="rId405" display="https://www.youtube.com/watch?v=3xzCESrWumA"/>
    <hyperlink ref="F407" r:id="rId406" display="https://www.youtube.com/watch?v=WuexfCIAUEA"/>
    <hyperlink ref="F408" r:id="rId407" display="https://www.youtube.com/watch?v=2WcUJQiorR8"/>
    <hyperlink ref="F409" r:id="rId408" display="https://www.youtube.com/watch?v=lh4ZVMxRKfM"/>
    <hyperlink ref="F410" r:id="rId409" display="https://www.youtube.com/watch?v=L6Klbaxp_eE"/>
    <hyperlink ref="F411" r:id="rId410" display="https://www.youtube.com/watch?v=jA_vi46GUp4"/>
    <hyperlink ref="F412" r:id="rId411" display="https://www.youtube.com/watch?v=ZOr33tDOVjw"/>
    <hyperlink ref="F413" r:id="rId412" display="https://www.youtube.com/watch?v=WexDD7eH_-I"/>
    <hyperlink ref="F414" r:id="rId413" display="https://www.youtube.com/watch?v=o4RaquIWGpI"/>
    <hyperlink ref="F415" r:id="rId414" display="https://www.youtube.com/watch?v=6HtKv6dbQBQ"/>
    <hyperlink ref="F416" r:id="rId415" display="https://www.youtube.com/watch?v=WxtTbXlKpoY"/>
    <hyperlink ref="F417" r:id="rId416" display="https://www.youtube.com/watch?v=NCPk_3e-uos"/>
    <hyperlink ref="F418" r:id="rId417" display="https://www.youtube.com/watch?v=89iCXXVPhUA"/>
    <hyperlink ref="F419" r:id="rId418" display="https://www.youtube.com/watch?v=2ezbh-31ugw"/>
    <hyperlink ref="F420" r:id="rId419" display="https://www.youtube.com/watch?v=z5ZnC5Pnx_k"/>
    <hyperlink ref="F421" r:id="rId420" display="https://www.youtube.com/watch?v=hyRbWnxifWg"/>
    <hyperlink ref="F422" r:id="rId421" display="https://www.youtube.com/watch?v=0DlJWaODxhk"/>
    <hyperlink ref="F423" r:id="rId422" display="https://www.youtube.com/watch?v=bMQjWxDAPaI"/>
    <hyperlink ref="F424" r:id="rId423" display="https://www.youtube.com/watch?v=Vx1idQA4rFs"/>
    <hyperlink ref="F425" r:id="rId424" display="https://www.youtube.com/watch?v=mOgREEp6chs"/>
    <hyperlink ref="F426" r:id="rId425" display="https://www.youtube.com/watch?v=E72lvRcgI3A"/>
    <hyperlink ref="F427" r:id="rId426" display="https://www.youtube.com/watch?v=YHb3Fbul070"/>
    <hyperlink ref="F428" r:id="rId427" display="https://www.youtube.com/watch?v=PHYkL-0Y-50"/>
    <hyperlink ref="F429" r:id="rId428" display="https://www.youtube.com/watch?v=7Je_qUhdkY8"/>
    <hyperlink ref="F430" r:id="rId429" display="https://www.youtube.com/watch?v=EPh60ad6gSE"/>
    <hyperlink ref="F431" r:id="rId430" display="https://www.youtube.com/watch?v=O9XYjGqPNRM"/>
    <hyperlink ref="F432" r:id="rId431" display="https://www.youtube.com/watch?v=VcdDgXT6oU0"/>
    <hyperlink ref="F433" r:id="rId432" display="https://www.youtube.com/watch?v=v0TKyJSH--Q"/>
    <hyperlink ref="F434" r:id="rId433" display="https://www.youtube.com/watch?v=061-1JLptiI"/>
    <hyperlink ref="F435" r:id="rId434" display="https://www.youtube.com/watch?v=r4TP8lQkZ1c"/>
    <hyperlink ref="F436" r:id="rId435" display="https://www.youtube.com/watch?v=_7VBvxZ7fSg"/>
    <hyperlink ref="F437" r:id="rId436" display="https://www.youtube.com/watch?v=Zp8pjAxe9Fo"/>
    <hyperlink ref="F438" r:id="rId437" display="https://www.youtube.com/watch?v=hGzrB46auCQ"/>
    <hyperlink ref="F439" r:id="rId438" display="https://www.youtube.com/watch?v=WAsNGfncNf0"/>
    <hyperlink ref="F440" r:id="rId439" display="https://www.youtube.com/watch?v=9zDaNOJ81rU"/>
    <hyperlink ref="F441" r:id="rId440" display="https://www.youtube.com/watch?v=IEI_pcLGX6I"/>
    <hyperlink ref="F442" r:id="rId441" display="https://www.youtube.com/watch?v=iWCtYl427uQ"/>
    <hyperlink ref="F443" r:id="rId442" display="https://www.youtube.com/watch?v=O6ZjG9c_b-I"/>
    <hyperlink ref="F444" r:id="rId443" display="https://www.youtube.com/watch?v=p4EpL5dVmiU"/>
    <hyperlink ref="F445" r:id="rId444" display="https://www.youtube.com/watch?v=LeLbN_FQcds"/>
    <hyperlink ref="F446" r:id="rId445" display="https://www.youtube.com/watch?v=DmKyfzScGkY"/>
    <hyperlink ref="F447" r:id="rId446" display="https://www.youtube.com/watch?v=enQBV0rbQ2I"/>
    <hyperlink ref="F448" r:id="rId447" display="https://www.youtube.com/watch?v=HHRZvqlXBU4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48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60"/>
    <col collapsed="false" customWidth="true" hidden="false" outlineLevel="0" max="4" min="4" style="0" width="32"/>
  </cols>
  <sheetData>
    <row r="1" customFormat="false" ht="31.5" hidden="false" customHeight="true" outlineLevel="0" collapsed="false">
      <c r="A1" s="5" t="s">
        <v>797</v>
      </c>
      <c r="B1" s="5" t="s">
        <v>2821</v>
      </c>
      <c r="C1" s="5" t="s">
        <v>2822</v>
      </c>
      <c r="D1" s="5" t="s">
        <v>2823</v>
      </c>
    </row>
    <row r="2" customFormat="false" ht="23.85" hidden="false" customHeight="false" outlineLevel="0" collapsed="false">
      <c r="A2" s="11" t="s">
        <v>2824</v>
      </c>
      <c r="B2" s="6" t="s">
        <v>2825</v>
      </c>
      <c r="C2" s="6" t="s">
        <v>2826</v>
      </c>
      <c r="D2" s="6" t="s">
        <v>2827</v>
      </c>
    </row>
    <row r="3" customFormat="false" ht="15" hidden="false" customHeight="false" outlineLevel="0" collapsed="false">
      <c r="A3" s="11" t="s">
        <v>2828</v>
      </c>
      <c r="B3" s="6" t="s">
        <v>2829</v>
      </c>
      <c r="C3" s="6" t="s">
        <v>2830</v>
      </c>
      <c r="D3" s="6" t="s">
        <v>2827</v>
      </c>
    </row>
    <row r="4" customFormat="false" ht="15" hidden="false" customHeight="false" outlineLevel="0" collapsed="false">
      <c r="A4" s="11" t="s">
        <v>2831</v>
      </c>
      <c r="B4" s="6" t="s">
        <v>2832</v>
      </c>
      <c r="C4" s="6" t="s">
        <v>2833</v>
      </c>
      <c r="D4" s="6" t="s">
        <v>2827</v>
      </c>
    </row>
    <row r="5" customFormat="false" ht="23.85" hidden="false" customHeight="false" outlineLevel="0" collapsed="false">
      <c r="A5" s="11" t="s">
        <v>2834</v>
      </c>
      <c r="B5" s="6" t="s">
        <v>2835</v>
      </c>
      <c r="C5" s="6" t="s">
        <v>2836</v>
      </c>
      <c r="D5" s="6" t="s">
        <v>2827</v>
      </c>
    </row>
    <row r="6" customFormat="false" ht="23.85" hidden="false" customHeight="false" outlineLevel="0" collapsed="false">
      <c r="A6" s="11" t="s">
        <v>2837</v>
      </c>
      <c r="B6" s="6" t="s">
        <v>2838</v>
      </c>
      <c r="C6" s="6" t="s">
        <v>2839</v>
      </c>
      <c r="D6" s="6" t="s">
        <v>2840</v>
      </c>
    </row>
    <row r="7" customFormat="false" ht="23.85" hidden="false" customHeight="false" outlineLevel="0" collapsed="false">
      <c r="A7" s="11" t="s">
        <v>2841</v>
      </c>
      <c r="B7" s="6" t="s">
        <v>2842</v>
      </c>
      <c r="C7" s="6" t="s">
        <v>2843</v>
      </c>
      <c r="D7" s="6" t="s">
        <v>2844</v>
      </c>
    </row>
    <row r="8" customFormat="false" ht="15" hidden="false" customHeight="false" outlineLevel="0" collapsed="false">
      <c r="A8" s="11" t="s">
        <v>2845</v>
      </c>
      <c r="B8" s="6" t="s">
        <v>2846</v>
      </c>
      <c r="C8" s="6" t="s">
        <v>2847</v>
      </c>
      <c r="D8" s="6" t="s">
        <v>2844</v>
      </c>
    </row>
    <row r="9" customFormat="false" ht="15" hidden="false" customHeight="false" outlineLevel="0" collapsed="false">
      <c r="A9" s="11" t="s">
        <v>2848</v>
      </c>
      <c r="B9" s="6" t="s">
        <v>2849</v>
      </c>
      <c r="C9" s="6" t="s">
        <v>2850</v>
      </c>
      <c r="D9" s="6" t="s">
        <v>2851</v>
      </c>
    </row>
    <row r="10" customFormat="false" ht="15" hidden="false" customHeight="false" outlineLevel="0" collapsed="false">
      <c r="A10" s="11" t="s">
        <v>2852</v>
      </c>
      <c r="B10" s="6" t="s">
        <v>2853</v>
      </c>
      <c r="C10" s="6" t="s">
        <v>2854</v>
      </c>
      <c r="D10" s="6" t="s">
        <v>2851</v>
      </c>
    </row>
    <row r="11" customFormat="false" ht="15" hidden="false" customHeight="false" outlineLevel="0" collapsed="false">
      <c r="A11" s="11" t="s">
        <v>2855</v>
      </c>
      <c r="B11" s="6" t="s">
        <v>2856</v>
      </c>
      <c r="C11" s="6" t="s">
        <v>2857</v>
      </c>
      <c r="D11" s="6" t="s">
        <v>2851</v>
      </c>
    </row>
    <row r="12" customFormat="false" ht="15" hidden="false" customHeight="false" outlineLevel="0" collapsed="false">
      <c r="A12" s="11" t="s">
        <v>2858</v>
      </c>
      <c r="B12" s="6" t="s">
        <v>2859</v>
      </c>
      <c r="C12" s="6" t="s">
        <v>2860</v>
      </c>
      <c r="D12" s="6" t="s">
        <v>2840</v>
      </c>
    </row>
    <row r="13" customFormat="false" ht="23.85" hidden="false" customHeight="false" outlineLevel="0" collapsed="false">
      <c r="A13" s="11" t="s">
        <v>2861</v>
      </c>
      <c r="B13" s="6" t="s">
        <v>2862</v>
      </c>
      <c r="C13" s="6" t="s">
        <v>2863</v>
      </c>
      <c r="D13" s="6" t="s">
        <v>2864</v>
      </c>
    </row>
    <row r="14" customFormat="false" ht="15" hidden="false" customHeight="false" outlineLevel="0" collapsed="false">
      <c r="A14" s="11" t="s">
        <v>2865</v>
      </c>
      <c r="B14" s="6" t="s">
        <v>2866</v>
      </c>
      <c r="C14" s="6" t="s">
        <v>2867</v>
      </c>
      <c r="D14" s="6" t="s">
        <v>2844</v>
      </c>
    </row>
    <row r="15" customFormat="false" ht="15" hidden="false" customHeight="false" outlineLevel="0" collapsed="false">
      <c r="A15" s="11" t="s">
        <v>1028</v>
      </c>
      <c r="B15" s="6" t="s">
        <v>1027</v>
      </c>
      <c r="C15" s="6" t="s">
        <v>2868</v>
      </c>
      <c r="D15" s="6" t="s">
        <v>2869</v>
      </c>
    </row>
    <row r="16" customFormat="false" ht="23.85" hidden="false" customHeight="false" outlineLevel="0" collapsed="false">
      <c r="A16" s="11" t="s">
        <v>1120</v>
      </c>
      <c r="B16" s="6" t="s">
        <v>1119</v>
      </c>
      <c r="C16" s="6" t="s">
        <v>2868</v>
      </c>
      <c r="D16" s="6" t="s">
        <v>2869</v>
      </c>
    </row>
    <row r="17" customFormat="false" ht="15" hidden="false" customHeight="false" outlineLevel="0" collapsed="false">
      <c r="A17" s="11" t="s">
        <v>1126</v>
      </c>
      <c r="B17" s="6" t="s">
        <v>1125</v>
      </c>
      <c r="C17" s="6" t="s">
        <v>2868</v>
      </c>
      <c r="D17" s="6" t="s">
        <v>2869</v>
      </c>
    </row>
    <row r="18" customFormat="false" ht="15" hidden="false" customHeight="false" outlineLevel="0" collapsed="false">
      <c r="A18" s="11" t="s">
        <v>2870</v>
      </c>
      <c r="B18" s="6" t="s">
        <v>2871</v>
      </c>
      <c r="C18" s="6" t="s">
        <v>2850</v>
      </c>
      <c r="D18" s="6" t="s">
        <v>2851</v>
      </c>
    </row>
    <row r="19" customFormat="false" ht="15" hidden="false" customHeight="false" outlineLevel="0" collapsed="false">
      <c r="A19" s="11" t="s">
        <v>2872</v>
      </c>
      <c r="B19" s="6" t="s">
        <v>2873</v>
      </c>
      <c r="C19" s="6" t="s">
        <v>2854</v>
      </c>
      <c r="D19" s="6" t="s">
        <v>2851</v>
      </c>
    </row>
    <row r="20" customFormat="false" ht="23.85" hidden="false" customHeight="false" outlineLevel="0" collapsed="false">
      <c r="A20" s="11" t="s">
        <v>2874</v>
      </c>
      <c r="B20" s="6" t="s">
        <v>2875</v>
      </c>
      <c r="C20" s="6" t="s">
        <v>2876</v>
      </c>
      <c r="D20" s="6" t="s">
        <v>2844</v>
      </c>
    </row>
    <row r="21" customFormat="false" ht="23.85" hidden="false" customHeight="false" outlineLevel="0" collapsed="false">
      <c r="A21" s="11" t="s">
        <v>2877</v>
      </c>
      <c r="B21" s="6" t="s">
        <v>2878</v>
      </c>
      <c r="C21" s="6" t="s">
        <v>2879</v>
      </c>
      <c r="D21" s="6" t="s">
        <v>2844</v>
      </c>
    </row>
    <row r="22" customFormat="false" ht="15" hidden="false" customHeight="false" outlineLevel="0" collapsed="false">
      <c r="A22" s="11" t="s">
        <v>2880</v>
      </c>
      <c r="B22" s="6" t="s">
        <v>2881</v>
      </c>
      <c r="C22" s="6" t="s">
        <v>2882</v>
      </c>
      <c r="D22" s="6" t="s">
        <v>2851</v>
      </c>
    </row>
    <row r="23" customFormat="false" ht="23.85" hidden="false" customHeight="false" outlineLevel="0" collapsed="false">
      <c r="A23" s="11" t="s">
        <v>2883</v>
      </c>
      <c r="B23" s="6" t="s">
        <v>2884</v>
      </c>
      <c r="C23" s="6" t="s">
        <v>2882</v>
      </c>
      <c r="D23" s="6" t="s">
        <v>2851</v>
      </c>
    </row>
    <row r="24" customFormat="false" ht="15" hidden="false" customHeight="false" outlineLevel="0" collapsed="false">
      <c r="A24" s="11" t="s">
        <v>2885</v>
      </c>
      <c r="B24" s="6" t="s">
        <v>2886</v>
      </c>
      <c r="C24" s="6" t="s">
        <v>2882</v>
      </c>
      <c r="D24" s="6" t="s">
        <v>2851</v>
      </c>
    </row>
    <row r="25" customFormat="false" ht="15" hidden="false" customHeight="false" outlineLevel="0" collapsed="false">
      <c r="A25" s="11" t="s">
        <v>2887</v>
      </c>
      <c r="B25" s="6" t="s">
        <v>2888</v>
      </c>
      <c r="C25" s="6" t="s">
        <v>2889</v>
      </c>
      <c r="D25" s="6" t="s">
        <v>2851</v>
      </c>
    </row>
    <row r="26" customFormat="false" ht="15" hidden="false" customHeight="false" outlineLevel="0" collapsed="false">
      <c r="A26" s="11" t="s">
        <v>2890</v>
      </c>
      <c r="B26" s="6" t="s">
        <v>2891</v>
      </c>
      <c r="C26" s="6" t="s">
        <v>2892</v>
      </c>
      <c r="D26" s="6" t="s">
        <v>2851</v>
      </c>
    </row>
    <row r="27" customFormat="false" ht="15" hidden="false" customHeight="false" outlineLevel="0" collapsed="false">
      <c r="A27" s="11" t="s">
        <v>2893</v>
      </c>
      <c r="B27" s="6" t="s">
        <v>2894</v>
      </c>
      <c r="C27" s="6" t="s">
        <v>2895</v>
      </c>
      <c r="D27" s="6" t="s">
        <v>2844</v>
      </c>
    </row>
    <row r="28" customFormat="false" ht="15" hidden="false" customHeight="false" outlineLevel="0" collapsed="false">
      <c r="A28" s="11" t="s">
        <v>2896</v>
      </c>
      <c r="B28" s="6" t="s">
        <v>2897</v>
      </c>
      <c r="C28" s="6" t="s">
        <v>2898</v>
      </c>
      <c r="D28" s="6" t="s">
        <v>2844</v>
      </c>
    </row>
    <row r="29" customFormat="false" ht="15" hidden="false" customHeight="false" outlineLevel="0" collapsed="false">
      <c r="A29" s="11" t="s">
        <v>2899</v>
      </c>
      <c r="B29" s="6" t="s">
        <v>2900</v>
      </c>
      <c r="C29" s="6" t="s">
        <v>2901</v>
      </c>
      <c r="D29" s="6" t="s">
        <v>2844</v>
      </c>
    </row>
    <row r="30" customFormat="false" ht="15" hidden="false" customHeight="false" outlineLevel="0" collapsed="false">
      <c r="A30" s="11" t="s">
        <v>2902</v>
      </c>
      <c r="B30" s="6" t="s">
        <v>2903</v>
      </c>
      <c r="C30" s="6" t="s">
        <v>2889</v>
      </c>
      <c r="D30" s="6" t="s">
        <v>2851</v>
      </c>
    </row>
    <row r="31" customFormat="false" ht="15" hidden="false" customHeight="false" outlineLevel="0" collapsed="false">
      <c r="A31" s="11" t="s">
        <v>2904</v>
      </c>
      <c r="B31" s="6" t="s">
        <v>2905</v>
      </c>
      <c r="C31" s="6" t="s">
        <v>2882</v>
      </c>
      <c r="D31" s="6" t="s">
        <v>2851</v>
      </c>
    </row>
    <row r="32" customFormat="false" ht="15" hidden="false" customHeight="false" outlineLevel="0" collapsed="false">
      <c r="A32" s="11" t="s">
        <v>2906</v>
      </c>
      <c r="B32" s="6" t="s">
        <v>2907</v>
      </c>
      <c r="C32" s="6" t="s">
        <v>2882</v>
      </c>
      <c r="D32" s="6" t="s">
        <v>2851</v>
      </c>
    </row>
    <row r="33" customFormat="false" ht="15" hidden="false" customHeight="false" outlineLevel="0" collapsed="false">
      <c r="A33" s="11" t="s">
        <v>2908</v>
      </c>
      <c r="B33" s="6" t="s">
        <v>2909</v>
      </c>
      <c r="C33" s="6" t="s">
        <v>2889</v>
      </c>
      <c r="D33" s="6" t="s">
        <v>2851</v>
      </c>
    </row>
    <row r="34" customFormat="false" ht="15" hidden="false" customHeight="false" outlineLevel="0" collapsed="false">
      <c r="A34" s="11" t="s">
        <v>2910</v>
      </c>
      <c r="B34" s="6" t="s">
        <v>2911</v>
      </c>
      <c r="C34" s="6" t="s">
        <v>2882</v>
      </c>
      <c r="D34" s="6" t="s">
        <v>2851</v>
      </c>
    </row>
    <row r="35" customFormat="false" ht="23.85" hidden="false" customHeight="false" outlineLevel="0" collapsed="false">
      <c r="A35" s="11" t="s">
        <v>2912</v>
      </c>
      <c r="B35" s="6" t="s">
        <v>2913</v>
      </c>
      <c r="C35" s="6" t="s">
        <v>2889</v>
      </c>
      <c r="D35" s="6" t="s">
        <v>2851</v>
      </c>
    </row>
    <row r="36" customFormat="false" ht="15" hidden="false" customHeight="false" outlineLevel="0" collapsed="false">
      <c r="A36" s="11" t="s">
        <v>2914</v>
      </c>
      <c r="B36" s="6" t="s">
        <v>2915</v>
      </c>
      <c r="C36" s="6" t="s">
        <v>2889</v>
      </c>
      <c r="D36" s="6" t="s">
        <v>2851</v>
      </c>
    </row>
    <row r="37" customFormat="false" ht="15" hidden="false" customHeight="false" outlineLevel="0" collapsed="false">
      <c r="A37" s="11" t="s">
        <v>2916</v>
      </c>
      <c r="B37" s="6" t="s">
        <v>2917</v>
      </c>
      <c r="C37" s="6" t="s">
        <v>2889</v>
      </c>
      <c r="D37" s="6" t="s">
        <v>2851</v>
      </c>
    </row>
    <row r="38" customFormat="false" ht="15" hidden="false" customHeight="false" outlineLevel="0" collapsed="false">
      <c r="A38" s="11" t="s">
        <v>2918</v>
      </c>
      <c r="B38" s="6" t="s">
        <v>2919</v>
      </c>
      <c r="C38" s="6" t="s">
        <v>2892</v>
      </c>
      <c r="D38" s="6" t="s">
        <v>2851</v>
      </c>
    </row>
    <row r="39" customFormat="false" ht="15" hidden="false" customHeight="false" outlineLevel="0" collapsed="false">
      <c r="A39" s="11" t="s">
        <v>2920</v>
      </c>
      <c r="B39" s="6" t="s">
        <v>2921</v>
      </c>
      <c r="C39" s="6" t="s">
        <v>2922</v>
      </c>
      <c r="D39" s="6" t="s">
        <v>2844</v>
      </c>
    </row>
    <row r="40" customFormat="false" ht="15" hidden="false" customHeight="false" outlineLevel="0" collapsed="false">
      <c r="A40" s="11" t="s">
        <v>2923</v>
      </c>
      <c r="B40" s="6" t="s">
        <v>2924</v>
      </c>
      <c r="C40" s="6" t="s">
        <v>2925</v>
      </c>
      <c r="D40" s="6" t="s">
        <v>2844</v>
      </c>
    </row>
    <row r="41" customFormat="false" ht="15" hidden="false" customHeight="false" outlineLevel="0" collapsed="false">
      <c r="A41" s="11" t="s">
        <v>2926</v>
      </c>
      <c r="B41" s="6" t="s">
        <v>2927</v>
      </c>
      <c r="C41" s="6" t="s">
        <v>2882</v>
      </c>
      <c r="D41" s="6" t="s">
        <v>2851</v>
      </c>
    </row>
    <row r="42" customFormat="false" ht="15" hidden="false" customHeight="false" outlineLevel="0" collapsed="false">
      <c r="A42" s="11" t="s">
        <v>2928</v>
      </c>
      <c r="B42" s="6" t="s">
        <v>2929</v>
      </c>
      <c r="C42" s="6" t="s">
        <v>2882</v>
      </c>
      <c r="D42" s="6" t="s">
        <v>2851</v>
      </c>
    </row>
    <row r="43" customFormat="false" ht="15" hidden="false" customHeight="false" outlineLevel="0" collapsed="false">
      <c r="A43" s="11" t="s">
        <v>2930</v>
      </c>
      <c r="B43" s="6" t="s">
        <v>2931</v>
      </c>
      <c r="C43" s="6" t="s">
        <v>2882</v>
      </c>
      <c r="D43" s="6" t="s">
        <v>2851</v>
      </c>
    </row>
    <row r="44" customFormat="false" ht="15" hidden="false" customHeight="false" outlineLevel="0" collapsed="false">
      <c r="A44" s="11" t="s">
        <v>2932</v>
      </c>
      <c r="B44" s="6" t="s">
        <v>2933</v>
      </c>
      <c r="C44" s="6" t="s">
        <v>2882</v>
      </c>
      <c r="D44" s="6" t="s">
        <v>2851</v>
      </c>
    </row>
    <row r="45" customFormat="false" ht="15" hidden="false" customHeight="false" outlineLevel="0" collapsed="false">
      <c r="A45" s="11" t="s">
        <v>2934</v>
      </c>
      <c r="B45" s="6" t="s">
        <v>2935</v>
      </c>
      <c r="C45" s="6" t="s">
        <v>2936</v>
      </c>
      <c r="D45" s="6" t="s">
        <v>2844</v>
      </c>
    </row>
    <row r="46" customFormat="false" ht="15" hidden="false" customHeight="false" outlineLevel="0" collapsed="false">
      <c r="A46" s="11" t="s">
        <v>2937</v>
      </c>
      <c r="B46" s="6" t="s">
        <v>2938</v>
      </c>
      <c r="C46" s="6" t="s">
        <v>2939</v>
      </c>
      <c r="D46" s="6" t="s">
        <v>2844</v>
      </c>
    </row>
    <row r="47" customFormat="false" ht="15" hidden="false" customHeight="false" outlineLevel="0" collapsed="false">
      <c r="A47" s="11" t="s">
        <v>2940</v>
      </c>
      <c r="B47" s="6" t="s">
        <v>2941</v>
      </c>
      <c r="C47" s="6" t="s">
        <v>2857</v>
      </c>
      <c r="D47" s="6" t="s">
        <v>2851</v>
      </c>
    </row>
    <row r="48" customFormat="false" ht="15" hidden="false" customHeight="false" outlineLevel="0" collapsed="false">
      <c r="A48" s="11" t="s">
        <v>2942</v>
      </c>
      <c r="B48" s="6" t="s">
        <v>2943</v>
      </c>
      <c r="C48" s="6" t="s">
        <v>2892</v>
      </c>
      <c r="D48" s="6" t="s">
        <v>2851</v>
      </c>
    </row>
    <row r="49" customFormat="false" ht="15" hidden="false" customHeight="false" outlineLevel="0" collapsed="false">
      <c r="A49" s="11" t="s">
        <v>2944</v>
      </c>
      <c r="B49" s="6" t="s">
        <v>2945</v>
      </c>
      <c r="C49" s="6" t="s">
        <v>2946</v>
      </c>
      <c r="D49" s="6" t="s">
        <v>2851</v>
      </c>
    </row>
    <row r="50" customFormat="false" ht="15" hidden="false" customHeight="false" outlineLevel="0" collapsed="false">
      <c r="A50" s="11" t="s">
        <v>2947</v>
      </c>
      <c r="B50" s="6" t="s">
        <v>2948</v>
      </c>
      <c r="C50" s="6" t="s">
        <v>2892</v>
      </c>
      <c r="D50" s="6" t="s">
        <v>2851</v>
      </c>
    </row>
    <row r="51" customFormat="false" ht="15" hidden="false" customHeight="false" outlineLevel="0" collapsed="false">
      <c r="A51" s="11" t="s">
        <v>2949</v>
      </c>
      <c r="B51" s="6" t="s">
        <v>2950</v>
      </c>
      <c r="C51" s="6" t="s">
        <v>2854</v>
      </c>
      <c r="D51" s="6" t="s">
        <v>2851</v>
      </c>
    </row>
    <row r="52" customFormat="false" ht="15" hidden="false" customHeight="false" outlineLevel="0" collapsed="false">
      <c r="A52" s="11" t="s">
        <v>2951</v>
      </c>
      <c r="B52" s="6" t="s">
        <v>2952</v>
      </c>
      <c r="C52" s="6" t="s">
        <v>2946</v>
      </c>
      <c r="D52" s="6" t="s">
        <v>2851</v>
      </c>
    </row>
    <row r="53" customFormat="false" ht="15" hidden="false" customHeight="false" outlineLevel="0" collapsed="false">
      <c r="A53" s="11" t="s">
        <v>2953</v>
      </c>
      <c r="B53" s="6" t="s">
        <v>2954</v>
      </c>
      <c r="C53" s="6" t="s">
        <v>2946</v>
      </c>
      <c r="D53" s="6" t="s">
        <v>2851</v>
      </c>
    </row>
    <row r="54" customFormat="false" ht="15" hidden="false" customHeight="false" outlineLevel="0" collapsed="false">
      <c r="A54" s="11" t="s">
        <v>2955</v>
      </c>
      <c r="B54" s="6" t="s">
        <v>2956</v>
      </c>
      <c r="C54" s="6" t="s">
        <v>2946</v>
      </c>
      <c r="D54" s="6" t="s">
        <v>2851</v>
      </c>
    </row>
    <row r="55" customFormat="false" ht="15" hidden="false" customHeight="false" outlineLevel="0" collapsed="false">
      <c r="A55" s="11" t="s">
        <v>2957</v>
      </c>
      <c r="B55" s="6" t="s">
        <v>2958</v>
      </c>
      <c r="C55" s="6" t="s">
        <v>2959</v>
      </c>
      <c r="D55" s="6" t="s">
        <v>2851</v>
      </c>
    </row>
    <row r="56" customFormat="false" ht="15" hidden="false" customHeight="false" outlineLevel="0" collapsed="false">
      <c r="A56" s="11" t="s">
        <v>2960</v>
      </c>
      <c r="B56" s="6" t="s">
        <v>2961</v>
      </c>
      <c r="C56" s="6" t="s">
        <v>2857</v>
      </c>
      <c r="D56" s="6" t="s">
        <v>2851</v>
      </c>
    </row>
    <row r="57" customFormat="false" ht="15" hidden="false" customHeight="false" outlineLevel="0" collapsed="false">
      <c r="A57" s="11" t="s">
        <v>2962</v>
      </c>
      <c r="B57" s="6" t="s">
        <v>2963</v>
      </c>
      <c r="C57" s="6" t="s">
        <v>2964</v>
      </c>
      <c r="D57" s="6" t="s">
        <v>2851</v>
      </c>
    </row>
    <row r="58" customFormat="false" ht="23.85" hidden="false" customHeight="false" outlineLevel="0" collapsed="false">
      <c r="A58" s="11" t="s">
        <v>2965</v>
      </c>
      <c r="B58" s="6" t="s">
        <v>2966</v>
      </c>
      <c r="C58" s="6" t="s">
        <v>2967</v>
      </c>
      <c r="D58" s="6" t="s">
        <v>2851</v>
      </c>
    </row>
    <row r="59" customFormat="false" ht="15" hidden="false" customHeight="false" outlineLevel="0" collapsed="false">
      <c r="A59" s="11" t="s">
        <v>2968</v>
      </c>
      <c r="B59" s="6" t="s">
        <v>2969</v>
      </c>
      <c r="C59" s="6" t="s">
        <v>2970</v>
      </c>
      <c r="D59" s="6" t="s">
        <v>2844</v>
      </c>
    </row>
    <row r="60" customFormat="false" ht="15" hidden="false" customHeight="false" outlineLevel="0" collapsed="false">
      <c r="A60" s="11" t="s">
        <v>2971</v>
      </c>
      <c r="B60" s="6" t="s">
        <v>2972</v>
      </c>
      <c r="C60" s="6" t="s">
        <v>2946</v>
      </c>
      <c r="D60" s="6" t="s">
        <v>2851</v>
      </c>
    </row>
    <row r="61" customFormat="false" ht="15" hidden="false" customHeight="false" outlineLevel="0" collapsed="false">
      <c r="A61" s="11" t="s">
        <v>2973</v>
      </c>
      <c r="B61" s="6" t="s">
        <v>2974</v>
      </c>
      <c r="C61" s="6" t="s">
        <v>2975</v>
      </c>
      <c r="D61" s="6" t="s">
        <v>2851</v>
      </c>
    </row>
    <row r="62" customFormat="false" ht="15" hidden="false" customHeight="false" outlineLevel="0" collapsed="false">
      <c r="A62" s="11" t="s">
        <v>2976</v>
      </c>
      <c r="B62" s="6" t="s">
        <v>2977</v>
      </c>
      <c r="C62" s="6" t="s">
        <v>2978</v>
      </c>
      <c r="D62" s="6" t="s">
        <v>2851</v>
      </c>
    </row>
    <row r="63" customFormat="false" ht="15" hidden="false" customHeight="false" outlineLevel="0" collapsed="false">
      <c r="A63" s="11" t="s">
        <v>2979</v>
      </c>
      <c r="B63" s="6" t="s">
        <v>2980</v>
      </c>
      <c r="C63" s="6" t="s">
        <v>2981</v>
      </c>
      <c r="D63" s="6" t="s">
        <v>2844</v>
      </c>
    </row>
  </sheetData>
  <hyperlinks>
    <hyperlink ref="A2" r:id="rId1" display="https://www.youtube.com/watch?v=bynlxFY8R_I"/>
    <hyperlink ref="A3" r:id="rId2" display="https://www.youtube.com/watch?v=EwoohZ4dHZc"/>
    <hyperlink ref="A4" r:id="rId3" display="https://www.youtube.com/watch?v=BBvS4uwNF5U"/>
    <hyperlink ref="A5" r:id="rId4" display="https://www.youtube.com/watch?v=Fz2-LSMEov0"/>
    <hyperlink ref="A6" r:id="rId5" display="https://www.youtube.com/watch?v=xMHvz-43Fdk"/>
    <hyperlink ref="A7" r:id="rId6" display="https://www.youtube.com/watch?v=vRC-Mbj2gI0"/>
    <hyperlink ref="A8" r:id="rId7" display="https://www.youtube.com/watch?v=cMwLknD6ZMA"/>
    <hyperlink ref="A9" r:id="rId8" display="https://www.youtube.com/watch?v=DNPx-XrdCuQ"/>
    <hyperlink ref="A10" r:id="rId9" display="https://www.youtube.com/watch?v=CVIUh9LKl78"/>
    <hyperlink ref="A11" r:id="rId10" display="https://www.youtube.com/watch?v=ahMemzGlSRQ"/>
    <hyperlink ref="A12" r:id="rId11" display="https://www.youtube.com/watch?v=iqi43TKHuVY"/>
    <hyperlink ref="A13" r:id="rId12" display="https://www.youtube.com/watch?v=Ktj83BMnaoM"/>
    <hyperlink ref="A14" r:id="rId13" display="https://www.youtube.com/watch?v=u-gS07N-hV0"/>
    <hyperlink ref="A15" r:id="rId14" display="https://www.youtube.com/watch?v=C0OFM297MlU"/>
    <hyperlink ref="A16" r:id="rId15" display="https://www.youtube.com/watch?v=SN6_YKVl-U0"/>
    <hyperlink ref="A17" r:id="rId16" display="https://www.youtube.com/watch?v=SyYkOglVVLo"/>
    <hyperlink ref="A18" r:id="rId17" display="https://www.youtube.com/watch?v=rXJlIqMys04"/>
    <hyperlink ref="A19" r:id="rId18" display="https://www.youtube.com/watch?v=TQW8TUirVHA"/>
    <hyperlink ref="A20" r:id="rId19" display="https://www.youtube.com/watch?v=DcfhBvF1wYQ"/>
    <hyperlink ref="A21" r:id="rId20" display="https://www.youtube.com/watch?v=QL404TsHKvs"/>
    <hyperlink ref="A22" r:id="rId21" display="https://www.youtube.com/watch?v=vw9xRBwzzxg"/>
    <hyperlink ref="A23" r:id="rId22" display="https://www.youtube.com/watch?v=TaSSS4Fsi5o"/>
    <hyperlink ref="A24" r:id="rId23" display="https://www.youtube.com/watch?v=iEWhdk598aM"/>
    <hyperlink ref="A25" r:id="rId24" display="https://www.youtube.com/watch?v=yii4FkVbrTc"/>
    <hyperlink ref="A26" r:id="rId25" display="https://www.youtube.com/watch?v=TfrPtbu7FX0"/>
    <hyperlink ref="A27" r:id="rId26" display="https://www.youtube.com/watch?v=A1JQ63kvGPA"/>
    <hyperlink ref="A28" r:id="rId27" display="https://www.youtube.com/watch?v=ElIOxFQFICo"/>
    <hyperlink ref="A29" r:id="rId28" display="https://www.youtube.com/watch?v=dA2Jn5EAmTc"/>
    <hyperlink ref="A30" r:id="rId29" display="https://www.youtube.com/watch?v=0oiJtKoJ6VY"/>
    <hyperlink ref="A31" r:id="rId30" display="https://www.youtube.com/watch?v=4UUsEKViZ4M"/>
    <hyperlink ref="A32" r:id="rId31" display="https://www.youtube.com/watch?v=3JlAdn1emEA"/>
    <hyperlink ref="A33" r:id="rId32" display="https://www.youtube.com/watch?v=6SrUgCU0OCE"/>
    <hyperlink ref="A34" r:id="rId33" display="https://www.youtube.com/watch?v=ODVWAijqcS4"/>
    <hyperlink ref="A35" r:id="rId34" display="https://www.youtube.com/watch?v=HdG8R0CRWlU"/>
    <hyperlink ref="A36" r:id="rId35" display="https://www.youtube.com/watch?v=whSfFq9WPIM"/>
    <hyperlink ref="A37" r:id="rId36" display="https://www.youtube.com/watch?v=m7W79rixPZU"/>
    <hyperlink ref="A38" r:id="rId37" display="https://www.youtube.com/watch?v=NXdmwnSjhx8"/>
    <hyperlink ref="A39" r:id="rId38" display="https://www.youtube.com/watch?v=UtgJ85-OdHM"/>
    <hyperlink ref="A40" r:id="rId39" display="https://www.youtube.com/watch?v=poGrtzLVDLk"/>
    <hyperlink ref="A41" r:id="rId40" display="https://www.youtube.com/watch?v=ox33IFd4X6A"/>
    <hyperlink ref="A42" r:id="rId41" display="https://www.youtube.com/watch?v=f789zGhSHxg"/>
    <hyperlink ref="A43" r:id="rId42" display="https://www.youtube.com/watch?v=RBirmydmV5k"/>
    <hyperlink ref="A44" r:id="rId43" display="https://www.youtube.com/watch?v=I4lJJs_eUGg"/>
    <hyperlink ref="A45" r:id="rId44" display="https://www.youtube.com/watch?v=_CAkI846j7E"/>
    <hyperlink ref="A46" r:id="rId45" display="https://www.youtube.com/watch?v=QaQNYFjvKxs"/>
    <hyperlink ref="A47" r:id="rId46" display="https://www.youtube.com/watch?v=yrPACgbEwBw"/>
    <hyperlink ref="A48" r:id="rId47" display="https://www.youtube.com/watch?v=seJHl9JH8XU"/>
    <hyperlink ref="A49" r:id="rId48" display="https://www.youtube.com/watch?v=N_O3iehnN1Y"/>
    <hyperlink ref="A50" r:id="rId49" display="https://www.youtube.com/watch?v=FHerMNhCR54"/>
    <hyperlink ref="A51" r:id="rId50" display="https://www.youtube.com/watch?v=gztrOtheKVI"/>
    <hyperlink ref="A52" r:id="rId51" display="https://www.youtube.com/watch?v=017KIoyU-II"/>
    <hyperlink ref="A53" r:id="rId52" display="https://www.youtube.com/watch?v=clIVgP99ILw"/>
    <hyperlink ref="A54" r:id="rId53" display="https://www.youtube.com/watch?v=yJ2z3Ju0oow"/>
    <hyperlink ref="A55" r:id="rId54" display="https://www.youtube.com/watch?v=KxpoMn-qh7Q"/>
    <hyperlink ref="A56" r:id="rId55" display="https://www.youtube.com/watch?v=F6hdQJdWFkk"/>
    <hyperlink ref="A57" r:id="rId56" display="https://www.youtube.com/watch?v=unkDQYOX_do"/>
    <hyperlink ref="A58" r:id="rId57" display="https://www.youtube.com/watch?v=pm-kZJAlzfc"/>
    <hyperlink ref="A59" r:id="rId58" display="https://www.youtube.com/watch?v=mQE4csiYaa8"/>
    <hyperlink ref="A60" r:id="rId59" display="https://www.youtube.com/watch?v=DYiDtQIFvtg"/>
    <hyperlink ref="A61" r:id="rId60" display="https://www.youtube.com/watch?v=Z9gDTSXtzFc"/>
    <hyperlink ref="A62" r:id="rId61" display="https://www.youtube.com/watch?v=YRJ0TgCVajM"/>
    <hyperlink ref="A63" r:id="rId62" display="https://www.youtube.com/watch?v=lSCi-UPpBp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0"/>
  </cols>
  <sheetData>
    <row r="1" customFormat="false" ht="31.5" hidden="false" customHeight="true" outlineLevel="0" collapsed="false">
      <c r="A1" s="5" t="s">
        <v>35</v>
      </c>
      <c r="B1" s="5" t="s">
        <v>36</v>
      </c>
      <c r="C1" s="5" t="s">
        <v>2982</v>
      </c>
      <c r="D1" s="5" t="s">
        <v>2983</v>
      </c>
      <c r="E1" s="5" t="s">
        <v>2984</v>
      </c>
      <c r="F1" s="5" t="s">
        <v>2985</v>
      </c>
      <c r="G1" s="5" t="s">
        <v>2986</v>
      </c>
      <c r="H1" s="5" t="s">
        <v>2864</v>
      </c>
    </row>
    <row r="2" customFormat="false" ht="23.85" hidden="false" customHeight="false" outlineLevel="0" collapsed="false">
      <c r="A2" s="13" t="s">
        <v>44</v>
      </c>
      <c r="B2" s="13" t="s">
        <v>45</v>
      </c>
      <c r="C2" s="13" t="n">
        <f aca="false">COUNTIF(Mundarija!$C$2:$C$254,B2)</f>
        <v>5</v>
      </c>
      <c r="D2" s="13" t="n">
        <f aca="false">COUNTIFS(Mundarija!$C$2:$C$254,B2,Mundarija!$E$2:$E$254,"&gt;0")</f>
        <v>5</v>
      </c>
      <c r="E2" s="14" t="n">
        <f aca="false">IF(C2=0,0,D2/C2)</f>
        <v>1</v>
      </c>
      <c r="F2" s="13" t="n">
        <f aca="false">COUNTIFS(Mundarija!$C$2:$C$254,B2,Mundarija!$H$2:$H$254,"Yetishmaydi")</f>
        <v>0</v>
      </c>
      <c r="G2" s="13" t="n">
        <f aca="false">COUNTIFS(Mundarija!$C$2:$C$254,B2,Mundarija!$H$2:$H$254,"Qisman to‘ldirilgan")</f>
        <v>1</v>
      </c>
      <c r="H2" s="13" t="n">
        <f aca="false">COUNTIFS(Mundarija!$C$2:$C$254,B2,Mundarija!$H$2:$H$254,"Takroriy")</f>
        <v>0</v>
      </c>
    </row>
    <row r="3" customFormat="false" ht="23.85" hidden="false" customHeight="false" outlineLevel="0" collapsed="false">
      <c r="A3" s="13" t="s">
        <v>44</v>
      </c>
      <c r="B3" s="13" t="s">
        <v>57</v>
      </c>
      <c r="C3" s="13" t="n">
        <f aca="false">COUNTIF(Mundarija!$C$2:$C$254,B3)</f>
        <v>7</v>
      </c>
      <c r="D3" s="13" t="n">
        <f aca="false">COUNTIFS(Mundarija!$C$2:$C$254,B3,Mundarija!$E$2:$E$254,"&gt;0")</f>
        <v>7</v>
      </c>
      <c r="E3" s="14" t="n">
        <f aca="false">IF(C3=0,0,D3/C3)</f>
        <v>1</v>
      </c>
      <c r="F3" s="13" t="n">
        <f aca="false">COUNTIFS(Mundarija!$C$2:$C$254,B3,Mundarija!$H$2:$H$254,"Yetishmaydi")</f>
        <v>0</v>
      </c>
      <c r="G3" s="13" t="n">
        <f aca="false">COUNTIFS(Mundarija!$C$2:$C$254,B3,Mundarija!$H$2:$H$254,"Qisman to‘ldirilgan")</f>
        <v>3</v>
      </c>
      <c r="H3" s="13" t="n">
        <f aca="false">COUNTIFS(Mundarija!$C$2:$C$254,B3,Mundarija!$H$2:$H$254,"Takroriy")</f>
        <v>0</v>
      </c>
    </row>
    <row r="4" customFormat="false" ht="23.85" hidden="false" customHeight="false" outlineLevel="0" collapsed="false">
      <c r="A4" s="13" t="s">
        <v>44</v>
      </c>
      <c r="B4" s="13" t="s">
        <v>74</v>
      </c>
      <c r="C4" s="13" t="n">
        <f aca="false">COUNTIF(Mundarija!$C$2:$C$254,B4)</f>
        <v>6</v>
      </c>
      <c r="D4" s="13" t="n">
        <f aca="false">COUNTIFS(Mundarija!$C$2:$C$254,B4,Mundarija!$E$2:$E$254,"&gt;0")</f>
        <v>6</v>
      </c>
      <c r="E4" s="14" t="n">
        <f aca="false">IF(C4=0,0,D4/C4)</f>
        <v>1</v>
      </c>
      <c r="F4" s="13" t="n">
        <f aca="false">COUNTIFS(Mundarija!$C$2:$C$254,B4,Mundarija!$H$2:$H$254,"Yetishmaydi")</f>
        <v>0</v>
      </c>
      <c r="G4" s="13" t="n">
        <f aca="false">COUNTIFS(Mundarija!$C$2:$C$254,B4,Mundarija!$H$2:$H$254,"Qisman to‘ldirilgan")</f>
        <v>1</v>
      </c>
      <c r="H4" s="13" t="n">
        <f aca="false">COUNTIFS(Mundarija!$C$2:$C$254,B4,Mundarija!$H$2:$H$254,"Takroriy")</f>
        <v>0</v>
      </c>
    </row>
    <row r="5" customFormat="false" ht="23.85" hidden="false" customHeight="false" outlineLevel="0" collapsed="false">
      <c r="A5" s="13" t="s">
        <v>44</v>
      </c>
      <c r="B5" s="13" t="s">
        <v>87</v>
      </c>
      <c r="C5" s="13" t="n">
        <f aca="false">COUNTIF(Mundarija!$C$2:$C$254,B5)</f>
        <v>6</v>
      </c>
      <c r="D5" s="13" t="n">
        <f aca="false">COUNTIFS(Mundarija!$C$2:$C$254,B5,Mundarija!$E$2:$E$254,"&gt;0")</f>
        <v>6</v>
      </c>
      <c r="E5" s="14" t="n">
        <f aca="false">IF(C5=0,0,D5/C5)</f>
        <v>1</v>
      </c>
      <c r="F5" s="13" t="n">
        <f aca="false">COUNTIFS(Mundarija!$C$2:$C$254,B5,Mundarija!$H$2:$H$254,"Yetishmaydi")</f>
        <v>0</v>
      </c>
      <c r="G5" s="13" t="n">
        <f aca="false">COUNTIFS(Mundarija!$C$2:$C$254,B5,Mundarija!$H$2:$H$254,"Qisman to‘ldirilgan")</f>
        <v>2</v>
      </c>
      <c r="H5" s="13" t="n">
        <f aca="false">COUNTIFS(Mundarija!$C$2:$C$254,B5,Mundarija!$H$2:$H$254,"Takroriy")</f>
        <v>0</v>
      </c>
    </row>
    <row r="6" customFormat="false" ht="23.85" hidden="false" customHeight="false" outlineLevel="0" collapsed="false">
      <c r="A6" s="13" t="s">
        <v>44</v>
      </c>
      <c r="B6" s="13" t="s">
        <v>101</v>
      </c>
      <c r="C6" s="13" t="n">
        <f aca="false">COUNTIF(Mundarija!$C$2:$C$254,B6)</f>
        <v>7</v>
      </c>
      <c r="D6" s="13" t="n">
        <f aca="false">COUNTIFS(Mundarija!$C$2:$C$254,B6,Mundarija!$E$2:$E$254,"&gt;0")</f>
        <v>7</v>
      </c>
      <c r="E6" s="14" t="n">
        <f aca="false">IF(C6=0,0,D6/C6)</f>
        <v>1</v>
      </c>
      <c r="F6" s="13" t="n">
        <f aca="false">COUNTIFS(Mundarija!$C$2:$C$254,B6,Mundarija!$H$2:$H$254,"Yetishmaydi")</f>
        <v>0</v>
      </c>
      <c r="G6" s="13" t="n">
        <f aca="false">COUNTIFS(Mundarija!$C$2:$C$254,B6,Mundarija!$H$2:$H$254,"Qisman to‘ldirilgan")</f>
        <v>1</v>
      </c>
      <c r="H6" s="13" t="n">
        <f aca="false">COUNTIFS(Mundarija!$C$2:$C$254,B6,Mundarija!$H$2:$H$254,"Takroriy")</f>
        <v>1</v>
      </c>
    </row>
    <row r="7" customFormat="false" ht="23.85" hidden="false" customHeight="false" outlineLevel="0" collapsed="false">
      <c r="A7" s="13" t="s">
        <v>44</v>
      </c>
      <c r="B7" s="13" t="s">
        <v>117</v>
      </c>
      <c r="C7" s="13" t="n">
        <f aca="false">COUNTIF(Mundarija!$C$2:$C$254,B7)</f>
        <v>6</v>
      </c>
      <c r="D7" s="13" t="n">
        <f aca="false">COUNTIFS(Mundarija!$C$2:$C$254,B7,Mundarija!$E$2:$E$254,"&gt;0")</f>
        <v>6</v>
      </c>
      <c r="E7" s="14" t="n">
        <f aca="false">IF(C7=0,0,D7/C7)</f>
        <v>1</v>
      </c>
      <c r="F7" s="13" t="n">
        <f aca="false">COUNTIFS(Mundarija!$C$2:$C$254,B7,Mundarija!$H$2:$H$254,"Yetishmaydi")</f>
        <v>0</v>
      </c>
      <c r="G7" s="13" t="n">
        <f aca="false">COUNTIFS(Mundarija!$C$2:$C$254,B7,Mundarija!$H$2:$H$254,"Qisman to‘ldirilgan")</f>
        <v>2</v>
      </c>
      <c r="H7" s="13" t="n">
        <f aca="false">COUNTIFS(Mundarija!$C$2:$C$254,B7,Mundarija!$H$2:$H$254,"Takroriy")</f>
        <v>1</v>
      </c>
    </row>
    <row r="8" customFormat="false" ht="23.85" hidden="false" customHeight="false" outlineLevel="0" collapsed="false">
      <c r="A8" s="6" t="s">
        <v>132</v>
      </c>
      <c r="B8" s="6" t="s">
        <v>133</v>
      </c>
      <c r="C8" s="6" t="n">
        <f aca="false">COUNTIF(Mundarija!$C$2:$C$254,B8)</f>
        <v>6</v>
      </c>
      <c r="D8" s="6" t="n">
        <f aca="false">COUNTIFS(Mundarija!$C$2:$C$254,B8,Mundarija!$E$2:$E$254,"&gt;0")</f>
        <v>5</v>
      </c>
      <c r="E8" s="15" t="n">
        <f aca="false">IF(C8=0,0,D8/C8)</f>
        <v>0.833333333333333</v>
      </c>
      <c r="F8" s="6" t="n">
        <f aca="false">COUNTIFS(Mundarija!$C$2:$C$254,B8,Mundarija!$H$2:$H$254,"Yetishmaydi")</f>
        <v>1</v>
      </c>
      <c r="G8" s="6" t="n">
        <f aca="false">COUNTIFS(Mundarija!$C$2:$C$254,B8,Mundarija!$H$2:$H$254,"Qisman to‘ldirilgan")</f>
        <v>0</v>
      </c>
      <c r="H8" s="6" t="n">
        <f aca="false">COUNTIFS(Mundarija!$C$2:$C$254,B8,Mundarija!$H$2:$H$254,"Takroriy")</f>
        <v>0</v>
      </c>
    </row>
    <row r="9" customFormat="false" ht="23.85" hidden="false" customHeight="false" outlineLevel="0" collapsed="false">
      <c r="A9" s="6" t="s">
        <v>132</v>
      </c>
      <c r="B9" s="6" t="s">
        <v>146</v>
      </c>
      <c r="C9" s="6" t="n">
        <f aca="false">COUNTIF(Mundarija!$C$2:$C$254,B9)</f>
        <v>6</v>
      </c>
      <c r="D9" s="6" t="n">
        <f aca="false">COUNTIFS(Mundarija!$C$2:$C$254,B9,Mundarija!$E$2:$E$254,"&gt;0")</f>
        <v>5</v>
      </c>
      <c r="E9" s="15" t="n">
        <f aca="false">IF(C9=0,0,D9/C9)</f>
        <v>0.833333333333333</v>
      </c>
      <c r="F9" s="6" t="n">
        <f aca="false">COUNTIFS(Mundarija!$C$2:$C$254,B9,Mundarija!$H$2:$H$254,"Yetishmaydi")</f>
        <v>1</v>
      </c>
      <c r="G9" s="6" t="n">
        <f aca="false">COUNTIFS(Mundarija!$C$2:$C$254,B9,Mundarija!$H$2:$H$254,"Qisman to‘ldirilgan")</f>
        <v>1</v>
      </c>
      <c r="H9" s="6" t="n">
        <f aca="false">COUNTIFS(Mundarija!$C$2:$C$254,B9,Mundarija!$H$2:$H$254,"Takroriy")</f>
        <v>0</v>
      </c>
    </row>
    <row r="10" customFormat="false" ht="23.85" hidden="false" customHeight="false" outlineLevel="0" collapsed="false">
      <c r="A10" s="6" t="s">
        <v>132</v>
      </c>
      <c r="B10" s="6" t="s">
        <v>159</v>
      </c>
      <c r="C10" s="6" t="n">
        <f aca="false">COUNTIF(Mundarija!$C$2:$C$254,B10)</f>
        <v>7</v>
      </c>
      <c r="D10" s="6" t="n">
        <f aca="false">COUNTIFS(Mundarija!$C$2:$C$254,B10,Mundarija!$E$2:$E$254,"&gt;0")</f>
        <v>7</v>
      </c>
      <c r="E10" s="15" t="n">
        <f aca="false">IF(C10=0,0,D10/C10)</f>
        <v>1</v>
      </c>
      <c r="F10" s="6" t="n">
        <f aca="false">COUNTIFS(Mundarija!$C$2:$C$254,B10,Mundarija!$H$2:$H$254,"Yetishmaydi")</f>
        <v>0</v>
      </c>
      <c r="G10" s="6" t="n">
        <f aca="false">COUNTIFS(Mundarija!$C$2:$C$254,B10,Mundarija!$H$2:$H$254,"Qisman to‘ldirilgan")</f>
        <v>1</v>
      </c>
      <c r="H10" s="6" t="n">
        <f aca="false">COUNTIFS(Mundarija!$C$2:$C$254,B10,Mundarija!$H$2:$H$254,"Takroriy")</f>
        <v>0</v>
      </c>
    </row>
    <row r="11" customFormat="false" ht="23.85" hidden="false" customHeight="false" outlineLevel="0" collapsed="false">
      <c r="A11" s="6" t="s">
        <v>174</v>
      </c>
      <c r="B11" s="6" t="s">
        <v>175</v>
      </c>
      <c r="C11" s="6" t="n">
        <f aca="false">COUNTIF(Mundarija!$C$2:$C$254,B11)</f>
        <v>9</v>
      </c>
      <c r="D11" s="6" t="n">
        <f aca="false">COUNTIFS(Mundarija!$C$2:$C$254,B11,Mundarija!$E$2:$E$254,"&gt;0")</f>
        <v>9</v>
      </c>
      <c r="E11" s="15" t="n">
        <f aca="false">IF(C11=0,0,D11/C11)</f>
        <v>1</v>
      </c>
      <c r="F11" s="6" t="n">
        <f aca="false">COUNTIFS(Mundarija!$C$2:$C$254,B11,Mundarija!$H$2:$H$254,"Yetishmaydi")</f>
        <v>0</v>
      </c>
      <c r="G11" s="6" t="n">
        <f aca="false">COUNTIFS(Mundarija!$C$2:$C$254,B11,Mundarija!$H$2:$H$254,"Qisman to‘ldirilgan")</f>
        <v>0</v>
      </c>
      <c r="H11" s="6" t="n">
        <f aca="false">COUNTIFS(Mundarija!$C$2:$C$254,B11,Mundarija!$H$2:$H$254,"Takroriy")</f>
        <v>0</v>
      </c>
    </row>
    <row r="12" customFormat="false" ht="23.85" hidden="false" customHeight="false" outlineLevel="0" collapsed="false">
      <c r="A12" s="6" t="s">
        <v>174</v>
      </c>
      <c r="B12" s="6" t="s">
        <v>195</v>
      </c>
      <c r="C12" s="6" t="n">
        <f aca="false">COUNTIF(Mundarija!$C$2:$C$254,B12)</f>
        <v>8</v>
      </c>
      <c r="D12" s="6" t="n">
        <f aca="false">COUNTIFS(Mundarija!$C$2:$C$254,B12,Mundarija!$E$2:$E$254,"&gt;0")</f>
        <v>8</v>
      </c>
      <c r="E12" s="15" t="n">
        <f aca="false">IF(C12=0,0,D12/C12)</f>
        <v>1</v>
      </c>
      <c r="F12" s="6" t="n">
        <f aca="false">COUNTIFS(Mundarija!$C$2:$C$254,B12,Mundarija!$H$2:$H$254,"Yetishmaydi")</f>
        <v>0</v>
      </c>
      <c r="G12" s="6" t="n">
        <f aca="false">COUNTIFS(Mundarija!$C$2:$C$254,B12,Mundarija!$H$2:$H$254,"Qisman to‘ldirilgan")</f>
        <v>0</v>
      </c>
      <c r="H12" s="6" t="n">
        <f aca="false">COUNTIFS(Mundarija!$C$2:$C$254,B12,Mundarija!$H$2:$H$254,"Takroriy")</f>
        <v>0</v>
      </c>
    </row>
    <row r="13" customFormat="false" ht="23.85" hidden="false" customHeight="false" outlineLevel="0" collapsed="false">
      <c r="A13" s="6" t="s">
        <v>174</v>
      </c>
      <c r="B13" s="6" t="s">
        <v>213</v>
      </c>
      <c r="C13" s="6" t="n">
        <f aca="false">COUNTIF(Mundarija!$C$2:$C$254,B13)</f>
        <v>5</v>
      </c>
      <c r="D13" s="6" t="n">
        <f aca="false">COUNTIFS(Mundarija!$C$2:$C$254,B13,Mundarija!$E$2:$E$254,"&gt;0")</f>
        <v>5</v>
      </c>
      <c r="E13" s="15" t="n">
        <f aca="false">IF(C13=0,0,D13/C13)</f>
        <v>1</v>
      </c>
      <c r="F13" s="6" t="n">
        <f aca="false">COUNTIFS(Mundarija!$C$2:$C$254,B13,Mundarija!$H$2:$H$254,"Yetishmaydi")</f>
        <v>0</v>
      </c>
      <c r="G13" s="6" t="n">
        <f aca="false">COUNTIFS(Mundarija!$C$2:$C$254,B13,Mundarija!$H$2:$H$254,"Qisman to‘ldirilgan")</f>
        <v>2</v>
      </c>
      <c r="H13" s="6" t="n">
        <f aca="false">COUNTIFS(Mundarija!$C$2:$C$254,B13,Mundarija!$H$2:$H$254,"Takroriy")</f>
        <v>0</v>
      </c>
    </row>
    <row r="14" customFormat="false" ht="23.85" hidden="false" customHeight="false" outlineLevel="0" collapsed="false">
      <c r="A14" s="6" t="s">
        <v>174</v>
      </c>
      <c r="B14" s="6" t="s">
        <v>224</v>
      </c>
      <c r="C14" s="6" t="n">
        <f aca="false">COUNTIF(Mundarija!$C$2:$C$254,B14)</f>
        <v>4</v>
      </c>
      <c r="D14" s="6" t="n">
        <f aca="false">COUNTIFS(Mundarija!$C$2:$C$254,B14,Mundarija!$E$2:$E$254,"&gt;0")</f>
        <v>4</v>
      </c>
      <c r="E14" s="15" t="n">
        <f aca="false">IF(C14=0,0,D14/C14)</f>
        <v>1</v>
      </c>
      <c r="F14" s="6" t="n">
        <f aca="false">COUNTIFS(Mundarija!$C$2:$C$254,B14,Mundarija!$H$2:$H$254,"Yetishmaydi")</f>
        <v>0</v>
      </c>
      <c r="G14" s="6" t="n">
        <f aca="false">COUNTIFS(Mundarija!$C$2:$C$254,B14,Mundarija!$H$2:$H$254,"Qisman to‘ldirilgan")</f>
        <v>0</v>
      </c>
      <c r="H14" s="6" t="n">
        <f aca="false">COUNTIFS(Mundarija!$C$2:$C$254,B14,Mundarija!$H$2:$H$254,"Takroriy")</f>
        <v>0</v>
      </c>
    </row>
    <row r="15" customFormat="false" ht="23.85" hidden="false" customHeight="false" outlineLevel="0" collapsed="false">
      <c r="A15" s="6" t="s">
        <v>174</v>
      </c>
      <c r="B15" s="6" t="s">
        <v>233</v>
      </c>
      <c r="C15" s="6" t="n">
        <f aca="false">COUNTIF(Mundarija!$C$2:$C$254,B15)</f>
        <v>9</v>
      </c>
      <c r="D15" s="6" t="n">
        <f aca="false">COUNTIFS(Mundarija!$C$2:$C$254,B15,Mundarija!$E$2:$E$254,"&gt;0")</f>
        <v>9</v>
      </c>
      <c r="E15" s="15" t="n">
        <f aca="false">IF(C15=0,0,D15/C15)</f>
        <v>1</v>
      </c>
      <c r="F15" s="6" t="n">
        <f aca="false">COUNTIFS(Mundarija!$C$2:$C$254,B15,Mundarija!$H$2:$H$254,"Yetishmaydi")</f>
        <v>0</v>
      </c>
      <c r="G15" s="6" t="n">
        <f aca="false">COUNTIFS(Mundarija!$C$2:$C$254,B15,Mundarija!$H$2:$H$254,"Qisman to‘ldirilgan")</f>
        <v>1</v>
      </c>
      <c r="H15" s="6" t="n">
        <f aca="false">COUNTIFS(Mundarija!$C$2:$C$254,B15,Mundarija!$H$2:$H$254,"Takroriy")</f>
        <v>0</v>
      </c>
    </row>
    <row r="16" customFormat="false" ht="23.85" hidden="false" customHeight="false" outlineLevel="0" collapsed="false">
      <c r="A16" s="6" t="s">
        <v>174</v>
      </c>
      <c r="B16" s="6" t="s">
        <v>252</v>
      </c>
      <c r="C16" s="6" t="n">
        <f aca="false">COUNTIF(Mundarija!$C$2:$C$254,B16)</f>
        <v>8</v>
      </c>
      <c r="D16" s="6" t="n">
        <f aca="false">COUNTIFS(Mundarija!$C$2:$C$254,B16,Mundarija!$E$2:$E$254,"&gt;0")</f>
        <v>8</v>
      </c>
      <c r="E16" s="15" t="n">
        <f aca="false">IF(C16=0,0,D16/C16)</f>
        <v>1</v>
      </c>
      <c r="F16" s="6" t="n">
        <f aca="false">COUNTIFS(Mundarija!$C$2:$C$254,B16,Mundarija!$H$2:$H$254,"Yetishmaydi")</f>
        <v>0</v>
      </c>
      <c r="G16" s="6" t="n">
        <f aca="false">COUNTIFS(Mundarija!$C$2:$C$254,B16,Mundarija!$H$2:$H$254,"Qisman to‘ldirilgan")</f>
        <v>1</v>
      </c>
      <c r="H16" s="6" t="n">
        <f aca="false">COUNTIFS(Mundarija!$C$2:$C$254,B16,Mundarija!$H$2:$H$254,"Takroriy")</f>
        <v>2</v>
      </c>
    </row>
    <row r="17" customFormat="false" ht="15" hidden="false" customHeight="false" outlineLevel="0" collapsed="false">
      <c r="A17" s="6" t="s">
        <v>271</v>
      </c>
      <c r="B17" s="6" t="s">
        <v>272</v>
      </c>
      <c r="C17" s="6" t="n">
        <f aca="false">COUNTIF(Mundarija!$C$2:$C$254,B17)</f>
        <v>10</v>
      </c>
      <c r="D17" s="6" t="n">
        <f aca="false">COUNTIFS(Mundarija!$C$2:$C$254,B17,Mundarija!$E$2:$E$254,"&gt;0")</f>
        <v>10</v>
      </c>
      <c r="E17" s="15" t="n">
        <f aca="false">IF(C17=0,0,D17/C17)</f>
        <v>1</v>
      </c>
      <c r="F17" s="6" t="n">
        <f aca="false">COUNTIFS(Mundarija!$C$2:$C$254,B17,Mundarija!$H$2:$H$254,"Yetishmaydi")</f>
        <v>0</v>
      </c>
      <c r="G17" s="6" t="n">
        <f aca="false">COUNTIFS(Mundarija!$C$2:$C$254,B17,Mundarija!$H$2:$H$254,"Qisman to‘ldirilgan")</f>
        <v>0</v>
      </c>
      <c r="H17" s="6" t="n">
        <f aca="false">COUNTIFS(Mundarija!$C$2:$C$254,B17,Mundarija!$H$2:$H$254,"Takroriy")</f>
        <v>0</v>
      </c>
    </row>
    <row r="18" customFormat="false" ht="15" hidden="false" customHeight="false" outlineLevel="0" collapsed="false">
      <c r="A18" s="6" t="s">
        <v>271</v>
      </c>
      <c r="B18" s="6" t="s">
        <v>293</v>
      </c>
      <c r="C18" s="6" t="n">
        <f aca="false">COUNTIF(Mundarija!$C$2:$C$254,B18)</f>
        <v>9</v>
      </c>
      <c r="D18" s="6" t="n">
        <f aca="false">COUNTIFS(Mundarija!$C$2:$C$254,B18,Mundarija!$E$2:$E$254,"&gt;0")</f>
        <v>9</v>
      </c>
      <c r="E18" s="15" t="n">
        <f aca="false">IF(C18=0,0,D18/C18)</f>
        <v>1</v>
      </c>
      <c r="F18" s="6" t="n">
        <f aca="false">COUNTIFS(Mundarija!$C$2:$C$254,B18,Mundarija!$H$2:$H$254,"Yetishmaydi")</f>
        <v>0</v>
      </c>
      <c r="G18" s="6" t="n">
        <f aca="false">COUNTIFS(Mundarija!$C$2:$C$254,B18,Mundarija!$H$2:$H$254,"Qisman to‘ldirilgan")</f>
        <v>0</v>
      </c>
      <c r="H18" s="6" t="n">
        <f aca="false">COUNTIFS(Mundarija!$C$2:$C$254,B18,Mundarija!$H$2:$H$254,"Takroriy")</f>
        <v>0</v>
      </c>
    </row>
    <row r="19" customFormat="false" ht="15" hidden="false" customHeight="false" outlineLevel="0" collapsed="false">
      <c r="A19" s="6" t="s">
        <v>312</v>
      </c>
      <c r="B19" s="6" t="s">
        <v>313</v>
      </c>
      <c r="C19" s="6" t="n">
        <f aca="false">COUNTIF(Mundarija!$C$2:$C$254,B19)</f>
        <v>7</v>
      </c>
      <c r="D19" s="6" t="n">
        <f aca="false">COUNTIFS(Mundarija!$C$2:$C$254,B19,Mundarija!$E$2:$E$254,"&gt;0")</f>
        <v>7</v>
      </c>
      <c r="E19" s="15" t="n">
        <f aca="false">IF(C19=0,0,D19/C19)</f>
        <v>1</v>
      </c>
      <c r="F19" s="6" t="n">
        <f aca="false">COUNTIFS(Mundarija!$C$2:$C$254,B19,Mundarija!$H$2:$H$254,"Yetishmaydi")</f>
        <v>0</v>
      </c>
      <c r="G19" s="6" t="n">
        <f aca="false">COUNTIFS(Mundarija!$C$2:$C$254,B19,Mundarija!$H$2:$H$254,"Qisman to‘ldirilgan")</f>
        <v>0</v>
      </c>
      <c r="H19" s="6" t="n">
        <f aca="false">COUNTIFS(Mundarija!$C$2:$C$254,B19,Mundarija!$H$2:$H$254,"Takroriy")</f>
        <v>1</v>
      </c>
    </row>
    <row r="20" customFormat="false" ht="15" hidden="false" customHeight="false" outlineLevel="0" collapsed="false">
      <c r="A20" s="6" t="s">
        <v>312</v>
      </c>
      <c r="B20" s="6" t="s">
        <v>329</v>
      </c>
      <c r="C20" s="6" t="n">
        <f aca="false">COUNTIF(Mundarija!$C$2:$C$254,B20)</f>
        <v>5</v>
      </c>
      <c r="D20" s="6" t="n">
        <f aca="false">COUNTIFS(Mundarija!$C$2:$C$254,B20,Mundarija!$E$2:$E$254,"&gt;0")</f>
        <v>4</v>
      </c>
      <c r="E20" s="15" t="n">
        <f aca="false">IF(C20=0,0,D20/C20)</f>
        <v>0.8</v>
      </c>
      <c r="F20" s="6" t="n">
        <f aca="false">COUNTIFS(Mundarija!$C$2:$C$254,B20,Mundarija!$H$2:$H$254,"Yetishmaydi")</f>
        <v>1</v>
      </c>
      <c r="G20" s="6" t="n">
        <f aca="false">COUNTIFS(Mundarija!$C$2:$C$254,B20,Mundarija!$H$2:$H$254,"Qisman to‘ldirilgan")</f>
        <v>0</v>
      </c>
      <c r="H20" s="6" t="n">
        <f aca="false">COUNTIFS(Mundarija!$C$2:$C$254,B20,Mundarija!$H$2:$H$254,"Takroriy")</f>
        <v>0</v>
      </c>
    </row>
    <row r="21" customFormat="false" ht="15" hidden="false" customHeight="false" outlineLevel="0" collapsed="false">
      <c r="A21" s="6" t="s">
        <v>312</v>
      </c>
      <c r="B21" s="6" t="s">
        <v>340</v>
      </c>
      <c r="C21" s="6" t="n">
        <f aca="false">COUNTIF(Mundarija!$C$2:$C$254,B21)</f>
        <v>12</v>
      </c>
      <c r="D21" s="6" t="n">
        <f aca="false">COUNTIFS(Mundarija!$C$2:$C$254,B21,Mundarija!$E$2:$E$254,"&gt;0")</f>
        <v>12</v>
      </c>
      <c r="E21" s="15" t="n">
        <f aca="false">IF(C21=0,0,D21/C21)</f>
        <v>1</v>
      </c>
      <c r="F21" s="6" t="n">
        <f aca="false">COUNTIFS(Mundarija!$C$2:$C$254,B21,Mundarija!$H$2:$H$254,"Yetishmaydi")</f>
        <v>0</v>
      </c>
      <c r="G21" s="6" t="n">
        <f aca="false">COUNTIFS(Mundarija!$C$2:$C$254,B21,Mundarija!$H$2:$H$254,"Qisman to‘ldirilgan")</f>
        <v>0</v>
      </c>
      <c r="H21" s="6" t="n">
        <f aca="false">COUNTIFS(Mundarija!$C$2:$C$254,B21,Mundarija!$H$2:$H$254,"Takroriy")</f>
        <v>0</v>
      </c>
    </row>
    <row r="22" customFormat="false" ht="15" hidden="false" customHeight="false" outlineLevel="0" collapsed="false">
      <c r="A22" s="6" t="s">
        <v>312</v>
      </c>
      <c r="B22" s="6" t="s">
        <v>366</v>
      </c>
      <c r="C22" s="6" t="n">
        <f aca="false">COUNTIF(Mundarija!$C$2:$C$254,B22)</f>
        <v>9</v>
      </c>
      <c r="D22" s="6" t="n">
        <f aca="false">COUNTIFS(Mundarija!$C$2:$C$254,B22,Mundarija!$E$2:$E$254,"&gt;0")</f>
        <v>9</v>
      </c>
      <c r="E22" s="15" t="n">
        <f aca="false">IF(C22=0,0,D22/C22)</f>
        <v>1</v>
      </c>
      <c r="F22" s="6" t="n">
        <f aca="false">COUNTIFS(Mundarija!$C$2:$C$254,B22,Mundarija!$H$2:$H$254,"Yetishmaydi")</f>
        <v>0</v>
      </c>
      <c r="G22" s="6" t="n">
        <f aca="false">COUNTIFS(Mundarija!$C$2:$C$254,B22,Mundarija!$H$2:$H$254,"Qisman to‘ldirilgan")</f>
        <v>0</v>
      </c>
      <c r="H22" s="6" t="n">
        <f aca="false">COUNTIFS(Mundarija!$C$2:$C$254,B22,Mundarija!$H$2:$H$254,"Takroriy")</f>
        <v>0</v>
      </c>
    </row>
    <row r="23" customFormat="false" ht="23.85" hidden="false" customHeight="false" outlineLevel="0" collapsed="false">
      <c r="A23" s="6" t="s">
        <v>385</v>
      </c>
      <c r="B23" s="6" t="s">
        <v>386</v>
      </c>
      <c r="C23" s="6" t="n">
        <f aca="false">COUNTIF(Mundarija!$C$2:$C$254,B23)</f>
        <v>7</v>
      </c>
      <c r="D23" s="6" t="n">
        <f aca="false">COUNTIFS(Mundarija!$C$2:$C$254,B23,Mundarija!$E$2:$E$254,"&gt;0")</f>
        <v>7</v>
      </c>
      <c r="E23" s="15" t="n">
        <f aca="false">IF(C23=0,0,D23/C23)</f>
        <v>1</v>
      </c>
      <c r="F23" s="6" t="n">
        <f aca="false">COUNTIFS(Mundarija!$C$2:$C$254,B23,Mundarija!$H$2:$H$254,"Yetishmaydi")</f>
        <v>0</v>
      </c>
      <c r="G23" s="6" t="n">
        <f aca="false">COUNTIFS(Mundarija!$C$2:$C$254,B23,Mundarija!$H$2:$H$254,"Qisman to‘ldirilgan")</f>
        <v>0</v>
      </c>
      <c r="H23" s="6" t="n">
        <f aca="false">COUNTIFS(Mundarija!$C$2:$C$254,B23,Mundarija!$H$2:$H$254,"Takroriy")</f>
        <v>0</v>
      </c>
    </row>
    <row r="24" customFormat="false" ht="23.85" hidden="false" customHeight="false" outlineLevel="0" collapsed="false">
      <c r="A24" s="6" t="s">
        <v>385</v>
      </c>
      <c r="B24" s="6" t="s">
        <v>401</v>
      </c>
      <c r="C24" s="6" t="n">
        <f aca="false">COUNTIF(Mundarija!$C$2:$C$254,B24)</f>
        <v>8</v>
      </c>
      <c r="D24" s="6" t="n">
        <f aca="false">COUNTIFS(Mundarija!$C$2:$C$254,B24,Mundarija!$E$2:$E$254,"&gt;0")</f>
        <v>8</v>
      </c>
      <c r="E24" s="15" t="n">
        <f aca="false">IF(C24=0,0,D24/C24)</f>
        <v>1</v>
      </c>
      <c r="F24" s="6" t="n">
        <f aca="false">COUNTIFS(Mundarija!$C$2:$C$254,B24,Mundarija!$H$2:$H$254,"Yetishmaydi")</f>
        <v>0</v>
      </c>
      <c r="G24" s="6" t="n">
        <f aca="false">COUNTIFS(Mundarija!$C$2:$C$254,B24,Mundarija!$H$2:$H$254,"Qisman to‘ldirilgan")</f>
        <v>2</v>
      </c>
      <c r="H24" s="6" t="n">
        <f aca="false">COUNTIFS(Mundarija!$C$2:$C$254,B24,Mundarija!$H$2:$H$254,"Takroriy")</f>
        <v>0</v>
      </c>
    </row>
    <row r="25" customFormat="false" ht="23.85" hidden="false" customHeight="false" outlineLevel="0" collapsed="false">
      <c r="A25" s="6" t="s">
        <v>385</v>
      </c>
      <c r="B25" s="6" t="s">
        <v>418</v>
      </c>
      <c r="C25" s="6" t="n">
        <f aca="false">COUNTIF(Mundarija!$C$2:$C$254,B25)</f>
        <v>5</v>
      </c>
      <c r="D25" s="6" t="n">
        <f aca="false">COUNTIFS(Mundarija!$C$2:$C$254,B25,Mundarija!$E$2:$E$254,"&gt;0")</f>
        <v>5</v>
      </c>
      <c r="E25" s="15" t="n">
        <f aca="false">IF(C25=0,0,D25/C25)</f>
        <v>1</v>
      </c>
      <c r="F25" s="6" t="n">
        <f aca="false">COUNTIFS(Mundarija!$C$2:$C$254,B25,Mundarija!$H$2:$H$254,"Yetishmaydi")</f>
        <v>0</v>
      </c>
      <c r="G25" s="6" t="n">
        <f aca="false">COUNTIFS(Mundarija!$C$2:$C$254,B25,Mundarija!$H$2:$H$254,"Qisman to‘ldirilgan")</f>
        <v>0</v>
      </c>
      <c r="H25" s="6" t="n">
        <f aca="false">COUNTIFS(Mundarija!$C$2:$C$254,B25,Mundarija!$H$2:$H$254,"Takroriy")</f>
        <v>0</v>
      </c>
    </row>
    <row r="26" customFormat="false" ht="23.85" hidden="false" customHeight="false" outlineLevel="0" collapsed="false">
      <c r="A26" s="6" t="s">
        <v>429</v>
      </c>
      <c r="B26" s="6" t="s">
        <v>430</v>
      </c>
      <c r="C26" s="6" t="n">
        <f aca="false">COUNTIF(Mundarija!$C$2:$C$254,B26)</f>
        <v>10</v>
      </c>
      <c r="D26" s="6" t="n">
        <f aca="false">COUNTIFS(Mundarija!$C$2:$C$254,B26,Mundarija!$E$2:$E$254,"&gt;0")</f>
        <v>10</v>
      </c>
      <c r="E26" s="15" t="n">
        <f aca="false">IF(C26=0,0,D26/C26)</f>
        <v>1</v>
      </c>
      <c r="F26" s="6" t="n">
        <f aca="false">COUNTIFS(Mundarija!$C$2:$C$254,B26,Mundarija!$H$2:$H$254,"Yetishmaydi")</f>
        <v>0</v>
      </c>
      <c r="G26" s="6" t="n">
        <f aca="false">COUNTIFS(Mundarija!$C$2:$C$254,B26,Mundarija!$H$2:$H$254,"Qisman to‘ldirilgan")</f>
        <v>1</v>
      </c>
      <c r="H26" s="6" t="n">
        <f aca="false">COUNTIFS(Mundarija!$C$2:$C$254,B26,Mundarija!$H$2:$H$254,"Takroriy")</f>
        <v>0</v>
      </c>
    </row>
    <row r="27" customFormat="false" ht="15" hidden="false" customHeight="false" outlineLevel="0" collapsed="false">
      <c r="A27" s="6" t="s">
        <v>451</v>
      </c>
      <c r="B27" s="6" t="s">
        <v>452</v>
      </c>
      <c r="C27" s="6" t="n">
        <f aca="false">COUNTIF(Mundarija!$C$2:$C$254,B27)</f>
        <v>13</v>
      </c>
      <c r="D27" s="6" t="n">
        <f aca="false">COUNTIFS(Mundarija!$C$2:$C$254,B27,Mundarija!$E$2:$E$254,"&gt;0")</f>
        <v>13</v>
      </c>
      <c r="E27" s="15" t="n">
        <f aca="false">IF(C27=0,0,D27/C27)</f>
        <v>1</v>
      </c>
      <c r="F27" s="6" t="n">
        <f aca="false">COUNTIFS(Mundarija!$C$2:$C$254,B27,Mundarija!$H$2:$H$254,"Yetishmaydi")</f>
        <v>0</v>
      </c>
      <c r="G27" s="6" t="n">
        <f aca="false">COUNTIFS(Mundarija!$C$2:$C$254,B27,Mundarija!$H$2:$H$254,"Qisman to‘ldirilgan")</f>
        <v>0</v>
      </c>
      <c r="H27" s="6" t="n">
        <f aca="false">COUNTIFS(Mundarija!$C$2:$C$254,B27,Mundarija!$H$2:$H$254,"Takroriy")</f>
        <v>0</v>
      </c>
    </row>
    <row r="28" customFormat="false" ht="15" hidden="false" customHeight="false" outlineLevel="0" collapsed="false">
      <c r="A28" s="6" t="s">
        <v>479</v>
      </c>
      <c r="B28" s="6" t="s">
        <v>480</v>
      </c>
      <c r="C28" s="6" t="n">
        <f aca="false">COUNTIF(Mundarija!$C$2:$C$254,B28)</f>
        <v>10</v>
      </c>
      <c r="D28" s="6" t="n">
        <f aca="false">COUNTIFS(Mundarija!$C$2:$C$254,B28,Mundarija!$E$2:$E$254,"&gt;0")</f>
        <v>9</v>
      </c>
      <c r="E28" s="15" t="n">
        <f aca="false">IF(C28=0,0,D28/C28)</f>
        <v>0.9</v>
      </c>
      <c r="F28" s="6" t="n">
        <f aca="false">COUNTIFS(Mundarija!$C$2:$C$254,B28,Mundarija!$H$2:$H$254,"Yetishmaydi")</f>
        <v>1</v>
      </c>
      <c r="G28" s="6" t="n">
        <f aca="false">COUNTIFS(Mundarija!$C$2:$C$254,B28,Mundarija!$H$2:$H$254,"Qisman to‘ldirilgan")</f>
        <v>0</v>
      </c>
      <c r="H28" s="6" t="n">
        <f aca="false">COUNTIFS(Mundarija!$C$2:$C$254,B28,Mundarija!$H$2:$H$254,"Takroriy")</f>
        <v>1</v>
      </c>
    </row>
    <row r="29" customFormat="false" ht="23.85" hidden="false" customHeight="false" outlineLevel="0" collapsed="false">
      <c r="A29" s="6" t="s">
        <v>503</v>
      </c>
      <c r="B29" s="6" t="s">
        <v>504</v>
      </c>
      <c r="C29" s="6" t="n">
        <f aca="false">COUNTIF(Mundarija!$C$2:$C$254,B29)</f>
        <v>10</v>
      </c>
      <c r="D29" s="6" t="n">
        <f aca="false">COUNTIFS(Mundarija!$C$2:$C$254,B29,Mundarija!$E$2:$E$254,"&gt;0")</f>
        <v>10</v>
      </c>
      <c r="E29" s="15" t="n">
        <f aca="false">IF(C29=0,0,D29/C29)</f>
        <v>1</v>
      </c>
      <c r="F29" s="6" t="n">
        <f aca="false">COUNTIFS(Mundarija!$C$2:$C$254,B29,Mundarija!$H$2:$H$254,"Yetishmaydi")</f>
        <v>0</v>
      </c>
      <c r="G29" s="6" t="n">
        <f aca="false">COUNTIFS(Mundarija!$C$2:$C$254,B29,Mundarija!$H$2:$H$254,"Qisman to‘ldirilgan")</f>
        <v>1</v>
      </c>
      <c r="H29" s="6" t="n">
        <f aca="false">COUNTIFS(Mundarija!$C$2:$C$254,B29,Mundarija!$H$2:$H$254,"Takroriy")</f>
        <v>0</v>
      </c>
    </row>
    <row r="30" customFormat="false" ht="15" hidden="false" customHeight="false" outlineLevel="0" collapsed="false">
      <c r="A30" s="6" t="s">
        <v>525</v>
      </c>
      <c r="B30" s="6" t="s">
        <v>526</v>
      </c>
      <c r="C30" s="6" t="n">
        <f aca="false">COUNTIF(Mundarija!$C$2:$C$254,B30)</f>
        <v>9</v>
      </c>
      <c r="D30" s="6" t="n">
        <f aca="false">COUNTIFS(Mundarija!$C$2:$C$254,B30,Mundarija!$E$2:$E$254,"&gt;0")</f>
        <v>9</v>
      </c>
      <c r="E30" s="15" t="n">
        <f aca="false">IF(C30=0,0,D30/C30)</f>
        <v>1</v>
      </c>
      <c r="F30" s="6" t="n">
        <f aca="false">COUNTIFS(Mundarija!$C$2:$C$254,B30,Mundarija!$H$2:$H$254,"Yetishmaydi")</f>
        <v>0</v>
      </c>
      <c r="G30" s="6" t="n">
        <f aca="false">COUNTIFS(Mundarija!$C$2:$C$254,B30,Mundarija!$H$2:$H$254,"Qisman to‘ldirilgan")</f>
        <v>0</v>
      </c>
      <c r="H30" s="6" t="n">
        <f aca="false">COUNTIFS(Mundarija!$C$2:$C$254,B30,Mundarija!$H$2:$H$254,"Takroriy")</f>
        <v>0</v>
      </c>
    </row>
    <row r="31" customFormat="false" ht="23.85" hidden="false" customHeight="false" outlineLevel="0" collapsed="false">
      <c r="A31" s="6" t="s">
        <v>545</v>
      </c>
      <c r="B31" s="6" t="s">
        <v>546</v>
      </c>
      <c r="C31" s="6" t="n">
        <f aca="false">COUNTIF(Mundarija!$C$2:$C$254,B31)</f>
        <v>8</v>
      </c>
      <c r="D31" s="6" t="n">
        <f aca="false">COUNTIFS(Mundarija!$C$2:$C$254,B31,Mundarija!$E$2:$E$254,"&gt;0")</f>
        <v>8</v>
      </c>
      <c r="E31" s="15" t="n">
        <f aca="false">IF(C31=0,0,D31/C31)</f>
        <v>1</v>
      </c>
      <c r="F31" s="6" t="n">
        <f aca="false">COUNTIFS(Mundarija!$C$2:$C$254,B31,Mundarija!$H$2:$H$254,"Yetishmaydi")</f>
        <v>0</v>
      </c>
      <c r="G31" s="6" t="n">
        <f aca="false">COUNTIFS(Mundarija!$C$2:$C$254,B31,Mundarija!$H$2:$H$254,"Qisman to‘ldirilgan")</f>
        <v>1</v>
      </c>
      <c r="H31" s="6" t="n">
        <f aca="false">COUNTIFS(Mundarija!$C$2:$C$254,B31,Mundarija!$H$2:$H$254,"Takroriy")</f>
        <v>2</v>
      </c>
    </row>
    <row r="32" customFormat="false" ht="23.85" hidden="false" customHeight="false" outlineLevel="0" collapsed="false">
      <c r="A32" s="6" t="s">
        <v>545</v>
      </c>
      <c r="B32" s="6" t="s">
        <v>565</v>
      </c>
      <c r="C32" s="6" t="n">
        <f aca="false">COUNTIF(Mundarija!$C$2:$C$254,B32)</f>
        <v>7</v>
      </c>
      <c r="D32" s="6" t="n">
        <f aca="false">COUNTIFS(Mundarija!$C$2:$C$254,B32,Mundarija!$E$2:$E$254,"&gt;0")</f>
        <v>7</v>
      </c>
      <c r="E32" s="15" t="n">
        <f aca="false">IF(C32=0,0,D32/C32)</f>
        <v>1</v>
      </c>
      <c r="F32" s="6" t="n">
        <f aca="false">COUNTIFS(Mundarija!$C$2:$C$254,B32,Mundarija!$H$2:$H$254,"Yetishmaydi")</f>
        <v>0</v>
      </c>
      <c r="G32" s="6" t="n">
        <f aca="false">COUNTIFS(Mundarija!$C$2:$C$254,B32,Mundarija!$H$2:$H$254,"Qisman to‘ldirilgan")</f>
        <v>1</v>
      </c>
      <c r="H32" s="6" t="n">
        <f aca="false">COUNTIFS(Mundarija!$C$2:$C$254,B32,Mundarija!$H$2:$H$254,"Takroriy")</f>
        <v>0</v>
      </c>
    </row>
    <row r="33" customFormat="false" ht="23.85" hidden="false" customHeight="false" outlineLevel="0" collapsed="false">
      <c r="A33" s="6" t="s">
        <v>545</v>
      </c>
      <c r="B33" s="6" t="s">
        <v>580</v>
      </c>
      <c r="C33" s="6" t="n">
        <f aca="false">COUNTIF(Mundarija!$C$2:$C$254,B33)</f>
        <v>7</v>
      </c>
      <c r="D33" s="6" t="n">
        <f aca="false">COUNTIFS(Mundarija!$C$2:$C$254,B33,Mundarija!$E$2:$E$254,"&gt;0")</f>
        <v>6</v>
      </c>
      <c r="E33" s="15" t="n">
        <f aca="false">IF(C33=0,0,D33/C33)</f>
        <v>0.857142857142857</v>
      </c>
      <c r="F33" s="6" t="n">
        <f aca="false">COUNTIFS(Mundarija!$C$2:$C$254,B33,Mundarija!$H$2:$H$254,"Yetishmaydi")</f>
        <v>1</v>
      </c>
      <c r="G33" s="6" t="n">
        <f aca="false">COUNTIFS(Mundarija!$C$2:$C$254,B33,Mundarija!$H$2:$H$254,"Qisman to‘ldirilgan")</f>
        <v>2</v>
      </c>
      <c r="H33" s="6" t="n">
        <f aca="false">COUNTIFS(Mundarija!$C$2:$C$254,B33,Mundarija!$H$2:$H$254,"Takroriy")</f>
        <v>1</v>
      </c>
    </row>
    <row r="34" customFormat="false" ht="23.85" hidden="false" customHeight="false" outlineLevel="0" collapsed="false">
      <c r="A34" s="6" t="s">
        <v>596</v>
      </c>
      <c r="B34" s="6" t="s">
        <v>597</v>
      </c>
      <c r="C34" s="6" t="n">
        <f aca="false">COUNTIF(Mundarija!$C$2:$C$254,B34)</f>
        <v>8</v>
      </c>
      <c r="D34" s="6" t="n">
        <f aca="false">COUNTIFS(Mundarija!$C$2:$C$254,B34,Mundarija!$E$2:$E$254,"&gt;0")</f>
        <v>8</v>
      </c>
      <c r="E34" s="15" t="n">
        <f aca="false">IF(C34=0,0,D34/C34)</f>
        <v>1</v>
      </c>
      <c r="F34" s="6" t="n">
        <f aca="false">COUNTIFS(Mundarija!$C$2:$C$254,B34,Mundarija!$H$2:$H$254,"Yetishmaydi")</f>
        <v>0</v>
      </c>
      <c r="G34" s="6" t="n">
        <f aca="false">COUNTIFS(Mundarija!$C$2:$C$254,B34,Mundarija!$H$2:$H$254,"Qisman to‘ldirilgan")</f>
        <v>1</v>
      </c>
      <c r="H34" s="6" t="n">
        <f aca="false">COUNTIFS(Mundarija!$C$2:$C$254,B34,Mundarija!$H$2:$H$254,"Takroriy")</f>
        <v>1</v>
      </c>
    </row>
    <row r="35" customFormat="false" ht="15" hidden="false" customHeight="false" outlineLevel="0" collapsed="false">
      <c r="A35" s="16"/>
      <c r="B35" s="16" t="s">
        <v>2987</v>
      </c>
      <c r="C35" s="16" t="n">
        <f aca="false">SUM(C2:C34)</f>
        <v>253</v>
      </c>
      <c r="D35" s="16" t="n">
        <f aca="false">SUM(D2:D34)</f>
        <v>248</v>
      </c>
      <c r="E35" s="17" t="n">
        <f aca="false">IF(C35=0,0,D35/C35)</f>
        <v>0.980237154150198</v>
      </c>
      <c r="F35" s="16" t="n">
        <f aca="false">SUM(F2:F34)</f>
        <v>5</v>
      </c>
      <c r="G35" s="16" t="n">
        <f aca="false">SUM(G2:G34)</f>
        <v>25</v>
      </c>
      <c r="H35" s="16" t="n">
        <f aca="false">SUM(H2:H34)</f>
        <v>10</v>
      </c>
    </row>
    <row r="37" customFormat="false" ht="15" hidden="false" customHeight="false" outlineLevel="0" collapsed="false">
      <c r="A37" s="9" t="s">
        <v>2988</v>
      </c>
    </row>
    <row r="38" customFormat="false" ht="15" hidden="false" customHeight="false" outlineLevel="0" collapsed="false">
      <c r="A38" s="10" t="s">
        <v>2989</v>
      </c>
      <c r="B38" s="10" t="s">
        <v>2990</v>
      </c>
      <c r="C38" s="10" t="s">
        <v>2991</v>
      </c>
    </row>
    <row r="39" customFormat="false" ht="23.85" hidden="false" customHeight="false" outlineLevel="0" collapsed="false">
      <c r="A39" s="6" t="s">
        <v>2992</v>
      </c>
      <c r="B39" s="6" t="s">
        <v>2993</v>
      </c>
      <c r="C39" s="15" t="n">
        <f aca="false">C35/253</f>
        <v>1</v>
      </c>
    </row>
    <row r="40" customFormat="false" ht="15" hidden="false" customHeight="false" outlineLevel="0" collapsed="false">
      <c r="A40" s="6" t="s">
        <v>2994</v>
      </c>
      <c r="B40" s="6" t="s">
        <v>2995</v>
      </c>
      <c r="C40" s="15" t="n">
        <f aca="false">E35</f>
        <v>0.980237154150198</v>
      </c>
    </row>
    <row r="41" customFormat="false" ht="23.85" hidden="false" customHeight="false" outlineLevel="0" collapsed="false">
      <c r="A41" s="6" t="s">
        <v>2996</v>
      </c>
      <c r="B41" s="6" t="s">
        <v>2997</v>
      </c>
      <c r="C41" s="15" t="n">
        <f aca="false">SUM(D2:D7)/SUM(C2:C7)</f>
        <v>1</v>
      </c>
    </row>
    <row r="42" customFormat="false" ht="35.05" hidden="false" customHeight="false" outlineLevel="0" collapsed="false">
      <c r="A42" s="6" t="s">
        <v>2998</v>
      </c>
      <c r="B42" s="6" t="s">
        <v>2999</v>
      </c>
      <c r="C42" s="15" t="n">
        <f aca="false">(COUNTIF(Katalog!$Q$2:$Q$448,"Havola tekshirilgan*")+COUNTIF(Katalog!$Q$2:$Q$448,"Metadata tekshirilgan*"))/COUNTA(Katalog!$A$2:$A$448)</f>
        <v>0.993288590604027</v>
      </c>
    </row>
    <row r="43" customFormat="false" ht="23.85" hidden="false" customHeight="false" outlineLevel="0" collapsed="false">
      <c r="A43" s="6" t="s">
        <v>3000</v>
      </c>
      <c r="B43" s="6" t="s">
        <v>3001</v>
      </c>
      <c r="C43" s="15" t="n">
        <f aca="false">COUNT(Katalog!$X$2:$X$448)/COUNTA(Katalog!$A$2:$A$448)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5" t="s">
        <v>3002</v>
      </c>
      <c r="B1" s="5" t="s">
        <v>3003</v>
      </c>
      <c r="C1" s="5" t="s">
        <v>3004</v>
      </c>
      <c r="D1" s="5" t="s">
        <v>41</v>
      </c>
      <c r="E1" s="5" t="s">
        <v>3005</v>
      </c>
    </row>
    <row r="2" customFormat="false" ht="23.85" hidden="false" customHeight="false" outlineLevel="0" collapsed="false">
      <c r="A2" s="6" t="s">
        <v>3006</v>
      </c>
      <c r="B2" s="6" t="s">
        <v>3007</v>
      </c>
      <c r="C2" s="6" t="s">
        <v>3008</v>
      </c>
      <c r="D2" s="6" t="s">
        <v>3009</v>
      </c>
      <c r="E2" s="6" t="s">
        <v>3010</v>
      </c>
    </row>
    <row r="3" customFormat="false" ht="23.85" hidden="false" customHeight="false" outlineLevel="0" collapsed="false">
      <c r="A3" s="6" t="s">
        <v>3011</v>
      </c>
      <c r="B3" s="6" t="s">
        <v>3012</v>
      </c>
      <c r="C3" s="6" t="s">
        <v>3013</v>
      </c>
      <c r="D3" s="6" t="s">
        <v>3014</v>
      </c>
      <c r="E3" s="6" t="s">
        <v>3015</v>
      </c>
    </row>
    <row r="4" customFormat="false" ht="35.05" hidden="false" customHeight="false" outlineLevel="0" collapsed="false">
      <c r="A4" s="6" t="s">
        <v>3016</v>
      </c>
      <c r="B4" s="6" t="s">
        <v>3017</v>
      </c>
      <c r="C4" s="6" t="s">
        <v>3018</v>
      </c>
      <c r="D4" s="6" t="s">
        <v>3019</v>
      </c>
      <c r="E4" s="6" t="s">
        <v>3020</v>
      </c>
    </row>
    <row r="5" customFormat="false" ht="23.85" hidden="false" customHeight="false" outlineLevel="0" collapsed="false">
      <c r="A5" s="6" t="s">
        <v>3021</v>
      </c>
      <c r="B5" s="6" t="s">
        <v>3022</v>
      </c>
      <c r="C5" s="6" t="s">
        <v>3023</v>
      </c>
      <c r="D5" s="6" t="s">
        <v>3019</v>
      </c>
      <c r="E5" s="6" t="s">
        <v>3024</v>
      </c>
    </row>
    <row r="6" customFormat="false" ht="23.85" hidden="false" customHeight="false" outlineLevel="0" collapsed="false">
      <c r="A6" s="6" t="s">
        <v>3025</v>
      </c>
      <c r="B6" s="6" t="s">
        <v>3026</v>
      </c>
      <c r="C6" s="6" t="s">
        <v>3027</v>
      </c>
      <c r="D6" s="6" t="s">
        <v>3019</v>
      </c>
      <c r="E6" s="6" t="s">
        <v>3028</v>
      </c>
    </row>
    <row r="7" customFormat="false" ht="23.85" hidden="false" customHeight="false" outlineLevel="0" collapsed="false">
      <c r="A7" s="6" t="s">
        <v>3029</v>
      </c>
      <c r="B7" s="6" t="s">
        <v>3030</v>
      </c>
      <c r="C7" s="6" t="s">
        <v>3031</v>
      </c>
      <c r="D7" s="6" t="s">
        <v>3019</v>
      </c>
      <c r="E7" s="6" t="s">
        <v>3032</v>
      </c>
    </row>
    <row r="8" customFormat="false" ht="23.85" hidden="false" customHeight="false" outlineLevel="0" collapsed="false">
      <c r="A8" s="6" t="s">
        <v>3033</v>
      </c>
      <c r="B8" s="6" t="s">
        <v>3034</v>
      </c>
      <c r="C8" s="6" t="s">
        <v>3035</v>
      </c>
      <c r="D8" s="6" t="s">
        <v>3036</v>
      </c>
      <c r="E8" s="6" t="s">
        <v>3037</v>
      </c>
    </row>
    <row r="9" customFormat="false" ht="23.85" hidden="false" customHeight="false" outlineLevel="0" collapsed="false">
      <c r="A9" s="6" t="s">
        <v>3038</v>
      </c>
      <c r="B9" s="6" t="s">
        <v>3039</v>
      </c>
      <c r="C9" s="6" t="s">
        <v>3040</v>
      </c>
      <c r="D9" s="6" t="s">
        <v>3041</v>
      </c>
      <c r="E9" s="6" t="s">
        <v>3042</v>
      </c>
    </row>
    <row r="11" customFormat="false" ht="15" hidden="false" customHeight="false" outlineLevel="0" collapsed="false">
      <c r="A11" s="9" t="s">
        <v>3043</v>
      </c>
    </row>
    <row r="12" customFormat="false" ht="15" hidden="false" customHeight="false" outlineLevel="0" collapsed="false">
      <c r="A12" s="10" t="s">
        <v>3044</v>
      </c>
      <c r="B12" s="10" t="s">
        <v>3045</v>
      </c>
      <c r="C12" s="10" t="s">
        <v>2822</v>
      </c>
      <c r="D12" s="10" t="s">
        <v>3046</v>
      </c>
    </row>
    <row r="13" customFormat="false" ht="15" hidden="false" customHeight="false" outlineLevel="0" collapsed="false">
      <c r="A13" s="6" t="s">
        <v>3047</v>
      </c>
      <c r="B13" s="6" t="s">
        <v>3048</v>
      </c>
      <c r="C13" s="6" t="s">
        <v>3049</v>
      </c>
      <c r="D13" s="6" t="s">
        <v>3050</v>
      </c>
    </row>
    <row r="14" customFormat="false" ht="35.05" hidden="false" customHeight="false" outlineLevel="0" collapsed="false">
      <c r="A14" s="6" t="s">
        <v>3047</v>
      </c>
      <c r="B14" s="6" t="s">
        <v>3051</v>
      </c>
      <c r="C14" s="6" t="s">
        <v>3052</v>
      </c>
      <c r="D14" s="6" t="s">
        <v>3053</v>
      </c>
    </row>
    <row r="15" customFormat="false" ht="23.85" hidden="false" customHeight="false" outlineLevel="0" collapsed="false">
      <c r="A15" s="6" t="s">
        <v>3047</v>
      </c>
      <c r="B15" s="6" t="s">
        <v>3054</v>
      </c>
      <c r="C15" s="6" t="s">
        <v>3055</v>
      </c>
      <c r="D15" s="6" t="s">
        <v>3056</v>
      </c>
    </row>
    <row r="16" customFormat="false" ht="23.85" hidden="false" customHeight="false" outlineLevel="0" collapsed="false">
      <c r="A16" s="6" t="s">
        <v>3047</v>
      </c>
      <c r="B16" s="6" t="s">
        <v>3057</v>
      </c>
      <c r="C16" s="6" t="s">
        <v>3058</v>
      </c>
      <c r="D16" s="6" t="s">
        <v>3059</v>
      </c>
    </row>
    <row r="17" customFormat="false" ht="23.85" hidden="false" customHeight="false" outlineLevel="0" collapsed="false">
      <c r="A17" s="6" t="s">
        <v>3047</v>
      </c>
      <c r="B17" s="6" t="s">
        <v>3060</v>
      </c>
      <c r="C17" s="6" t="s">
        <v>3061</v>
      </c>
      <c r="D17" s="6" t="s">
        <v>3062</v>
      </c>
    </row>
    <row r="18" customFormat="false" ht="23.85" hidden="false" customHeight="false" outlineLevel="0" collapsed="false">
      <c r="A18" s="6" t="s">
        <v>3047</v>
      </c>
      <c r="B18" s="6" t="s">
        <v>3063</v>
      </c>
      <c r="C18" s="6" t="s">
        <v>3064</v>
      </c>
      <c r="D18" s="6" t="s">
        <v>3065</v>
      </c>
    </row>
    <row r="19" customFormat="false" ht="35.05" hidden="false" customHeight="false" outlineLevel="0" collapsed="false">
      <c r="A19" s="6" t="s">
        <v>3066</v>
      </c>
      <c r="B19" s="6" t="s">
        <v>95</v>
      </c>
      <c r="C19" s="6" t="s">
        <v>3067</v>
      </c>
      <c r="D19" s="6" t="s">
        <v>3068</v>
      </c>
    </row>
    <row r="20" customFormat="false" ht="15" hidden="false" customHeight="false" outlineLevel="0" collapsed="false">
      <c r="A20" s="6" t="s">
        <v>3069</v>
      </c>
      <c r="B20" s="6" t="s">
        <v>63</v>
      </c>
      <c r="C20" s="6" t="s">
        <v>3070</v>
      </c>
      <c r="D20" s="6" t="s">
        <v>3071</v>
      </c>
    </row>
    <row r="21" customFormat="false" ht="35.05" hidden="false" customHeight="false" outlineLevel="0" collapsed="false">
      <c r="A21" s="6" t="s">
        <v>3069</v>
      </c>
      <c r="B21" s="6" t="s">
        <v>68</v>
      </c>
      <c r="C21" s="6" t="s">
        <v>3072</v>
      </c>
      <c r="D21" s="6" t="s">
        <v>3073</v>
      </c>
    </row>
    <row r="22" customFormat="false" ht="23.85" hidden="false" customHeight="false" outlineLevel="0" collapsed="false">
      <c r="A22" s="6" t="s">
        <v>3069</v>
      </c>
      <c r="B22" s="6" t="s">
        <v>3074</v>
      </c>
      <c r="C22" s="6" t="s">
        <v>3075</v>
      </c>
      <c r="D22" s="6" t="s">
        <v>3076</v>
      </c>
    </row>
    <row r="23" customFormat="false" ht="23.85" hidden="false" customHeight="false" outlineLevel="0" collapsed="false">
      <c r="A23" s="6" t="s">
        <v>3069</v>
      </c>
      <c r="B23" s="6" t="s">
        <v>3077</v>
      </c>
      <c r="C23" s="6" t="s">
        <v>3078</v>
      </c>
      <c r="D23" s="6" t="s">
        <v>3079</v>
      </c>
    </row>
    <row r="24" customFormat="false" ht="23.85" hidden="false" customHeight="false" outlineLevel="0" collapsed="false">
      <c r="A24" s="6" t="s">
        <v>2985</v>
      </c>
      <c r="B24" s="6" t="s">
        <v>185</v>
      </c>
      <c r="C24" s="6" t="s">
        <v>3080</v>
      </c>
      <c r="D24" s="6" t="s">
        <v>3081</v>
      </c>
    </row>
    <row r="25" customFormat="false" ht="23.85" hidden="false" customHeight="false" outlineLevel="0" collapsed="false">
      <c r="A25" s="6" t="s">
        <v>2985</v>
      </c>
      <c r="B25" s="6" t="s">
        <v>201</v>
      </c>
      <c r="C25" s="6" t="s">
        <v>3082</v>
      </c>
      <c r="D25" s="6" t="s">
        <v>3083</v>
      </c>
    </row>
    <row r="26" customFormat="false" ht="15" hidden="false" customHeight="false" outlineLevel="0" collapsed="false">
      <c r="A26" s="6" t="s">
        <v>2985</v>
      </c>
      <c r="B26" s="6" t="s">
        <v>354</v>
      </c>
      <c r="C26" s="6" t="s">
        <v>3084</v>
      </c>
      <c r="D26" s="6" t="s">
        <v>3085</v>
      </c>
    </row>
    <row r="27" customFormat="false" ht="35.05" hidden="false" customHeight="false" outlineLevel="0" collapsed="false">
      <c r="A27" s="6" t="s">
        <v>3086</v>
      </c>
      <c r="B27" s="6" t="s">
        <v>482</v>
      </c>
      <c r="C27" s="6" t="s">
        <v>3087</v>
      </c>
      <c r="D27" s="6" t="s">
        <v>3088</v>
      </c>
    </row>
    <row r="29" customFormat="false" ht="15" hidden="false" customHeight="false" outlineLevel="0" collapsed="false">
      <c r="A29" s="9" t="s">
        <v>3089</v>
      </c>
    </row>
    <row r="30" customFormat="false" ht="15" hidden="false" customHeight="false" outlineLevel="0" collapsed="false">
      <c r="A30" s="10" t="s">
        <v>3090</v>
      </c>
      <c r="B30" s="10" t="s">
        <v>3091</v>
      </c>
      <c r="C30" s="10" t="s">
        <v>3092</v>
      </c>
      <c r="D30" s="10" t="s">
        <v>41</v>
      </c>
    </row>
    <row r="31" customFormat="false" ht="46.25" hidden="false" customHeight="false" outlineLevel="0" collapsed="false">
      <c r="A31" s="6" t="s">
        <v>3093</v>
      </c>
      <c r="B31" s="6" t="s">
        <v>3094</v>
      </c>
      <c r="C31" s="6" t="s">
        <v>3095</v>
      </c>
      <c r="D31" s="6" t="s">
        <v>3096</v>
      </c>
    </row>
    <row r="32" customFormat="false" ht="23.85" hidden="false" customHeight="false" outlineLevel="0" collapsed="false">
      <c r="A32" s="6" t="s">
        <v>3097</v>
      </c>
      <c r="B32" s="6" t="s">
        <v>3098</v>
      </c>
      <c r="C32" s="6" t="s">
        <v>3099</v>
      </c>
      <c r="D32" s="6" t="s">
        <v>3096</v>
      </c>
    </row>
    <row r="33" customFormat="false" ht="35.05" hidden="false" customHeight="false" outlineLevel="0" collapsed="false">
      <c r="A33" s="6" t="s">
        <v>3100</v>
      </c>
      <c r="B33" s="6" t="s">
        <v>3101</v>
      </c>
      <c r="C33" s="6" t="s">
        <v>3102</v>
      </c>
      <c r="D33" s="6" t="s">
        <v>3103</v>
      </c>
    </row>
    <row r="34" customFormat="false" ht="23.85" hidden="false" customHeight="false" outlineLevel="0" collapsed="false">
      <c r="A34" s="6" t="s">
        <v>3104</v>
      </c>
      <c r="B34" s="6" t="s">
        <v>3105</v>
      </c>
      <c r="C34" s="6" t="s">
        <v>3106</v>
      </c>
      <c r="D34" s="6" t="s">
        <v>3107</v>
      </c>
    </row>
    <row r="35" customFormat="false" ht="23.85" hidden="false" customHeight="false" outlineLevel="0" collapsed="false">
      <c r="A35" s="6" t="s">
        <v>3108</v>
      </c>
      <c r="B35" s="6" t="s">
        <v>3109</v>
      </c>
      <c r="C35" s="6" t="s">
        <v>3110</v>
      </c>
      <c r="D35" s="6" t="s">
        <v>3111</v>
      </c>
    </row>
    <row r="36" customFormat="false" ht="35.05" hidden="false" customHeight="false" outlineLevel="0" collapsed="false">
      <c r="A36" s="6" t="s">
        <v>3112</v>
      </c>
      <c r="B36" s="6" t="s">
        <v>3113</v>
      </c>
      <c r="C36" s="6" t="s">
        <v>3114</v>
      </c>
      <c r="D36" s="6" t="s">
        <v>3115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2026-10-17T13:35:50Z</dcterms:created>
  <dc:creator>openpyxl</dc:creator>
  <dc:description/>
  <dc:language>en-US</dc:language>
  <cp:lastModifiedBy/>
  <dcterms:modified xsi:type="dcterms:W3CDTF">2026-10-17T13:35:51Z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