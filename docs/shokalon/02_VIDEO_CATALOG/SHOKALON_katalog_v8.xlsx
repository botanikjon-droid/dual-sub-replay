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Katalog!$A$1:$Y$313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<sst xmlns="http://schemas.openxmlformats.org/spreadsheetml/2006/main" count="7248" uniqueCount="2497">
  <si>
    <t xml:space="preserve">SHOKALON — videodarslar katalogi, 8-versiya</t>
  </si>
  <si>
    <t xml:space="preserve">Tayyorlangan sana</t>
  </si>
  <si>
    <t xml:space="preserve">2026-10-17</t>
  </si>
  <si>
    <t xml:space="preserve">Nima bor</t>
  </si>
  <si>
    <t xml:space="preserve">33 bob, 253 kichik mavzu (Mundarija); 312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</si>
  <si>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</si>
  <si>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</si>
  <si>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</si>
  <si>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</si>
  <si>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</si>
  <si>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</si>
  <si>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</si>
  <si>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</si>
  <si>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</si>
  <si>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</si>
  <si>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</si>
  <si>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</si>
  <si>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</si>
  <si>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</si>
  <si>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</si>
  <si>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</si>
  <si>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</si>
  <si>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</si>
  <si>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</si>
  <si>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</si>
  <si>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</si>
  <si>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</si>
  <si>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</si>
  <si>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</si>
  <si>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</si>
  <si>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</si>
  <si>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</si>
  <si>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</si>
  <si>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</si>
  <si>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</si>
  <si>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</si>
  <si>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</si>
  <si>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</si>
  <si>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</si>
  <si>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</si>
  <si>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</si>
  <si>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</si>
  <si>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</si>
  <si>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</si>
  <si>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</si>
  <si>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</si>
  <si>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</si>
  <si>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</si>
  <si>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</si>
  <si>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</si>
  <si>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</si>
  <si>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</si>
  <si>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</si>
  <si>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</si>
  <si>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</si>
  <si>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</si>
  <si>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</si>
  <si>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</si>
  <si>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</si>
  <si>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</si>
  <si>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</si>
  <si>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</si>
  <si>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</si>
  <si>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</si>
  <si>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</si>
  <si>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</si>
  <si>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</si>
  <si>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</si>
  <si>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</si>
  <si>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</si>
  <si>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</si>
  <si>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</si>
  <si>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</si>
  <si>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</si>
  <si>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</si>
  <si>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</si>
  <si>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</si>
  <si>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</si>
  <si>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</si>
  <si>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</si>
  <si>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</si>
  <si>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</si>
  <si>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</si>
  <si>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</si>
  <si>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</si>
  <si>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</si>
  <si>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</si>
  <si>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</si>
  <si>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</si>
  <si>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</si>
  <si>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</si>
  <si>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</si>
  <si>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</si>
  <si>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</si>
  <si>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</si>
  <si>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</si>
  <si>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</si>
  <si>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</si>
  <si>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</si>
  <si>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</si>
  <si>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</si>
  <si>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</si>
  <si>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</si>
  <si>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</si>
  <si>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</si>
  <si>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</si>
  <si>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</si>
  <si>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</si>
  <si>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</si>
  <si>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</si>
  <si>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</si>
  <si>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</si>
  <si>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</si>
  <si>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</si>
  <si>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</si>
  <si>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</si>
  <si>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</si>
  <si>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</si>
  <si>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</si>
  <si>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</si>
  <si>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</si>
  <si>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</si>
  <si>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</si>
  <si>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</si>
  <si>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</si>
  <si>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</si>
  <si>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</si>
  <si>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</si>
  <si>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</si>
  <si>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</si>
  <si>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</si>
  <si>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</si>
  <si>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</si>
  <si>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</si>
  <si>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</si>
  <si>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</si>
  <si>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</si>
  <si>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</si>
  <si>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</si>
  <si>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</si>
  <si>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</si>
  <si>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</si>
  <si>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</si>
  <si>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</si>
  <si>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</si>
  <si>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</si>
  <si>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</si>
  <si>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</si>
  <si>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</si>
  <si>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</si>
  <si>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</si>
  <si>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</si>
  <si>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</si>
  <si>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</si>
  <si>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</si>
  <si>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</si>
  <si>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</si>
  <si>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</si>
  <si>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</si>
  <si>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</si>
  <si>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</si>
  <si>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</si>
  <si>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</si>
  <si>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</si>
  <si>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</si>
  <si>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</si>
  <si>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</si>
  <si>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</si>
  <si>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</si>
  <si>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</si>
  <si>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</si>
  <si>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</si>
  <si>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</si>
  <si>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</si>
  <si>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</si>
  <si>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</si>
  <si>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</si>
  <si>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</si>
  <si>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</si>
  <si>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</si>
  <si>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</si>
  <si>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</si>
  <si>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</si>
  <si>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</si>
  <si>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</si>
  <si>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</si>
  <si>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</si>
  <si>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</si>
  <si>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</si>
  <si>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</si>
  <si>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</si>
  <si>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</si>
  <si>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</si>
  <si>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</si>
  <si>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</si>
  <si>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</si>
  <si>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</si>
  <si>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</si>
  <si>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</si>
  <si>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</si>
  <si>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</si>
  <si>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</si>
  <si>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</si>
  <si>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</si>
  <si>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</si>
  <si>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</si>
  <si>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</si>
  <si>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</si>
  <si>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</si>
  <si>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</si>
  <si>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</si>
  <si>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</si>
  <si>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</si>
  <si>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</si>
  <si>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</si>
  <si>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</si>
  <si>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</si>
  <si>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</si>
  <si>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</si>
  <si>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</si>
  <si>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</si>
  <si>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</si>
  <si>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</si>
  <si>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</si>
  <si>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</si>
  <si>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</si>
  <si>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</si>
  <si>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</si>
  <si>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</si>
  <si>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</si>
  <si>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</si>
  <si>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</si>
  <si>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</si>
  <si>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</si>
  <si>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</si>
  <si>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</si>
  <si>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</si>
  <si>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</si>
  <si>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</si>
  <si>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</si>
  <si>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</si>
  <si>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</si>
  <si>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</si>
  <si>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</si>
  <si>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</si>
  <si>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</si>
  <si>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</si>
  <si>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</si>
  <si>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</si>
  <si>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</si>
  <si>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</si>
  <si>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</si>
  <si>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</si>
  <si>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</si>
  <si>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</si>
  <si>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</si>
  <si>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</si>
  <si>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</si>
  <si>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</si>
  <si>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</si>
  <si>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</si>
  <si>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</si>
  <si>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</si>
  <si>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</si>
  <si>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</si>
  <si>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</si>
  <si>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</si>
  <si>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</si>
  <si>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</si>
  <si>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</si>
  <si>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</si>
  <si>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</si>
  <si>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</si>
  <si>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</si>
  <si>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</si>
  <si>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</si>
  <si>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</si>
  <si>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</si>
  <si>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</si>
  <si>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</si>
  <si>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</si>
  <si>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</si>
  <si>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</si>
  <si>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</si>
  <si>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</si>
  <si>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</si>
  <si>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</si>
  <si>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</si>
  <si>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</si>
  <si>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</si>
  <si>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</si>
  <si>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</si>
  <si>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</si>
  <si>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</si>
  <si>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</si>
  <si>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</si>
  <si>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</si>
  <si>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</si>
  <si>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</si>
  <si>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</si>
  <si>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</si>
  <si>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</si>
  <si>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</si>
  <si>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</si>
  <si>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</si>
  <si>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</si>
  <si>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</si>
  <si>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</si>
  <si>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</si>
  <si>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</si>
  <si>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</si>
  <si>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</si>
  <si>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</si>
  <si>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</si>
  <si>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</si>
  <si>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</si>
  <si>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</si>
  <si>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</si>
  <si>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</si>
  <si>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</si>
  <si>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</si>
  <si>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</si>
  <si>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</si>
  <si>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</si>
  <si>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</si>
  <si>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</si>
  <si>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</si>
  <si>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</si>
  <si>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</si>
  <si>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</si>
  <si>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</si>
  <si>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</si>
  <si>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</si>
  <si>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</si>
  <si>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</si>
  <si>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</si>
  <si>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</si>
  <si>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</si>
  <si>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</si>
  <si>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</si>
  <si>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</si>
  <si>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</si>
  <si>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</si>
  <si>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</si>
  <si>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</si>
  <si>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</si>
  <si>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</si>
  <si>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</si>
  <si>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</si>
  <si>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</si>
  <si>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</si>
  <si>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</si>
  <si>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</si>
  <si>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</si>
  <si>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</si>
  <si>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</si>
  <si>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</si>
  <si>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</si>
  <si>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</si>
  <si>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</si>
  <si>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</si>
  <si>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</si>
  <si>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</si>
  <si>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</si>
  <si>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</si>
  <si>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</si>
  <si>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</si>
  <si>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</si>
  <si>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</si>
  <si>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</si>
  <si>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</si>
  <si>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</si>
  <si>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</si>
  <si>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</si>
  <si>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</si>
  <si>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</si>
  <si>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</si>
  <si>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</si>
  <si>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</si>
  <si>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</si>
  <si>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</si>
  <si>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</si>
  <si>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</si>
  <si>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</si>
  <si>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</si>
  <si>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</si>
  <si>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</si>
  <si>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</si>
  <si>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</si>
  <si>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</si>
  <si>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</si>
  <si>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</si>
  <si>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</si>
  <si>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</si>
  <si>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</si>
  <si>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</si>
  <si>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</si>
  <si>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</si>
  <si>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</si>
  <si>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</si>
  <si>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</si>
  <si>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</si>
  <si>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</si>
  <si>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</si>
  <si>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</si>
  <si>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</si>
  <si>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</si>
  <si>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</si>
  <si>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</si>
  <si>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</si>
  <si>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</si>
  <si>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</si>
  <si>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</si>
  <si>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</si>
  <si>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</si>
  <si>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</si>
  <si>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</si>
  <si>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</si>
  <si>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</si>
  <si>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</si>
  <si>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</si>
  <si>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</si>
  <si>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</si>
  <si>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</si>
  <si>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</si>
  <si>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</si>
  <si>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</si>
  <si>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</si>
  <si>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</si>
  <si>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</si>
  <si>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</si>
  <si>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</si>
  <si>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</si>
  <si>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</si>
  <si>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</si>
  <si>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</si>
  <si>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</si>
  <si>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</si>
  <si>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</si>
  <si>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</si>
  <si>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</si>
  <si>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</si>
  <si>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</si>
  <si>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</si>
  <si>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</si>
  <si>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</si>
  <si>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</si>
  <si>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</si>
  <si>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</si>
  <si>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</si>
  <si>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</si>
  <si>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</si>
  <si>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</si>
  <si>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</si>
  <si>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</si>
  <si>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</si>
  <si>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</si>
  <si>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</si>
  <si>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</si>
  <si>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</si>
  <si>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</si>
  <si>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</si>
  <si>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</si>
  <si>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</si>
  <si>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</si>
  <si>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</si>
  <si>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</si>
  <si>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</si>
  <si>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</si>
  <si>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</si>
  <si>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</si>
  <si>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</si>
  <si>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</si>
  <si>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</si>
  <si>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</si>
  <si>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</si>
  <si>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</si>
  <si>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</si>
  <si>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</si>
  <si>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</si>
  <si>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</si>
  <si>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</si>
  <si>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</si>
  <si>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</si>
  <si>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</si>
  <si>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</si>
  <si>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</si>
  <si>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</si>
  <si>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</si>
  <si>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</si>
  <si>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</si>
  <si>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</si>
  <si>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</si>
  <si>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</si>
  <si>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</si>
  <si>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</si>
  <si>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</si>
  <si>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</si>
  <si>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</si>
  <si>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</si>
  <si>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</si>
  <si>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</si>
  <si>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</si>
  <si>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</si>
  <si>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</si>
  <si>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</si>
  <si>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</si>
  <si>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</si>
  <si>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</si>
  <si>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</si>
  <si>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</si>
  <si>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</si>
  <si>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</si>
  <si>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</si>
  <si>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</si>
  <si>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</si>
  <si>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</si>
  <si>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</si>
  <si>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</si>
  <si>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</si>
  <si>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</si>
  <si>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</si>
  <si>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</si>
  <si>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</si>
  <si>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</si>
  <si>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</si>
  <si>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</si>
  <si>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</si>
  <si>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</si>
  <si>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</si>
  <si>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</si>
  <si>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</si>
  <si>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</si>
  <si>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</si>
  <si>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</si>
  <si>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</si>
  <si>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</si>
  <si>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</si>
  <si>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</si>
  <si>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</si>
  <si>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</si>
  <si>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</si>
  <si>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</si>
  <si>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</si>
  <si>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</si>
  <si>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</si>
  <si>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</si>
  <si>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</si>
  <si>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</si>
  <si>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</si>
  <si>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</si>
  <si>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</si>
  <si>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</si>
  <si>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</si>
  <si>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</si>
  <si>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</si>
  <si>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</si>
  <si>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</si>
  <si>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</si>
  <si>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</si>
  <si>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</si>
  <si>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</si>
  <si>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</si>
  <si>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</si>
  <si>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</si>
  <si>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</si>
  <si>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</si>
  <si>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</si>
  <si>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</si>
  <si>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</si>
  <si>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</si>
  <si>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</si>
  <si>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</si>
  <si>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</si>
  <si>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</si>
  <si>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</si>
  <si>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</si>
  <si>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</si>
  <si>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</si>
  <si>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</si>
  <si>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</si>
  <si>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</si>
  <si>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</si>
  <si>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</si>
  <si>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</si>
  <si>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</si>
  <si>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</si>
  <si>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</si>
  <si>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</si>
  <si>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</si>
  <si>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</si>
  <si>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</si>
  <si>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</si>
  <si>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</si>
  <si>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</si>
  <si>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</si>
  <si>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</si>
  <si>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</si>
  <si>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</si>
  <si>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</si>
  <si>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</si>
  <si>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</si>
  <si>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</si>
  <si>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</si>
  <si>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</si>
  <si>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</si>
  <si>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</si>
  <si>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</si>
  <si>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</si>
  <si>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</si>
  <si>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</si>
  <si>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</si>
  <si>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</si>
  <si>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</si>
  <si>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</si>
  <si>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</si>
  <si>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</si>
  <si>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</si>
  <si>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</si>
  <si>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</si>
  <si>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</si>
  <si>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</si>
  <si>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</si>
  <si>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</si>
  <si>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</si>
  <si>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</si>
  <si>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</si>
  <si>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</si>
  <si>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</si>
  <si>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</si>
  <si>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</si>
  <si>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</si>
  <si>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</si>
  <si>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</si>
  <si>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</si>
  <si>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</si>
  <si>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</si>
  <si>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</si>
  <si>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</si>
  <si>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</si>
  <si>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</si>
  <si>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</si>
  <si>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</si>
  <si>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</si>
  <si>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</si>
  <si>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</si>
  <si>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</si>
  <si>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</si>
  <si>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</si>
  <si>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</si>
  <si>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</si>
  <si>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</si>
  <si>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</si>
  <si>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</si>
  <si>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</si>
  <si>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</si>
  <si>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</si>
  <si>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</si>
  <si>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</si>
  <si>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</si>
  <si>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</si>
  <si>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</si>
  <si>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</si>
  <si>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</si>
  <si>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</si>
  <si>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</si>
  <si>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</si>
  <si>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</si>
  <si>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</si>
  <si>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</si>
  <si>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</si>
  <si>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</si>
  <si>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</si>
  <si>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</si>
  <si>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</si>
  <si>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</si>
  <si>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</si>
  <si>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</si>
  <si>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</si>
  <si>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</si>
  <si>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</si>
  <si>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</si>
  <si>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</si>
  <si>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</si>
  <si>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</si>
  <si>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</si>
  <si>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</si>
  <si>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</si>
  <si>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</si>
  <si>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</si>
  <si>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</si>
  <si>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</si>
  <si>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</si>
  <si>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</si>
  <si>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</si>
  <si>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</si>
  <si>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</si>
  <si>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</si>
  <si>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</si>
  <si>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</si>
  <si>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</si>
  <si>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</si>
  <si>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</si>
  <si>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</si>
  <si>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</si>
  <si>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</si>
  <si>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</si>
  <si>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</si>
  <si>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</si>
  <si>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</si>
  <si>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</si>
  <si>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</si>
  <si>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</si>
  <si>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</si>
  <si>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</si>
  <si>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</si>
  <si>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</si>
  <si>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</si>
  <si>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</si>
  <si>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</si>
  <si>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</si>
  <si>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</si>
  <si>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</si>
  <si>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</si>
  <si>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</si>
  <si>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</si>
  <si>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</si>
  <si>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</si>
  <si>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</si>
  <si>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</si>
  <si>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</si>
  <si>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</si>
  <si>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</si>
  <si>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</si>
  <si>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</si>
  <si>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</si>
  <si>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</si>
  <si>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</si>
  <si>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</si>
  <si>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</si>
  <si>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</si>
  <si>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</si>
  <si>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</si>
  <si>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</si>
  <si>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</si>
  <si>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</si>
  <si>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</si>
  <si>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</si>
  <si>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</si>
  <si>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</si>
  <si>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</si>
  <si>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</si>
  <si>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</si>
  <si>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</si>
  <si>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</si>
  <si>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</si>
  <si>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ultrasound normal values organ size children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</si>
  <si>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</si>
  <si>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</si>
  <si>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</si>
  <si>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</si>
  <si>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</si>
  <si>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</si>
  <si>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</si>
  <si>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</si>
  <si>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</si>
  <si>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</si>
  <si>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Birinchi qidiruv 2026-10-17; invaginatsiya va yoshga xos me’yorlar ochiq</t>
  </si>
  <si>
    <t xml:space="preserve">Navbatda</t>
  </si>
  <si>
    <t xml:space="preserve">Hali ishlanmagan; ilova katalogi v1 darslari bor bo‘lishi mumkin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</si>
  <si>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</si>
  <si>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</si>
  <si>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</si>
  <si>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</si>
  <si>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</si>
  <si>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</si>
  <si>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</si>
  <si>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</si>
  <si>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</si>
  <si>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</si>
  <si>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</si>
  <si>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</si>
  <si>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</si>
  <si>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</si>
  <si>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</si>
  <si>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</si>
  <si>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</si>
  <si>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</si>
  <si>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</si>
  <si>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</si>
  <si>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</si>
  <si>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</si>
  <si>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</si>
  <si>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</si>
  <si>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</si>
  <si>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</si>
  <si>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</si>
  <si>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</si>
  <si>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</si>
  <si>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</si>
  <si>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</si>
  <si>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</si>
  <si>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</si>
  <si>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</si>
  <si>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</si>
  <si>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</si>
  <si>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</si>
  <si>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</si>
  <si>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</si>
  <si>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</si>
  <si>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</si>
  <si>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</si>
  <si>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</si>
  <si>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</si>
  <si>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</si>
  <si>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</si>
  <si>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</si>
  <si>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</si>
  <si>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</si>
  <si>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</si>
  <si>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</si>
  <si>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</si>
  <si>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</si>
  <si>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</si>
  <si>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</si>
  <si>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</si>
  <si>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</si>
  <si>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</si>
  <si>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</si>
  <si>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</si>
  <si>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</si>
  <si>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</si>
  <si>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</si>
  <si>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</si>
  <si>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</si>
  <si>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</si>
  <si>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</si>
  <si>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</si>
  <si>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</si>
  <si>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</si>
  <si>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</si>
  <si>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</si>
  <si>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</si>
  <si>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</si>
  <si>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</si>
  <si>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</si>
  <si>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</si>
  <si>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</si>
  <si>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</si>
  <si>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</si>
  <si>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</si>
  <si>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</si>
  <si>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</si>
  <si>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</si>
  <si>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</si>
  <si>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</si>
  <si>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</si>
  <si>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</si>
  <si>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</si>
  <si>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</si>
  <si>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</si>
  <si>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</si>
  <si>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</si>
  <si>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</si>
  <si>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</si>
  <si>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</si>
  <si>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</si>
  <si>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</si>
  <si>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</si>
  <si>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</si>
  <si>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</si>
  <si>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</si>
  <si>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</si>
  <si>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</si>
  <si>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</si>
  <si>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</si>
  <si>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</si>
  <si>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</si>
  <si>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</si>
  <si>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</si>
  <si>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</si>
  <si>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</si>
  <si>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</si>
  <si>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</si>
  <si>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</si>
  <si>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</si>
  <si>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</si>
  <si>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</si>
  <si>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</si>
  <si>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</si>
  <si>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</si>
  <si>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</si>
  <si>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</si>
  <si>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</si>
  <si>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</si>
  <si>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</si>
  <si>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</si>
  <si>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</si>
  <si>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</si>
  <si>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</si>
  <si>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</si>
  <si>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</si>
  <si>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</si>
  <si>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</si>
  <si>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</si>
  <si>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</si>
  <si>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</si>
  <si>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</si>
  <si>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</si>
  <si>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</si>
  <si>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</si>
  <si>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</si>
  <si>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</si>
  <si>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</si>
  <si>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</si>
  <si>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</si>
  <si>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</si>
  <si>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</si>
  <si>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</si>
  <si>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</si>
  <si>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</si>
  <si>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</si>
  <si>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</si>
  <si>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</si>
  <si>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</si>
  <si>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</si>
  <si>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</si>
  <si>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</si>
  <si>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</si>
  <si>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</si>
  <si>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</si>
  <si>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</si>
  <si>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</si>
  <si>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</si>
  <si>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</si>
  <si>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</si>
  <si>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</si>
  <si>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</si>
  <si>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</si>
  <si>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</si>
  <si>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</si>
  <si>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</si>
  <si>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</si>
  <si>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</si>
  <si>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</si>
  <si>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</si>
  <si>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</si>
  <si>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</si>
  <si>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</si>
  <si>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</si>
  <si>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</si>
  <si>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</si>
  <si>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</si>
  <si>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</si>
  <si>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</si>
  <si>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</si>
  <si>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</si>
  <si>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</si>
  <si>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</si>
  <si>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</si>
  <si>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</si>
  <si>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</si>
  <si>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</si>
  <si>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</si>
  <si>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</si>
  <si>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</si>
  <si>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</si>
  <si>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</si>
  <si>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</si>
  <si>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</si>
  <si>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</si>
  <si>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</si>
  <si>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</si>
  <si>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</si>
  <si>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</si>
  <si>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</si>
  <si>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</si>
  <si>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</si>
  <si>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</si>
  <si>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</si>
  <si>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</si>
  <si>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</si>
  <si>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</si>
  <si>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</si>
  <si>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</si>
  <si>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</si>
  <si>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</si>
  <si>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</si>
  <si>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</si>
  <si>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</si>
  <si>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</si>
  <si>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</si>
  <si>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</si>
  <si>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</si>
  <si>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</si>
  <si>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</si>
  <si>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</si>
  <si>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</si>
  <si>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</si>
  <si>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</si>
  <si>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</si>
  <si>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</si>
  <si>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</si>
  <si>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</si>
  <si>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</si>
  <si>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</si>
  <si>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</si>
  <si>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</si>
  <si>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</si>
  <si>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</si>
  <si>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</si>
  <si>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</si>
  <si>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</si>
  <si>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</si>
  <si>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</si>
  <si>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</si>
  <si>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</si>
  <si>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</si>
  <si>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</si>
  <si>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</si>
  <si>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</si>
  <si>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</si>
  <si>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</si>
  <si>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</si>
  <si>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</si>
  <si>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</si>
  <si>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</si>
  <si>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</si>
  <si>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</si>
  <si>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</si>
  <si>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</si>
  <si>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</si>
  <si>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</si>
  <si>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</si>
  <si>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</si>
  <si>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</si>
  <si>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</si>
  <si>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</si>
  <si>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</si>
  <si>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</si>
  <si>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</si>
  <si>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</si>
  <si>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</si>
  <si>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</si>
  <si>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</si>
  <si>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</si>
  <si>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</si>
  <si>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</si>
  <si>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</si>
  <si>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</si>
  <si>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</si>
  <si>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</si>
  <si>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</si>
  <si>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</si>
  <si>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</si>
  <si>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</si>
  <si>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</si>
  <si>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</si>
  <si>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</si>
  <si>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</si>
  <si>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</si>
  <si>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</si>
  <si>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</si>
  <si>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</si>
  <si>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</si>
  <si>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</si>
  <si>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</si>
  <si>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</si>
  <si>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</si>
  <si>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</si>
  <si>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</si>
  <si>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</si>
  <si>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</si>
  <si>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</si>
  <si>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</si>
  <si>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</si>
  <si>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</si>
  <si>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</si>
  <si>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</si>
  <si>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</si>
  <si>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</si>
  <si>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</si>
  <si>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</si>
  <si>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</si>
  <si>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</si>
  <si>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</si>
  <si>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</si>
  <si>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</si>
  <si>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</si>
  <si>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</si>
  <si>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</si>
  <si>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</si>
  <si>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</si>
  <si>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</si>
  <si>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</si>
  <si>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</si>
  <si>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</si>
  <si>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</si>
  <si>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</si>
  <si>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</si>
  <si>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</si>
  <si>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</si>
  <si>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</si>
  <si>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</si>
  <si>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</si>
  <si>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</si>
  <si>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</si>
  <si>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</si>
  <si>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</si>
  <si>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</si>
  <si>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</si>
  <si>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</si>
  <si>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</si>
  <si>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</si>
  <si>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</si>
  <si>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</si>
  <si>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</si>
  <si>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</si>
  <si>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</si>
  <si>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</si>
  <si>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</si>
  <si>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</si>
  <si>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</si>
  <si>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</si>
  <si>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</si>
  <si>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</si>
  <si>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</si>
  <si>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</si>
  <si>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</si>
  <si>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</si>
  <si>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</si>
  <si>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</si>
  <si>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</si>
  <si>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</si>
  <si>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</si>
  <si>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</si>
  <si>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</si>
  <si>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</si>
  <si>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</si>
  <si>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</si>
  <si>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</si>
  <si>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</si>
  <si>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</si>
  <si>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</si>
  <si>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</si>
  <si>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</si>
  <si>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</si>
  <si>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</si>
  <si>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</si>
  <si>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</si>
  <si>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</si>
  <si>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</si>
  <si>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</si>
  <si>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</si>
  <si>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</si>
  <si>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</si>
  <si>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</si>
  <si>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</si>
  <si>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</si>
  <si>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</si>
  <si>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</si>
  <si>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</si>
  <si>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</si>
  <si>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</si>
  <si>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</si>
  <si>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</si>
  <si>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</si>
  <si>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</si>
  <si>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</si>
  <si>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</si>
  <si>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</si>
  <si>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</si>
  <si>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</si>
  <si>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</si>
  <si>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</si>
  <si>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</si>
  <si>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</si>
  <si>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</si>
  <si>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</si>
  <si>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</si>
  <si>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</si>
  <si>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</si>
  <si>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</si>
  <si>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</si>
  <si>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</si>
  <si>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</si>
  <si>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</si>
  <si>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</si>
  <si>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</si>
  <si>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</si>
  <si>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</si>
  <si>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</si>
  <si>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</si>
  <si>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</si>
  <si>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</si>
  <si>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</si>
  <si>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</si>
  <si>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</si>
  <si>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</si>
  <si>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</si>
  <si>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</si>
  <si>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</si>
  <si>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</si>
  <si>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</si>
  <si>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</si>
  <si>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</si>
  <si>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</si>
  <si>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</si>
  <si>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</si>
  <si>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</si>
  <si>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</si>
  <si>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</si>
  <si>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</si>
  <si>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</si>
  <si>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</si>
  <si>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</si>
  <si>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</si>
  <si>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</si>
  <si>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</si>
  <si>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</si>
  <si>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</si>
  <si>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</si>
  <si>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</si>
  <si>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</si>
  <si>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</si>
  <si>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</si>
  <si>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</si>
  <si>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</si>
  <si>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</si>
  <si>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</si>
  <si>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</si>
  <si>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</si>
  <si>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</si>
  <si>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</si>
  <si>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</si>
  <si>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</si>
  <si>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</si>
  <si>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</si>
  <si>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</si>
  <si>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</si>
  <si>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</si>
  <si>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</si>
  <si>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</si>
  <si>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</si>
  <si>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</si>
  <si>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</si>
  <si>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</si>
  <si>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</si>
  <si>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</si>
  <si>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</si>
  <si>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</si>
  <si>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</si>
  <si>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</si>
  <si>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</si>
  <si>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</si>
  <si>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</si>
  <si>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</si>
  <si>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</si>
  <si>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</si>
  <si>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</si>
  <si>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</si>
  <si>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</si>
  <si>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</si>
  <si>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</si>
  <si>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</si>
  <si>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</si>
  <si>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</si>
  <si>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</si>
  <si>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</si>
  <si>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</si>
  <si>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</si>
  <si>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</si>
  <si>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</si>
  <si>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</si>
  <si>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</si>
  <si>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</si>
  <si>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</si>
  <si>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</si>
  <si>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</si>
  <si>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</si>
  <si>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</si>
  <si>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</si>
  <si>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</si>
  <si>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</si>
  <si>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</si>
  <si>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</si>
  <si>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</si>
  <si>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</si>
  <si>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</si>
  <si>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</si>
  <si>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</si>
  <si>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</si>
  <si>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</si>
  <si>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</si>
  <si>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</si>
  <si>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</si>
  <si>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</si>
  <si>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</si>
  <si>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</si>
  <si>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</si>
  <si>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</si>
  <si>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</si>
  <si>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</si>
  <si>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</si>
  <si>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</si>
  <si>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</si>
  <si>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</si>
  <si>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</si>
  <si>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</si>
  <si>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</si>
  <si>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</si>
  <si>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</si>
  <si>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</si>
  <si>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</si>
  <si>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</si>
  <si>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</si>
  <si>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</si>
  <si>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</si>
  <si>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</si>
  <si>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</si>
  <si>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</si>
  <si>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</si>
  <si>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</si>
  <si>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</si>
  <si>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</si>
  <si>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</si>
  <si>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</si>
  <si>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</si>
  <si>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</si>
  <si>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</si>
  <si>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</si>
  <si>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</si>
  <si>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</si>
  <si>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</si>
  <si>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</si>
  <si>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</si>
  <si>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</si>
  <si>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</si>
  <si>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</si>
  <si>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</si>
  <si>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</si>
  <si>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</si>
  <si>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</si>
  <si>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</si>
  <si>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</si>
  <si>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</si>
  <si>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</si>
  <si>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</si>
  <si>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</si>
  <si>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</si>
  <si>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</si>
  <si>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</si>
  <si>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</si>
  <si>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</si>
  <si>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</si>
  <si>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</si>
  <si>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</si>
  <si>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</si>
  <si>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</si>
  <si>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</si>
  <si>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</si>
  <si>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</si>
  <si>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</si>
  <si>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</si>
  <si>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</si>
  <si>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</si>
  <si>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</si>
  <si>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</si>
  <si>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</si>
  <si>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</si>
  <si>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</si>
  <si>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</si>
  <si>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</si>
  <si>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</si>
  <si>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</si>
  <si>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</si>
  <si>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</si>
  <si>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</si>
  <si>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</si>
  <si>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</si>
  <si>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</si>
  <si>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</si>
  <si>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</si>
  <si>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</si>
  <si>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</si>
  <si>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</si>
  <si>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</si>
  <si>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</si>
  <si>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</si>
  <si>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</si>
  <si>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</si>
  <si>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</si>
  <si>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</si>
  <si>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</si>
  <si>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</si>
  <si>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</si>
  <si>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</si>
  <si>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</si>
  <si>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</si>
  <si>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</si>
  <si>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</si>
  <si>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</si>
  <si>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</si>
  <si>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</si>
  <si>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</si>
  <si>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</si>
  <si>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</si>
  <si>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</si>
  <si>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</si>
  <si>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</si>
  <si>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</si>
  <si>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</si>
  <si>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</si>
  <si>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</si>
  <si>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</si>
  <si>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</si>
  <si>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</si>
  <si>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</si>
  <si>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</si>
  <si>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</si>
  <si>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</si>
  <si>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</si>
  <si>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</si>
  <si>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</si>
  <si>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</si>
  <si>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</si>
  <si>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</si>
  <si>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</si>
  <si>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</si>
  <si>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</si>
  <si>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</si>
  <si>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</si>
  <si>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</si>
  <si>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</si>
  <si>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</si>
  <si>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</si>
  <si>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</si>
  <si>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</si>
  <si>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</si>
  <si>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</si>
  <si>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</si>
  <si>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</si>
  <si>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</si>
  <si>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</si>
  <si>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</si>
  <si>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</si>
  <si>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</si>
  <si>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</si>
  <si>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</si>
  <si>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</si>
  <si>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</si>
  <si>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</si>
  <si>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</si>
  <si>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</si>
  <si>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</si>
  <si>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</si>
  <si>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</si>
  <si>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</si>
  <si>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</si>
  <si>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</si>
  <si>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</si>
  <si>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</si>
  <si>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</si>
  <si>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</si>
  <si>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</si>
  <si>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</si>
  <si>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</si>
  <si>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</si>
  <si>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</si>
  <si>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</si>
  <si>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</si>
  <si>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</si>
  <si>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</si>
  <si>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</si>
  <si>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</si>
  <si>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</si>
  <si>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</si>
  <si>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</si>
  <si>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</si>
  <si>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</si>
  <si>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</si>
  <si>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</si>
  <si>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</si>
  <si>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</si>
  <si>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</si>
  <si>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</si>
  <si>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</si>
  <si>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</si>
  <si>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</si>
  <si>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</si>
  <si>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</si>
  <si>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</si>
  <si>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</si>
  <si>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</si>
  <si>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</si>
  <si>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</si>
  <si>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</si>
  <si>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</si>
  <si>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</si>
  <si>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</si>
  <si>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</si>
  <si>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</si>
  <si>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</si>
  <si>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</si>
  <si>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</si>
  <si>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</si>
  <si>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</si>
  <si>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</si>
  <si>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</si>
  <si>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</si>
  <si>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</si>
  <si>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</si>
  <si>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</si>
  <si>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</si>
  <si>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</si>
  <si>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</si>
  <si>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</si>
  <si>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</si>
  <si>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</si>
  <si>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</si>
  <si>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</si>
  <si>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</si>
  <si>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</si>
  <si>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</si>
  <si>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</si>
  <si>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</si>
  <si>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</si>
  <si>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</si>
  <si>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</si>
  <si>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</si>
  <si>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</si>
  <si>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</si>
  <si>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</si>
  <si>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</si>
  <si>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</si>
  <si>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</si>
  <si>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</si>
  <si>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</si>
  <si>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</si>
  <si>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</si>
  <si>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</si>
  <si>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</si>
  <si>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</si>
  <si>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</si>
  <si>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</si>
  <si>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</si>
  <si>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</si>
  <si>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</si>
  <si>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</si>
  <si>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</si>
  <si>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</si>
  <si>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</si>
  <si>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</si>
  <si>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</si>
  <si>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</si>
  <si>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</si>
  <si>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</si>
  <si>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</si>
  <si>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</si>
  <si>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</si>
  <si>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</si>
  <si>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</si>
  <si>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</si>
  <si>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</si>
  <si>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</si>
  <si>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</si>
  <si>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</si>
  <si>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</si>
  <si>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</si>
  <si>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</si>
  <si>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</si>
  <si>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</si>
  <si>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</si>
  <si>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</si>
  <si>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</si>
  <si>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</si>
  <si>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</si>
  <si>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</si>
  <si>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</si>
  <si>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</si>
  <si>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</si>
  <si>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</si>
  <si>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</si>
  <si>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</si>
  <si>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</si>
  <si>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</si>
  <si>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</si>
  <si>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</si>
  <si>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</si>
  <si>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</si>
  <si>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</si>
  <si>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</si>
  <si>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</si>
  <si>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</si>
  <si>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</si>
  <si>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</si>
  <si>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</si>
  <si>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</si>
  <si>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</si>
  <si>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</si>
  <si>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</si>
  <si>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</si>
  <si>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</si>
  <si>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</si>
  <si>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</si>
  <si>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</si>
  <si>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</si>
  <si>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</si>
  <si>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</si>
  <si>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</si>
  <si>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</si>
  <si>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</si>
  <si>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</si>
  <si>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</si>
  <si>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</si>
  <si>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</si>
  <si>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</si>
  <si>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</si>
  <si>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</si>
  <si>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</si>
  <si>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</si>
  <si>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</si>
  <si>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</si>
  <si>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</si>
  <si>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</si>
  <si>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</si>
  <si>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</si>
  <si>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</si>
  <si>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</si>
  <si>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</si>
  <si>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</si>
  <si>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</si>
  <si>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</si>
  <si>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</si>
  <si>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</si>
  <si>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</si>
  <si>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</si>
  <si>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</si>
  <si>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</si>
  <si>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</si>
  <si>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</si>
  <si>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</si>
  <si>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</si>
  <si>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</si>
  <si>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</si>
  <si>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</si>
  <si>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</si>
  <si>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</si>
  <si>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</si>
  <si>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</si>
  <si>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</si>
  <si>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</si>
  <si>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</si>
  <si>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</si>
  <si>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</si>
  <si>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</si>
  <si>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</si>
  <si>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</si>
  <si>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</si>
  <si>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</si>
  <si>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</si>
  <si>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</si>
  <si>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</si>
  <si>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</si>
  <si>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</si>
  <si>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</si>
  <si>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</si>
  <si>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</si>
  <si>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</si>
  <si>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</si>
  <si>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</si>
  <si>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</si>
  <si>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</si>
  <si>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</si>
  <si>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</si>
  <si>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</si>
  <si>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</si>
  <si>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</si>
  <si>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</si>
  <si>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</si>
  <si>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</si>
  <si>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</si>
  <si>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</si>
  <si>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</si>
  <si>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</si>
  <si>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</si>
  <si>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</si>
  <si>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</si>
  <si>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</si>
  <si>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</si>
  <si>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</si>
  <si>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</si>
  <si>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</si>
  <si>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</si>
  <si>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</si>
  <si>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</si>
  <si>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</si>
  <si>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</si>
  <si>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</si>
  <si>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</si>
  <si>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</si>
  <si>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</si>
  <si>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</si>
  <si>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</si>
  <si>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</si>
  <si>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</si>
  <si>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</si>
  <si>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</si>
  <si>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</si>
  <si>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</si>
  <si>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</si>
  <si>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</si>
  <si>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</si>
  <si>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</si>
  <si>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</si>
  <si>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</si>
  <si>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</si>
  <si>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</si>
  <si>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</si>
  <si>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</si>
  <si>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</si>
  <si>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</si>
  <si>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</si>
  <si>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</si>
  <si>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</si>
  <si>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</si>
  <si>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</si>
  <si>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</si>
  <si>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</si>
  <si>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</si>
  <si>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</si>
  <si>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</si>
  <si>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</si>
  <si>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</si>
  <si>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</si>
  <si>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</si>
  <si>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</si>
  <si>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</si>
  <si>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</si>
  <si>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</si>
  <si>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</si>
  <si>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</si>
  <si>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</si>
  <si>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</si>
  <si>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</si>
  <si>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</si>
  <si>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</si>
  <si>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</si>
  <si>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</si>
  <si>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</si>
  <si>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</si>
  <si>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</si>
  <si>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</si>
  <si>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</si>
  <si>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</si>
  <si>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</si>
  <si>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</si>
  <si>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</si>
  <si>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</si>
  <si>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</si>
  <si>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</si>
  <si>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</si>
  <si>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</si>
  <si>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</si>
  <si>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</si>
  <si>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</si>
  <si>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</si>
  <si>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</si>
  <si>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</si>
  <si>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</si>
  <si>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</si>
  <si>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</si>
  <si>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</si>
  <si>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</si>
  <si>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</si>
  <si>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</si>
  <si>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</si>
  <si>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</si>
  <si>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</si>
  <si>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</si>
  <si>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</si>
  <si>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</si>
  <si>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</si>
  <si>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</si>
  <si>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</si>
  <si>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</si>
  <si>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</si>
  <si>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</si>
  <si>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</si>
  <si>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</si>
  <si>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</si>
  <si>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</si>
  <si>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</si>
  <si>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</si>
  <si>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</si>
  <si>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</si>
  <si>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</si>
  <si>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</si>
  <si>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</si>
  <si>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</si>
  <si>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</si>
  <si>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</si>
  <si>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</si>
  <si>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</si>
  <si>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</si>
  <si>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</si>
  <si>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</si>
  <si>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</si>
  <si>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</si>
  <si>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</si>
  <si>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</si>
  <si>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</si>
  <si>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</si>
  <si>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</si>
  <si>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</si>
  <si>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</si>
  <si>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</si>
  <si>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</si>
  <si>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</si>
  <si>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</si>
  <si>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</si>
  <si>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</si>
  <si>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</si>
  <si>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</si>
  <si>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</si>
  <si>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</si>
  <si>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</si>
  <si>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</si>
  <si>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</si>
  <si>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</si>
  <si>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</si>
  <si>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</si>
  <si>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</si>
  <si>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</si>
  <si>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</si>
  <si>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</si>
  <si>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</si>
  <si>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</si>
  <si>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</si>
  <si>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</si>
  <si>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</si>
  <si>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</si>
  <si>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</si>
  <si>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</si>
  <si>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</si>
  <si>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</si>
  <si>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</si>
  <si>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</si>
  <si>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</si>
  <si>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</si>
  <si>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</si>
  <si>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</si>
  <si>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</si>
  <si>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</si>
  <si>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</si>
  <si>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</si>
  <si>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</si>
  <si>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</si>
  <si>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</si>
  <si>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</si>
  <si>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</si>
  <si>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</si>
  <si>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</si>
  <si>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</si>
  <si>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</si>
  <si>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</si>
  <si>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</si>
  <si>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</si>
  <si>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</si>
  <si>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</si>
  <si>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</si>
  <si>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</si>
  <si>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</si>
  <si>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</si>
  <si>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</si>
  <si>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</si>
  <si>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</si>
  <si>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</si>
  <si>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</si>
  <si>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</si>
  <si>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</si>
  <si>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</si>
  <si>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</si>
  <si>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</si>
  <si>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</si>
  <si>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</si>
  <si>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</si>
  <si>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</si>
  <si>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</si>
  <si>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</si>
  <si>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</si>
  <si>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</si>
  <si>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</si>
  <si>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</si>
  <si>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</si>
  <si>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</si>
  <si>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</si>
  <si>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</si>
  <si>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</si>
  <si>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</si>
  <si>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</si>
  <si>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</si>
  <si>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</si>
  <si>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</si>
  <si>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</si>
  <si>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</si>
  <si>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</si>
  <si>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</si>
  <si>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</si>
  <si>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</si>
  <si>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</si>
  <si>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</si>
  <si>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</si>
  <si>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</si>
  <si>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</si>
  <si>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</si>
  <si>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</si>
  <si>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</si>
  <si>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</si>
  <si>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</si>
  <si>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</si>
  <si>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</si>
  <si>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</si>
  <si>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</si>
  <si>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</si>
  <si>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</si>
  <si>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</si>
  <si>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</si>
  <si>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</si>
  <si>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</si>
  <si>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</si>
  <si>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</si>
  <si>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</si>
  <si>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</si>
  <si>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</si>
  <si>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</si>
  <si>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</si>
  <si>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</si>
  <si>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</si>
  <si>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</si>
  <si>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</si>
  <si>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</si>
  <si>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</si>
  <si>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</si>
  <si>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</si>
  <si>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</si>
  <si>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</si>
  <si>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</si>
  <si>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</si>
  <si>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</si>
  <si>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</si>
  <si>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</si>
  <si>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</si>
  <si>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</si>
  <si>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</si>
  <si>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</si>
  <si>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</si>
  <si>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</si>
  <si>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</si>
  <si>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</si>
  <si>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</si>
  <si>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</si>
  <si>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</si>
  <si>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</si>
  <si>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</si>
  <si>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</si>
  <si>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</si>
  <si>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</si>
  <si>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</si>
  <si>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</si>
  <si>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</si>
  <si>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</si>
  <si>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</si>
  <si>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</si>
  <si>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</si>
  <si>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</si>
  <si>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</si>
  <si>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</si>
  <si>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</si>
  <si>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</si>
  <si>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</si>
  <si>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</si>
  <si>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</si>
  <si>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</si>
  <si>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</si>
  <si>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</si>
  <si>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</si>
  <si>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</si>
  <si>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</si>
  <si>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</si>
  <si>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</si>
  <si>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</si>
  <si>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</si>
  <si>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</si>
  <si>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</si>
  <si>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</si>
  <si>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</si>
  <si>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</si>
  <si>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</si>
  <si>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</si>
  <si>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</si>
  <si>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</si>
  <si>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</si>
  <si>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</si>
  <si>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</si>
  <si>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</si>
  <si>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</si>
  <si>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</si>
  <si>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</si>
  <si>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</si>
  <si>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</si>
  <si>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</si>
  <si>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</si>
  <si>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</si>
  <si>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</si>
  <si>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</si>
  <si>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</si>
  <si>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</si>
  <si>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</si>
  <si>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</si>
  <si>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</si>
  <si>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</si>
  <si>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</si>
  <si>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</si>
  <si>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</si>
  <si>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</si>
  <si>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</si>
  <si>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</si>
  <si>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</si>
  <si>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</si>
  <si>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</si>
  <si>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</si>
  <si>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</si>
  <si>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</si>
  <si>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</si>
  <si>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</si>
  <si>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</si>
  <si>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</si>
  <si>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</si>
  <si>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</si>
  <si>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</si>
  <si>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</si>
  <si>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</si>
  <si>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</si>
  <si>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</si>
  <si>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</si>
  <si>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</si>
  <si>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</si>
  <si>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</si>
  <si>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</si>
  <si>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</si>
  <si>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</si>
  <si>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</si>
  <si>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</si>
  <si>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</si>
  <si>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</si>
  <si>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</si>
  <si>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</si>
  <si>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</si>
  <si>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</si>
  <si>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</si>
  <si>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</si>
  <si>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</si>
  <si>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</si>
  <si>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</si>
  <si>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</si>
  <si>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</si>
  <si>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</si>
  <si>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V269</t>
  </si>
  <si>
    <t xml:space="preserve">Hot Tip-How to Locate the Vertebral Artery and Demonstrate Flow Direction</t>
  </si>
  <si>
    <t xml:space="preserve">https://www.youtube.com/watch?v=0jwR7ClJZgo</t>
  </si>
  <si>
    <t xml:space="preserve">V270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</si>
  <si>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</si>
  <si>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</si>
  <si>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</si>
  <si>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Imtihonga tayyorlov kanali (sonografist)</t>
  </si>
  <si>
    <t xml:space="preserve">V271</t>
  </si>
  <si>
    <t xml:space="preserve">Part 1: Varicose veins ultrasound assessment: GSV anatomy assessment</t>
  </si>
  <si>
    <t xml:space="preserve">https://www.youtube.com/watch?v=n5HblR27soE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</si>
  <si>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</si>
  <si>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</si>
  <si>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</si>
  <si>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</si>
  <si>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</si>
  <si>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V273</t>
  </si>
  <si>
    <t xml:space="preserve">Venous ultrasound course: Identifying varicose veins in the insufficiency study</t>
  </si>
  <si>
    <t xml:space="preserve">https://www.youtube.com/watch?v=LcuG9zdK4tM</t>
  </si>
  <si>
    <t xml:space="preserve">V274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</si>
  <si>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</si>
  <si>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</si>
  <si>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</si>
  <si>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V275</t>
  </si>
  <si>
    <t xml:space="preserve">How To: Abdominal Ultrasound - Aorta Measurements</t>
  </si>
  <si>
    <t xml:space="preserve">https://www.youtube.com/watch?v=SHhKyEaW1NM</t>
  </si>
  <si>
    <t xml:space="preserve">Sonosite</t>
  </si>
  <si>
    <t xml:space="preserve">Ishlab chiqaruvchi (Sonosite)</t>
  </si>
  <si>
    <t xml:space="preserve">V276</t>
  </si>
  <si>
    <t xml:space="preserve">03.15.02; 11.29.05</t>
  </si>
  <si>
    <t xml:space="preserve">Point of Care Ultrasound of the Inferior Vena Cava (IVC) - AMBOSS Video</t>
  </si>
  <si>
    <t xml:space="preserve">https://www.youtube.com/watch?v=Flc8xS2foOU</t>
  </si>
  <si>
    <t xml:space="preserve">AMBOSS: Medical Knowledge Distilled</t>
  </si>
  <si>
    <t xml:space="preserve">Ta’lim platformasi (AMBOSS)</t>
  </si>
  <si>
    <t xml:space="preserve">V277</t>
  </si>
  <si>
    <t xml:space="preserve">Measuring dialysis fistula maturity using ultrasound</t>
  </si>
  <si>
    <t xml:space="preserve">https://www.youtube.com/watch?v=ts4a50k08bE</t>
  </si>
  <si>
    <t xml:space="preserve">V278</t>
  </si>
  <si>
    <t xml:space="preserve">Vascular Imaging Webinar Series: Arteriovenous Mapping for Dialysis Access</t>
  </si>
  <si>
    <t xml:space="preserve">https://www.youtube.com/watch?v=cFHfoL1k_pk</t>
  </si>
  <si>
    <t xml:space="preserve">PAHO TV</t>
  </si>
  <si>
    <t xml:space="preserve">Xalqaro tashkilot (PAHO TV, vebinar)</t>
  </si>
  <si>
    <t xml:space="preserve">V279</t>
  </si>
  <si>
    <t xml:space="preserve">Imaging of Arteriovenous Fistulas: From Maturation to Salvage</t>
  </si>
  <si>
    <t xml:space="preserve">https://www.youtube.com/watch?v=PeTOlKIaNBI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</si>
  <si>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</si>
  <si>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</si>
  <si>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</si>
  <si>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https://www.youtube.com/watch?v=3El9mtbhkX4</t>
  </si>
  <si>
    <t xml:space="preserve">V281</t>
  </si>
  <si>
    <t xml:space="preserve">Orthotopic Liver Transplant Hepatic Artery and Portal Vein Complications</t>
  </si>
  <si>
    <t xml:space="preserve">https://www.youtube.com/watch?v=jF22GbTfFS4</t>
  </si>
  <si>
    <t xml:space="preserve">V282</t>
  </si>
  <si>
    <t xml:space="preserve">Hepatic Doppler Made Easy | Portal Vein, Tardus Parvus &amp; Liver Waveforms</t>
  </si>
  <si>
    <t xml:space="preserve">https://www.youtube.com/watch?v=1kuYwCDc0tM</t>
  </si>
  <si>
    <t xml:space="preserve">Medical Radiology by RADIOBITE</t>
  </si>
  <si>
    <t xml:space="preserve">Ta’lim kanali (radiologiya)</t>
  </si>
  <si>
    <t xml:space="preserve">V283</t>
  </si>
  <si>
    <t xml:space="preserve">Echo BachelorClass - Your introduction to basic echocardiography</t>
  </si>
  <si>
    <t xml:space="preserve">https://www.youtube.com/watch?v=pZT_13noYjE</t>
  </si>
  <si>
    <t xml:space="preserve">V284</t>
  </si>
  <si>
    <t xml:space="preserve">M-Mode Measurement of the Left Ventricle</t>
  </si>
  <si>
    <t xml:space="preserve">https://www.youtube.com/watch?v=WJ6EfMZwr6o</t>
  </si>
  <si>
    <t xml:space="preserve">V285</t>
  </si>
  <si>
    <t xml:space="preserve">M-Mode Echocardiogram</t>
  </si>
  <si>
    <t xml:space="preserve">https://www.youtube.com/watch?v=xcTmcjBMLrU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</si>
  <si>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</si>
  <si>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</si>
  <si>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</si>
  <si>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</si>
  <si>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https://www.youtube.com/watch?v=Rm5H_kH2QTg</t>
  </si>
  <si>
    <t xml:space="preserve">V287</t>
  </si>
  <si>
    <t xml:space="preserve">Basic Principles of Colour Doppler Echocardiography</t>
  </si>
  <si>
    <t xml:space="preserve">https://www.youtube.com/watch?v=kCCE16_X9_o</t>
  </si>
  <si>
    <t xml:space="preserve">V288</t>
  </si>
  <si>
    <t xml:space="preserve">Tissue Doppler Step by Step - Medial e' Example</t>
  </si>
  <si>
    <t xml:space="preserve">https://www.youtube.com/watch?v=KfGIkbE_7Yo</t>
  </si>
  <si>
    <t xml:space="preserve">V289</t>
  </si>
  <si>
    <t xml:space="preserve">Transthoracic Echocardiography Cardiac Chamber Quantification</t>
  </si>
  <si>
    <t xml:space="preserve">https://www.youtube.com/watch?v=c5r5o6tdWGo</t>
  </si>
  <si>
    <t xml:space="preserve">Libyan Cardiac Society</t>
  </si>
  <si>
    <t xml:space="preserve">Professional jamiyat (Libyan Cardiac Society)</t>
  </si>
  <si>
    <t xml:space="preserve">V290</t>
  </si>
  <si>
    <t xml:space="preserve">Echocardiography for beginners - How to label the walls of the Left Ventricle (16 segment model).</t>
  </si>
  <si>
    <t xml:space="preserve">https://www.youtube.com/watch?v=idFDcFpnCGQ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</si>
  <si>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</si>
  <si>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</si>
  <si>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</si>
  <si>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</si>
  <si>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https://www.youtube.com/watch?v=kygmtUisB4Y</t>
  </si>
  <si>
    <t xml:space="preserve">V292</t>
  </si>
  <si>
    <t xml:space="preserve">Doppler Echocardiography and Diastology (SHERIF F. NAGUEH, MD)</t>
  </si>
  <si>
    <t xml:space="preserve">https://www.youtube.com/watch?v=QXMD7dTurO4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</si>
  <si>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</si>
  <si>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</si>
  <si>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</si>
  <si>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https://www.youtube.com/watch?v=D2ce7sfiOT0</t>
  </si>
  <si>
    <t xml:space="preserve">Intersocietal Accreditation Commission</t>
  </si>
  <si>
    <t xml:space="preserve">Professional jamiyatlar (IAC, ASE, SDMS)</t>
  </si>
  <si>
    <t xml:space="preserve">V294</t>
  </si>
  <si>
    <t xml:space="preserve">Diastology by echo: simplified explanations and algorithms- 2025 ASE guidelines</t>
  </si>
  <si>
    <t xml:space="preserve">https://www.youtube.com/watch?v=3MsngAG8Pjs</t>
  </si>
  <si>
    <t xml:space="preserve">Elias Hanna</t>
  </si>
  <si>
    <t xml:space="preserve">Shifokor kanali (kardiolog)</t>
  </si>
  <si>
    <t xml:space="preserve">V295</t>
  </si>
  <si>
    <t xml:space="preserve">Echocardiographic assessments in dilated cardiomyopathy (DCM)</t>
  </si>
  <si>
    <t xml:space="preserve">https://www.youtube.com/watch?v=WiYZdPS6Wjs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</si>
  <si>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</si>
  <si>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</si>
  <si>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</si>
  <si>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https://www.youtube.com/watch?v=AfwjVLFYYt0</t>
  </si>
  <si>
    <t xml:space="preserve">V297</t>
  </si>
  <si>
    <t xml:space="preserve">Echo of Restrictive Vs Hypertrophic Vs Dilated Cardiomyopathy</t>
  </si>
  <si>
    <t xml:space="preserve">https://www.youtube.com/watch?v=5mC4uIjsxjI</t>
  </si>
  <si>
    <t xml:space="preserve">Pediatric Echo Gallery</t>
  </si>
  <si>
    <t xml:space="preserve">Ta’lim kanali (Pediatric Echo Gallery)</t>
  </si>
  <si>
    <t xml:space="preserve">V298</t>
  </si>
  <si>
    <t xml:space="preserve">Echocardiography Essentials: Evaluating right ventricular size and function</t>
  </si>
  <si>
    <t xml:space="preserve">https://www.youtube.com/watch?v=UggcygRRar8</t>
  </si>
  <si>
    <t xml:space="preserve">V299</t>
  </si>
  <si>
    <t xml:space="preserve">How to estimate pulmonary artery systolic pressure (PASP) using echo</t>
  </si>
  <si>
    <t xml:space="preserve">https://www.youtube.com/watch?v=fOM-_AGGyxI</t>
  </si>
  <si>
    <t xml:space="preserve">V300</t>
  </si>
  <si>
    <t xml:space="preserve">14. Estimating right ventricular / pulmonary artery systolic pressure from TR jet</t>
  </si>
  <si>
    <t xml:space="preserve">https://www.youtube.com/watch?v=m3hkemZU3P0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</si>
  <si>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</si>
  <si>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</si>
  <si>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</si>
  <si>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</si>
  <si>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https://www.youtube.com/watch?v=tKFjmbKRuuY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</si>
  <si>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</si>
  <si>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</si>
  <si>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</si>
  <si>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https://www.youtube.com/watch?v=u_JnrufkxFc</t>
  </si>
  <si>
    <t xml:space="preserve">V303</t>
  </si>
  <si>
    <t xml:space="preserve">Guideline Webinar: Standardization of Adult Echocardiography Reporting</t>
  </si>
  <si>
    <t xml:space="preserve">https://www.youtube.com/watch?v=yG6R8vwbaTA</t>
  </si>
  <si>
    <t xml:space="preserve">ASE360</t>
  </si>
  <si>
    <t xml:space="preserve">Professional jamiyat (ASE360)</t>
  </si>
  <si>
    <t xml:space="preserve">V304</t>
  </si>
  <si>
    <t xml:space="preserve">How to go about normal values for echocardiographic measurements?</t>
  </si>
  <si>
    <t xml:space="preserve">https://www.youtube.com/watch?v=PLsiuY8DVz4</t>
  </si>
  <si>
    <t xml:space="preserve">V305</t>
  </si>
  <si>
    <t xml:space="preserve">5.14.2020 PedsUroFLO Lecture - Pediatric GU Ultrasonography and Hydronephrosis Classification</t>
  </si>
  <si>
    <t xml:space="preserve">https://www.youtube.com/watch?v=shceIjFAyQ8</t>
  </si>
  <si>
    <t xml:space="preserve">Urology Residents</t>
  </si>
  <si>
    <t xml:space="preserve">Rezidentlar ma’ruzasi (bolalar urologiyasi)</t>
  </si>
  <si>
    <t xml:space="preserve">V306</t>
  </si>
  <si>
    <t xml:space="preserve">Pediatric journal club I: SFU grading of hydronephrosis</t>
  </si>
  <si>
    <t xml:space="preserve">https://www.youtube.com/watch?v=-c2z6E1ZYv4</t>
  </si>
  <si>
    <t xml:space="preserve">Tata Memorial Hospital Radiology Dept</t>
  </si>
  <si>
    <t xml:space="preserve">Kasalxona radiologiya bo‘limi (Tata Memorial)</t>
  </si>
  <si>
    <t xml:space="preserve">V307</t>
  </si>
  <si>
    <t xml:space="preserve">Pyloric Ultrasound</t>
  </si>
  <si>
    <t xml:space="preserve">https://www.youtube.com/watch?v=UUgFHvQl_Zg</t>
  </si>
  <si>
    <t xml:space="preserve">V308</t>
  </si>
  <si>
    <t xml:space="preserve">Ultrasound cases: POSITIVE Hypertrophic Pyloric Stenosis | pediatric sonography</t>
  </si>
  <si>
    <t xml:space="preserve">https://www.youtube.com/watch?v=jAI9PBfPB_Q</t>
  </si>
  <si>
    <t xml:space="preserve">V309</t>
  </si>
  <si>
    <t xml:space="preserve">Assessment of Necrotizing Enterocolitis by Ultrasound</t>
  </si>
  <si>
    <t xml:space="preserve">https://www.youtube.com/watch?v=znsVV0Y2D38</t>
  </si>
  <si>
    <t xml:space="preserve">NICU_musings</t>
  </si>
  <si>
    <t xml:space="preserve">Shifokor kanali (neonatolog)</t>
  </si>
  <si>
    <t xml:space="preserve">V310</t>
  </si>
  <si>
    <t xml:space="preserve">Ultrasound showing portal venous gas</t>
  </si>
  <si>
    <t xml:space="preserve">https://www.youtube.com/watch?v=TPrepneQZkY</t>
  </si>
  <si>
    <t xml:space="preserve">V311</t>
  </si>
  <si>
    <t xml:space="preserve">Point of Care Neonatal Ultrasound</t>
  </si>
  <si>
    <t xml:space="preserve">https://www.youtube.com/watch?v=0BfDNNj87zk</t>
  </si>
  <si>
    <t xml:space="preserve">V312</t>
  </si>
  <si>
    <t xml:space="preserve">Introduction to Paediatric / Pediatric Echocardiograms and Common Critical Congenital Heart Defects</t>
  </si>
  <si>
    <t xml:space="preserve">https://www.youtube.com/watch?v=ipkAb5RHF_M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</si>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</sst>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3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3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2</v>
      </c>
      <c r="F65" s="6"/>
      <c r="G65" s="6"/>
      <c r="H65" s="6" t="str">
        <f aca="false">IF(G65&lt;&gt;"","Takroriy",IF(E65=0,"Yetishmaydi",IF(F65="ha","Qisman to‘ldirilgan","Mavjud, lekin tekshirilmagan")))</f>
        <v>Mavjud, lekin tekshirilmagan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3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1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3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2</v>
      </c>
      <c r="F159" s="6"/>
      <c r="G159" s="6"/>
      <c r="H159" s="6" t="str">
        <f aca="false">IF(G159&lt;&gt;"","Takroriy",IF(E159=0,"Yetishmaydi",IF(F159="ha","Qisman to‘ldirilgan","Mavjud, lekin tekshirilmagan")))</f>
        <v>Mavjud, lekin tekshirilmagan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2</v>
      </c>
      <c r="F160" s="6"/>
      <c r="G160" s="6"/>
      <c r="H160" s="6" t="str">
        <f aca="false">IF(G160&lt;&gt;"","Takroriy",IF(E160=0,"Yetishmaydi",IF(F160="ha","Qisman to‘ldirilgan","Mavjud, lekin tekshirilmagan")))</f>
        <v>Mavjud, lekin tekshirilmagan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4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2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1</v>
      </c>
      <c r="F163" s="6" t="s">
        <v>55</v>
      </c>
      <c r="G163" s="6"/>
      <c r="H163" s="6" t="str">
        <f aca="false">IF(G163&lt;&gt;"","Takroriy",IF(E163=0,"Yetishmaydi",IF(F163="ha","Qisman to‘ldirilgan","Mavjud, lekin tekshirilmagan")))</f>
        <v>Qisman to‘ldirilgan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2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2</v>
      </c>
      <c r="F165" s="6"/>
      <c r="G165" s="6"/>
      <c r="H165" s="6" t="str">
        <f aca="false">IF(G165&lt;&gt;"","Takroriy",IF(E165=0,"Yetishmaydi",IF(F165="ha","Qisman to‘ldirilgan","Mavjud, lekin tekshirilmagan")))</f>
        <v>Mavjud, lekin tekshirilmagan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1</v>
      </c>
      <c r="F167" s="6" t="s">
        <v>55</v>
      </c>
      <c r="G167" s="6"/>
      <c r="H167" s="6" t="str">
        <f aca="false">IF(G167&lt;&gt;"","Takroriy",IF(E167=0,"Yetishmaydi",IF(F167="ha","Qisman to‘ldirilgan","Mavjud, lekin tekshirilmagan")))</f>
        <v>Qisman to‘ldirilgan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3</v>
      </c>
      <c r="F168" s="6"/>
      <c r="G168" s="6"/>
      <c r="H168" s="6" t="str">
        <f aca="false">IF(G168&lt;&gt;"","Takroriy",IF(E168=0,"Yetishmaydi",IF(F168="ha","Qisman to‘ldirilgan","Mavjud, lekin tekshirilmagan")))</f>
        <v>Mavjud, lekin tekshirilmagan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3</v>
      </c>
      <c r="F169" s="6"/>
      <c r="G169" s="6"/>
      <c r="H169" s="6" t="str">
        <f aca="false">IF(G169&lt;&gt;"","Takroriy",IF(E169=0,"Yetishmaydi",IF(F169="ha","Qisman to‘ldirilgan","Mavjud, lekin tekshirilmagan")))</f>
        <v>Mavjud, lekin tekshirilmagan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3</v>
      </c>
      <c r="F170" s="6"/>
      <c r="G170" s="6"/>
      <c r="H170" s="6" t="str">
        <f aca="false">IF(G170&lt;&gt;"","Takroriy",IF(E170=0,"Yetishmaydi",IF(F170="ha","Qisman to‘ldirilgan","Mavjud, lekin tekshirilmagan")))</f>
        <v>Mavjud, lekin tekshirilmagan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3</v>
      </c>
      <c r="F171" s="6"/>
      <c r="G171" s="6"/>
      <c r="H171" s="6" t="str">
        <f aca="false">IF(G171&lt;&gt;"","Takroriy",IF(E171=0,"Yetishmaydi",IF(F171="ha","Qisman to‘ldirilgan","Mavjud, lekin tekshirilmagan")))</f>
        <v>Mavjud, lekin tekshirilmagan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3</v>
      </c>
      <c r="F172" s="6"/>
      <c r="G172" s="6"/>
      <c r="H172" s="6" t="str">
        <f aca="false">IF(G172&lt;&gt;"","Takroriy",IF(E172=0,"Yetishmaydi",IF(F172="ha","Qisman to‘ldirilgan","Mavjud, lekin tekshirilmagan")))</f>
        <v>Mavjud, lekin tekshirilmagan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2</v>
      </c>
      <c r="F173" s="6" t="s">
        <v>55</v>
      </c>
      <c r="G173" s="6"/>
      <c r="H173" s="6" t="str">
        <f aca="false">IF(G173&lt;&gt;"","Takroriy",IF(E173=0,"Yetishmaydi",IF(F173="ha","Qisman to‘ldirilgan","Mavjud, lekin tekshirilmagan")))</f>
        <v>Qisman to‘ldirilgan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3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4</v>
      </c>
      <c r="F178" s="6"/>
      <c r="G178" s="6"/>
      <c r="H178" s="6" t="str">
        <f aca="false">IF(G178&lt;&gt;"","Takroriy",IF(E178=0,"Yetishmaydi",IF(F178="ha","Qisman to‘ldirilgan","Mavjud, lekin tekshirilmagan")))</f>
        <v>Mavjud, lekin tekshirilmagan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3</v>
      </c>
      <c r="F179" s="6"/>
      <c r="G179" s="6"/>
      <c r="H179" s="6" t="str">
        <f aca="false">IF(G179&lt;&gt;"","Takroriy",IF(E179=0,"Yetishmaydi",IF(F179="ha","Qisman to‘ldirilgan","Mavjud, lekin tekshirilmagan")))</f>
        <v>Mavjud, lekin tekshirilmagan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4</v>
      </c>
      <c r="F180" s="6"/>
      <c r="G180" s="6"/>
      <c r="H180" s="6" t="str">
        <f aca="false">IF(G180&lt;&gt;"","Takroriy",IF(E180=0,"Yetishmaydi",IF(F180="ha","Qisman to‘ldirilgan","Mavjud, lekin tekshirilmagan")))</f>
        <v>Mavjud, lekin tekshirilmagan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2</v>
      </c>
      <c r="F181" s="6"/>
      <c r="G181" s="6"/>
      <c r="H181" s="6" t="str">
        <f aca="false">IF(G181&lt;&gt;"","Takroriy",IF(E181=0,"Yetishmaydi",IF(F181="ha","Qisman to‘ldirilgan","Mavjud, lekin tekshirilmagan")))</f>
        <v>Mavjud, lekin tekshirilmagan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2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3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3</v>
      </c>
      <c r="F185" s="6"/>
      <c r="G185" s="6"/>
      <c r="H185" s="6" t="str">
        <f aca="false">IF(G185&lt;&gt;"","Takroriy",IF(E185=0,"Yetishmaydi",IF(F185="ha","Qisman to‘ldirilgan","Mavjud, lekin tekshirilmagan")))</f>
        <v>Mavjud, lekin tekshirilmagan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3</v>
      </c>
      <c r="F186" s="6"/>
      <c r="G186" s="6"/>
      <c r="H186" s="6" t="str">
        <f aca="false">IF(G186&lt;&gt;"","Takroriy",IF(E186=0,"Yetishmaydi",IF(F186="ha","Qisman to‘ldirilgan","Mavjud, lekin tekshirilmagan")))</f>
        <v>Mavjud, lekin tekshirilmagan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4</v>
      </c>
      <c r="F187" s="6"/>
      <c r="G187" s="6"/>
      <c r="H187" s="6" t="str">
        <f aca="false">IF(G187&lt;&gt;"","Takroriy",IF(E187=0,"Yetishmaydi",IF(F187="ha","Qisman to‘ldirilgan","Mavjud, lekin tekshirilmagan")))</f>
        <v>Mavjud, lekin tekshirilmagan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4</v>
      </c>
      <c r="F189" s="6"/>
      <c r="G189" s="6"/>
      <c r="H189" s="6" t="str">
        <f aca="false">IF(G189&lt;&gt;"","Takroriy",IF(E189=0,"Yetishmaydi",IF(F189="ha","Qisman to‘ldirilgan","Mavjud, lekin tekshirilmagan")))</f>
        <v>Mavjud, lekin tekshirilmagan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3</v>
      </c>
      <c r="F191" s="6"/>
      <c r="G191" s="6"/>
      <c r="H191" s="6" t="str">
        <f aca="false">IF(G191&lt;&gt;"","Takroriy",IF(E191=0,"Yetishmaydi",IF(F191="ha","Qisman to‘ldirilgan","Mavjud, lekin tekshirilmagan")))</f>
        <v>Mavjud, lekin tekshirilmagan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3</v>
      </c>
      <c r="F193" s="6"/>
      <c r="G193" s="6"/>
      <c r="H193" s="6" t="str">
        <f aca="false">IF(G193&lt;&gt;"","Takroriy",IF(E193=0,"Yetishmaydi",IF(F193="ha","Qisman to‘ldirilgan","Mavjud, lekin tekshirilmagan")))</f>
        <v>Mavjud, lekin tekshirilmagan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3</v>
      </c>
      <c r="F194" s="6"/>
      <c r="G194" s="6"/>
      <c r="H194" s="6" t="str">
        <f aca="false">IF(G194&lt;&gt;"","Takroriy",IF(E194=0,"Yetishmaydi",IF(F194="ha","Qisman to‘ldirilgan","Mavjud, lekin tekshirilmagan")))</f>
        <v>Mavjud, lekin tekshirilmagan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2</v>
      </c>
      <c r="F195" s="6"/>
      <c r="G195" s="6"/>
      <c r="H195" s="6" t="str">
        <f aca="false">IF(G195&lt;&gt;"","Takroriy",IF(E195=0,"Yetishmaydi",IF(F195="ha","Qisman to‘ldirilgan","Mavjud, lekin tekshirilmagan")))</f>
        <v>Mavjud, lekin tekshirilmagan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2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2</v>
      </c>
      <c r="F199" s="6"/>
      <c r="G199" s="6"/>
      <c r="H199" s="6" t="str">
        <f aca="false">IF(G199&lt;&gt;"","Takroriy",IF(E199=0,"Yetishmaydi",IF(F199="ha","Qisman to‘ldirilgan","Mavjud, lekin tekshirilmagan")))</f>
        <v>Mavjud, lekin tekshirilmagan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2</v>
      </c>
      <c r="F200" s="6" t="s">
        <v>55</v>
      </c>
      <c r="G200" s="6"/>
      <c r="H200" s="6" t="str">
        <f aca="false">IF(G200&lt;&gt;"","Takroriy",IF(E200=0,"Yetishmaydi",IF(F200="ha","Qisman to‘ldirilgan","Mavjud, lekin tekshirilmagan")))</f>
        <v>Qisman to‘ldirilgan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3</v>
      </c>
      <c r="F201" s="6"/>
      <c r="G201" s="6"/>
      <c r="H201" s="6" t="str">
        <f aca="false">IF(G201&lt;&gt;"","Takroriy",IF(E201=0,"Yetishmaydi",IF(F201="ha","Qisman to‘ldirilgan","Mavjud, lekin tekshirilmagan")))</f>
        <v>Mavjud, lekin tekshirilmagan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1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1</v>
      </c>
      <c r="F220" s="6"/>
      <c r="G220" s="6"/>
      <c r="H220" s="6" t="str">
        <f aca="false">IF(G220&lt;&gt;"","Takroriy",IF(E220=0,"Yetishmaydi",IF(F220="ha","Qisman to‘ldirilgan","Mavjud, lekin tekshirilmagan")))</f>
        <v>Mavjud, lekin tekshirilmagan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1</v>
      </c>
      <c r="F248" s="6"/>
      <c r="G248" s="6"/>
      <c r="H248" s="6" t="str">
        <f aca="false">IF(G248&lt;&gt;"","Takroriy",IF(E248=0,"Yetishmaydi",IF(F248="ha","Qisman to‘ldirilgan","Mavjud, lekin tekshirilmagan")))</f>
        <v>Mavjud, lekin tekshirilmagan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204</v>
      </c>
      <c r="B21" s="6" t="s">
        <v>205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208</v>
      </c>
      <c r="B22" s="6" t="s">
        <v>209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210</v>
      </c>
      <c r="B23" s="6" t="s">
        <v>211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212</v>
      </c>
      <c r="B24" s="6" t="s">
        <v>214</v>
      </c>
      <c r="C24" s="6" t="n">
        <v>2</v>
      </c>
      <c r="D24" s="7" t="s">
        <v>617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217</v>
      </c>
      <c r="B25" s="6" t="s">
        <v>218</v>
      </c>
      <c r="C25" s="6" t="n">
        <v>0</v>
      </c>
      <c r="D25" s="8" t="s">
        <v>623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219</v>
      </c>
      <c r="B26" s="6" t="s">
        <v>220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221</v>
      </c>
      <c r="B27" s="6" t="s">
        <v>222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228</v>
      </c>
      <c r="B28" s="6" t="s">
        <v>229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237</v>
      </c>
      <c r="B29" s="6" t="s">
        <v>238</v>
      </c>
      <c r="C29" s="6" t="n">
        <v>3</v>
      </c>
      <c r="D29" s="7" t="s">
        <v>617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241</v>
      </c>
      <c r="B30" s="6" t="s">
        <v>242</v>
      </c>
      <c r="C30" s="6" t="n">
        <v>0</v>
      </c>
      <c r="D30" s="8" t="s">
        <v>623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249</v>
      </c>
      <c r="B31" s="6" t="s">
        <v>250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258</v>
      </c>
      <c r="B32" s="6" t="s">
        <v>259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262</v>
      </c>
      <c r="B33" s="6" t="s">
        <v>263</v>
      </c>
      <c r="C33" s="6" t="n">
        <v>0</v>
      </c>
      <c r="D33" s="8" t="s">
        <v>623</v>
      </c>
      <c r="E33" s="6" t="s">
        <v>648</v>
      </c>
      <c r="F33" s="6" t="s">
        <v>2</v>
      </c>
    </row>
    <row r="34" customFormat="false" ht="15" hidden="false" customHeight="false" outlineLevel="0" collapsed="false">
      <c r="A34" s="6" t="s">
        <v>264</v>
      </c>
      <c r="B34" s="6" t="s">
        <v>265</v>
      </c>
      <c r="C34" s="6" t="n">
        <v>0</v>
      </c>
      <c r="D34" s="8" t="s">
        <v>623</v>
      </c>
      <c r="E34" s="6" t="s">
        <v>649</v>
      </c>
      <c r="F34" s="6" t="s">
        <v>2</v>
      </c>
    </row>
    <row r="35" customFormat="false" ht="23.85" hidden="false" customHeight="false" outlineLevel="0" collapsed="false">
      <c r="A35" s="6" t="s">
        <v>268</v>
      </c>
      <c r="B35" s="6" t="s">
        <v>269</v>
      </c>
      <c r="C35" s="6" t="n">
        <v>0</v>
      </c>
      <c r="D35" s="8" t="s">
        <v>623</v>
      </c>
      <c r="E35" s="6" t="s">
        <v>650</v>
      </c>
      <c r="F35" s="6" t="s">
        <v>2</v>
      </c>
    </row>
    <row r="36" customFormat="false" ht="15" hidden="false" customHeight="false" outlineLevel="0" collapsed="false">
      <c r="A36" s="6" t="s">
        <v>270</v>
      </c>
      <c r="B36" s="6" t="s">
        <v>273</v>
      </c>
      <c r="C36" s="6" t="n">
        <v>1</v>
      </c>
      <c r="D36" s="6" t="s">
        <v>651</v>
      </c>
      <c r="E36" s="6" t="s">
        <v>652</v>
      </c>
      <c r="F36" s="6" t="s">
        <v>2</v>
      </c>
    </row>
    <row r="37" customFormat="false" ht="15" hidden="false" customHeight="false" outlineLevel="0" collapsed="false">
      <c r="A37" s="6" t="s">
        <v>274</v>
      </c>
      <c r="B37" s="6" t="s">
        <v>275</v>
      </c>
      <c r="C37" s="6" t="n">
        <v>3</v>
      </c>
      <c r="D37" s="6" t="s">
        <v>651</v>
      </c>
      <c r="E37" s="6" t="s">
        <v>653</v>
      </c>
      <c r="F37" s="6" t="s">
        <v>2</v>
      </c>
    </row>
    <row r="38" customFormat="false" ht="15" hidden="false" customHeight="false" outlineLevel="0" collapsed="false">
      <c r="A38" s="6" t="s">
        <v>276</v>
      </c>
      <c r="B38" s="6" t="s">
        <v>277</v>
      </c>
      <c r="C38" s="6" t="n">
        <v>2</v>
      </c>
      <c r="D38" s="6" t="s">
        <v>651</v>
      </c>
      <c r="E38" s="6" t="s">
        <v>654</v>
      </c>
      <c r="F38" s="6" t="s">
        <v>2</v>
      </c>
    </row>
    <row r="39" customFormat="false" ht="15" hidden="false" customHeight="false" outlineLevel="0" collapsed="false">
      <c r="A39" s="6" t="s">
        <v>278</v>
      </c>
      <c r="B39" s="6" t="s">
        <v>279</v>
      </c>
      <c r="C39" s="6" t="n">
        <v>4</v>
      </c>
      <c r="D39" s="6" t="s">
        <v>651</v>
      </c>
      <c r="E39" s="6" t="s">
        <v>655</v>
      </c>
      <c r="F39" s="6" t="s">
        <v>2</v>
      </c>
    </row>
    <row r="40" customFormat="false" ht="15" hidden="false" customHeight="false" outlineLevel="0" collapsed="false">
      <c r="A40" s="6" t="s">
        <v>280</v>
      </c>
      <c r="B40" s="6" t="s">
        <v>281</v>
      </c>
      <c r="C40" s="6" t="n">
        <v>4</v>
      </c>
      <c r="D40" s="6" t="s">
        <v>651</v>
      </c>
      <c r="E40" s="6" t="s">
        <v>656</v>
      </c>
      <c r="F40" s="6" t="s">
        <v>2</v>
      </c>
    </row>
    <row r="41" customFormat="false" ht="15" hidden="false" customHeight="false" outlineLevel="0" collapsed="false">
      <c r="A41" s="6" t="s">
        <v>282</v>
      </c>
      <c r="B41" s="6" t="s">
        <v>283</v>
      </c>
      <c r="C41" s="6" t="n">
        <v>1</v>
      </c>
      <c r="D41" s="6" t="s">
        <v>651</v>
      </c>
      <c r="E41" s="6" t="s">
        <v>657</v>
      </c>
      <c r="F41" s="6" t="s">
        <v>2</v>
      </c>
    </row>
    <row r="42" customFormat="false" ht="23.85" hidden="false" customHeight="false" outlineLevel="0" collapsed="false">
      <c r="A42" s="6" t="s">
        <v>284</v>
      </c>
      <c r="B42" s="6" t="s">
        <v>285</v>
      </c>
      <c r="C42" s="6" t="n">
        <v>4</v>
      </c>
      <c r="D42" s="6" t="s">
        <v>651</v>
      </c>
      <c r="E42" s="6" t="s">
        <v>658</v>
      </c>
      <c r="F42" s="6" t="s">
        <v>2</v>
      </c>
    </row>
    <row r="43" customFormat="false" ht="15" hidden="false" customHeight="false" outlineLevel="0" collapsed="false">
      <c r="A43" s="6" t="s">
        <v>286</v>
      </c>
      <c r="B43" s="6" t="s">
        <v>287</v>
      </c>
      <c r="C43" s="6" t="n">
        <v>1</v>
      </c>
      <c r="D43" s="6" t="s">
        <v>651</v>
      </c>
      <c r="E43" s="6" t="s">
        <v>659</v>
      </c>
      <c r="F43" s="6" t="s">
        <v>2</v>
      </c>
    </row>
    <row r="44" customFormat="false" ht="15" hidden="false" customHeight="false" outlineLevel="0" collapsed="false">
      <c r="A44" s="6" t="s">
        <v>288</v>
      </c>
      <c r="B44" s="6" t="s">
        <v>289</v>
      </c>
      <c r="C44" s="6" t="n">
        <v>1</v>
      </c>
      <c r="D44" s="6" t="s">
        <v>651</v>
      </c>
      <c r="E44" s="6" t="s">
        <v>660</v>
      </c>
      <c r="F44" s="6" t="s">
        <v>2</v>
      </c>
    </row>
    <row r="45" customFormat="false" ht="15" hidden="false" customHeight="false" outlineLevel="0" collapsed="false">
      <c r="A45" s="6" t="s">
        <v>290</v>
      </c>
      <c r="B45" s="6" t="s">
        <v>291</v>
      </c>
      <c r="C45" s="6" t="n">
        <v>2</v>
      </c>
      <c r="D45" s="6" t="s">
        <v>651</v>
      </c>
      <c r="E45" s="6" t="s">
        <v>661</v>
      </c>
      <c r="F45" s="6" t="s">
        <v>2</v>
      </c>
    </row>
    <row r="46" customFormat="false" ht="15" hidden="false" customHeight="false" outlineLevel="0" collapsed="false">
      <c r="A46" s="6" t="s">
        <v>292</v>
      </c>
      <c r="B46" s="6" t="s">
        <v>294</v>
      </c>
      <c r="C46" s="6" t="n">
        <v>2</v>
      </c>
      <c r="D46" s="6" t="s">
        <v>651</v>
      </c>
      <c r="E46" s="6" t="s">
        <v>662</v>
      </c>
      <c r="F46" s="6" t="s">
        <v>2</v>
      </c>
    </row>
    <row r="47" customFormat="false" ht="15" hidden="false" customHeight="false" outlineLevel="0" collapsed="false">
      <c r="A47" s="6" t="s">
        <v>295</v>
      </c>
      <c r="B47" s="6" t="s">
        <v>296</v>
      </c>
      <c r="C47" s="6" t="n">
        <v>1</v>
      </c>
      <c r="D47" s="6" t="s">
        <v>651</v>
      </c>
      <c r="E47" s="6" t="s">
        <v>663</v>
      </c>
      <c r="F47" s="6" t="s">
        <v>2</v>
      </c>
    </row>
    <row r="48" customFormat="false" ht="15" hidden="false" customHeight="false" outlineLevel="0" collapsed="false">
      <c r="A48" s="6" t="s">
        <v>297</v>
      </c>
      <c r="B48" s="6" t="s">
        <v>298</v>
      </c>
      <c r="C48" s="6" t="n">
        <v>4</v>
      </c>
      <c r="D48" s="6" t="s">
        <v>651</v>
      </c>
      <c r="E48" s="6" t="s">
        <v>664</v>
      </c>
      <c r="F48" s="6" t="s">
        <v>2</v>
      </c>
    </row>
    <row r="49" customFormat="false" ht="15" hidden="false" customHeight="false" outlineLevel="0" collapsed="false">
      <c r="A49" s="6" t="s">
        <v>299</v>
      </c>
      <c r="B49" s="6" t="s">
        <v>300</v>
      </c>
      <c r="C49" s="6" t="n">
        <v>2</v>
      </c>
      <c r="D49" s="6" t="s">
        <v>651</v>
      </c>
      <c r="E49" s="6" t="s">
        <v>665</v>
      </c>
      <c r="F49" s="6" t="s">
        <v>2</v>
      </c>
    </row>
    <row r="50" customFormat="false" ht="23.85" hidden="false" customHeight="false" outlineLevel="0" collapsed="false">
      <c r="A50" s="6" t="s">
        <v>301</v>
      </c>
      <c r="B50" s="6" t="s">
        <v>302</v>
      </c>
      <c r="C50" s="6" t="n">
        <v>2</v>
      </c>
      <c r="D50" s="7" t="s">
        <v>617</v>
      </c>
      <c r="E50" s="6" t="s">
        <v>666</v>
      </c>
      <c r="F50" s="6" t="s">
        <v>2</v>
      </c>
    </row>
    <row r="51" customFormat="false" ht="15" hidden="false" customHeight="false" outlineLevel="0" collapsed="false">
      <c r="A51" s="6" t="s">
        <v>303</v>
      </c>
      <c r="B51" s="6" t="s">
        <v>304</v>
      </c>
      <c r="C51" s="6" t="n">
        <v>2</v>
      </c>
      <c r="D51" s="6" t="s">
        <v>651</v>
      </c>
      <c r="E51" s="6" t="s">
        <v>667</v>
      </c>
      <c r="F51" s="6" t="s">
        <v>2</v>
      </c>
    </row>
    <row r="52" customFormat="false" ht="15" hidden="false" customHeight="false" outlineLevel="0" collapsed="false">
      <c r="A52" s="6" t="s">
        <v>305</v>
      </c>
      <c r="B52" s="6" t="s">
        <v>306</v>
      </c>
      <c r="C52" s="6" t="n">
        <v>3</v>
      </c>
      <c r="D52" s="6" t="s">
        <v>651</v>
      </c>
      <c r="E52" s="6" t="s">
        <v>668</v>
      </c>
      <c r="F52" s="6" t="s">
        <v>2</v>
      </c>
    </row>
    <row r="53" customFormat="false" ht="15" hidden="false" customHeight="false" outlineLevel="0" collapsed="false">
      <c r="A53" s="6" t="s">
        <v>307</v>
      </c>
      <c r="B53" s="6" t="s">
        <v>308</v>
      </c>
      <c r="C53" s="6" t="n">
        <v>2</v>
      </c>
      <c r="D53" s="6" t="s">
        <v>651</v>
      </c>
      <c r="E53" s="6" t="s">
        <v>669</v>
      </c>
      <c r="F53" s="6" t="s">
        <v>2</v>
      </c>
    </row>
    <row r="54" customFormat="false" ht="15" hidden="false" customHeight="false" outlineLevel="0" collapsed="false">
      <c r="A54" s="6" t="s">
        <v>309</v>
      </c>
      <c r="B54" s="6" t="s">
        <v>310</v>
      </c>
      <c r="C54" s="6" t="n">
        <v>2</v>
      </c>
      <c r="D54" s="6" t="s">
        <v>651</v>
      </c>
      <c r="E54" s="6" t="s">
        <v>670</v>
      </c>
      <c r="F54" s="6" t="s">
        <v>2</v>
      </c>
    </row>
    <row r="55" customFormat="false" ht="15" hidden="false" customHeight="false" outlineLevel="0" collapsed="false">
      <c r="A55" s="6" t="s">
        <v>311</v>
      </c>
      <c r="B55" s="6" t="s">
        <v>314</v>
      </c>
      <c r="C55" s="6" t="n">
        <v>3</v>
      </c>
      <c r="D55" s="6" t="s">
        <v>651</v>
      </c>
      <c r="E55" s="6" t="s">
        <v>671</v>
      </c>
      <c r="F55" s="6" t="s">
        <v>2</v>
      </c>
    </row>
    <row r="56" customFormat="false" ht="15" hidden="false" customHeight="false" outlineLevel="0" collapsed="false">
      <c r="A56" s="6" t="s">
        <v>315</v>
      </c>
      <c r="B56" s="6" t="s">
        <v>316</v>
      </c>
      <c r="C56" s="6" t="n">
        <v>3</v>
      </c>
      <c r="D56" s="6" t="s">
        <v>651</v>
      </c>
      <c r="E56" s="6" t="s">
        <v>672</v>
      </c>
      <c r="F56" s="6" t="s">
        <v>2</v>
      </c>
    </row>
    <row r="57" customFormat="false" ht="15" hidden="false" customHeight="false" outlineLevel="0" collapsed="false">
      <c r="A57" s="6" t="s">
        <v>317</v>
      </c>
      <c r="B57" s="6" t="s">
        <v>318</v>
      </c>
      <c r="C57" s="6" t="n">
        <v>2</v>
      </c>
      <c r="D57" s="6" t="s">
        <v>651</v>
      </c>
      <c r="E57" s="6" t="s">
        <v>673</v>
      </c>
      <c r="F57" s="6" t="s">
        <v>2</v>
      </c>
    </row>
    <row r="58" customFormat="false" ht="15" hidden="false" customHeight="false" outlineLevel="0" collapsed="false">
      <c r="A58" s="6" t="s">
        <v>319</v>
      </c>
      <c r="B58" s="6" t="s">
        <v>320</v>
      </c>
      <c r="C58" s="6" t="n">
        <v>1</v>
      </c>
      <c r="D58" s="6" t="s">
        <v>651</v>
      </c>
      <c r="E58" s="6" t="s">
        <v>674</v>
      </c>
      <c r="F58" s="6" t="s">
        <v>2</v>
      </c>
    </row>
    <row r="59" customFormat="false" ht="15" hidden="false" customHeight="false" outlineLevel="0" collapsed="false">
      <c r="A59" s="6" t="s">
        <v>321</v>
      </c>
      <c r="B59" s="6" t="s">
        <v>322</v>
      </c>
      <c r="C59" s="6" t="n">
        <v>3</v>
      </c>
      <c r="D59" s="6" t="s">
        <v>651</v>
      </c>
      <c r="E59" s="6" t="s">
        <v>675</v>
      </c>
      <c r="F59" s="6" t="s">
        <v>2</v>
      </c>
    </row>
    <row r="60" customFormat="false" ht="23.85" hidden="false" customHeight="false" outlineLevel="0" collapsed="false">
      <c r="A60" s="6" t="s">
        <v>323</v>
      </c>
      <c r="B60" s="6" t="s">
        <v>324</v>
      </c>
      <c r="C60" s="6" t="n">
        <v>2</v>
      </c>
      <c r="D60" s="6" t="s">
        <v>651</v>
      </c>
      <c r="E60" s="6" t="s">
        <v>676</v>
      </c>
      <c r="F60" s="6" t="s">
        <v>2</v>
      </c>
    </row>
    <row r="61" customFormat="false" ht="15" hidden="false" customHeight="false" outlineLevel="0" collapsed="false">
      <c r="A61" s="6" t="s">
        <v>326</v>
      </c>
      <c r="B61" s="6" t="s">
        <v>327</v>
      </c>
      <c r="C61" s="6" t="n">
        <v>2</v>
      </c>
      <c r="D61" s="6" t="s">
        <v>651</v>
      </c>
      <c r="E61" s="6" t="s">
        <v>677</v>
      </c>
      <c r="F61" s="6" t="s">
        <v>2</v>
      </c>
    </row>
    <row r="62" customFormat="false" ht="15" hidden="false" customHeight="false" outlineLevel="0" collapsed="false">
      <c r="A62" s="6" t="s">
        <v>328</v>
      </c>
      <c r="B62" s="6" t="s">
        <v>330</v>
      </c>
      <c r="C62" s="6" t="n">
        <v>4</v>
      </c>
      <c r="D62" s="6" t="s">
        <v>651</v>
      </c>
      <c r="E62" s="6" t="s">
        <v>678</v>
      </c>
      <c r="F62" s="6" t="s">
        <v>2</v>
      </c>
    </row>
    <row r="63" customFormat="false" ht="15" hidden="false" customHeight="false" outlineLevel="0" collapsed="false">
      <c r="A63" s="6" t="s">
        <v>331</v>
      </c>
      <c r="B63" s="6" t="s">
        <v>332</v>
      </c>
      <c r="C63" s="6" t="n">
        <v>3</v>
      </c>
      <c r="D63" s="6" t="s">
        <v>651</v>
      </c>
      <c r="E63" s="6" t="s">
        <v>679</v>
      </c>
      <c r="F63" s="6" t="s">
        <v>2</v>
      </c>
    </row>
    <row r="64" customFormat="false" ht="23.85" hidden="false" customHeight="false" outlineLevel="0" collapsed="false">
      <c r="A64" s="6" t="s">
        <v>333</v>
      </c>
      <c r="B64" s="6" t="s">
        <v>334</v>
      </c>
      <c r="C64" s="6" t="n">
        <v>3</v>
      </c>
      <c r="D64" s="6" t="s">
        <v>651</v>
      </c>
      <c r="E64" s="6" t="s">
        <v>680</v>
      </c>
      <c r="F64" s="6" t="s">
        <v>2</v>
      </c>
    </row>
    <row r="65" customFormat="false" ht="15" hidden="false" customHeight="false" outlineLevel="0" collapsed="false">
      <c r="A65" s="6" t="s">
        <v>335</v>
      </c>
      <c r="B65" s="6" t="s">
        <v>336</v>
      </c>
      <c r="C65" s="6" t="n">
        <v>3</v>
      </c>
      <c r="D65" s="6" t="s">
        <v>651</v>
      </c>
      <c r="E65" s="6" t="s">
        <v>681</v>
      </c>
      <c r="F65" s="6" t="s">
        <v>2</v>
      </c>
    </row>
    <row r="66" customFormat="false" ht="15" hidden="false" customHeight="false" outlineLevel="0" collapsed="false">
      <c r="A66" s="6" t="s">
        <v>337</v>
      </c>
      <c r="B66" s="6" t="s">
        <v>338</v>
      </c>
      <c r="C66" s="6" t="n">
        <v>0</v>
      </c>
      <c r="D66" s="8" t="s">
        <v>623</v>
      </c>
      <c r="E66" s="6" t="s">
        <v>682</v>
      </c>
      <c r="F66" s="6" t="s">
        <v>2</v>
      </c>
    </row>
    <row r="67" customFormat="false" ht="15" hidden="false" customHeight="false" outlineLevel="0" collapsed="false">
      <c r="A67" s="6" t="s">
        <v>339</v>
      </c>
      <c r="B67" s="6" t="s">
        <v>341</v>
      </c>
      <c r="C67" s="6" t="n">
        <v>2</v>
      </c>
      <c r="D67" s="6" t="s">
        <v>651</v>
      </c>
      <c r="E67" s="6" t="s">
        <v>683</v>
      </c>
      <c r="F67" s="6" t="s">
        <v>2</v>
      </c>
    </row>
    <row r="68" customFormat="false" ht="15" hidden="false" customHeight="false" outlineLevel="0" collapsed="false">
      <c r="A68" s="6" t="s">
        <v>342</v>
      </c>
      <c r="B68" s="6" t="s">
        <v>343</v>
      </c>
      <c r="C68" s="6" t="n">
        <v>2</v>
      </c>
      <c r="D68" s="6" t="s">
        <v>651</v>
      </c>
      <c r="E68" s="6" t="s">
        <v>684</v>
      </c>
      <c r="F68" s="6" t="s">
        <v>2</v>
      </c>
    </row>
    <row r="69" customFormat="false" ht="15" hidden="false" customHeight="false" outlineLevel="0" collapsed="false">
      <c r="A69" s="6" t="s">
        <v>344</v>
      </c>
      <c r="B69" s="6" t="s">
        <v>345</v>
      </c>
      <c r="C69" s="6" t="n">
        <v>2</v>
      </c>
      <c r="D69" s="6" t="s">
        <v>651</v>
      </c>
      <c r="E69" s="6" t="s">
        <v>685</v>
      </c>
      <c r="F69" s="6" t="s">
        <v>2</v>
      </c>
    </row>
    <row r="70" customFormat="false" ht="15" hidden="false" customHeight="false" outlineLevel="0" collapsed="false">
      <c r="A70" s="6" t="s">
        <v>346</v>
      </c>
      <c r="B70" s="6" t="s">
        <v>347</v>
      </c>
      <c r="C70" s="6" t="n">
        <v>4</v>
      </c>
      <c r="D70" s="6" t="s">
        <v>651</v>
      </c>
      <c r="E70" s="6" t="s">
        <v>686</v>
      </c>
      <c r="F70" s="6" t="s">
        <v>2</v>
      </c>
    </row>
    <row r="71" customFormat="false" ht="15" hidden="false" customHeight="false" outlineLevel="0" collapsed="false">
      <c r="A71" s="6" t="s">
        <v>348</v>
      </c>
      <c r="B71" s="6" t="s">
        <v>349</v>
      </c>
      <c r="C71" s="6" t="n">
        <v>2</v>
      </c>
      <c r="D71" s="6" t="s">
        <v>651</v>
      </c>
      <c r="E71" s="6" t="s">
        <v>687</v>
      </c>
      <c r="F71" s="6" t="s">
        <v>2</v>
      </c>
    </row>
    <row r="72" customFormat="false" ht="15" hidden="false" customHeight="false" outlineLevel="0" collapsed="false">
      <c r="A72" s="6" t="s">
        <v>350</v>
      </c>
      <c r="B72" s="6" t="s">
        <v>351</v>
      </c>
      <c r="C72" s="6" t="n">
        <v>2</v>
      </c>
      <c r="D72" s="6" t="s">
        <v>651</v>
      </c>
      <c r="E72" s="6" t="s">
        <v>688</v>
      </c>
      <c r="F72" s="6" t="s">
        <v>2</v>
      </c>
    </row>
    <row r="73" customFormat="false" ht="15" hidden="false" customHeight="false" outlineLevel="0" collapsed="false">
      <c r="A73" s="6" t="s">
        <v>352</v>
      </c>
      <c r="B73" s="6" t="s">
        <v>353</v>
      </c>
      <c r="C73" s="6" t="n">
        <v>0</v>
      </c>
      <c r="D73" s="8" t="s">
        <v>623</v>
      </c>
      <c r="E73" s="6" t="s">
        <v>689</v>
      </c>
      <c r="F73" s="6" t="s">
        <v>2</v>
      </c>
    </row>
    <row r="74" customFormat="false" ht="15" hidden="false" customHeight="false" outlineLevel="0" collapsed="false">
      <c r="A74" s="6" t="s">
        <v>354</v>
      </c>
      <c r="B74" s="6" t="s">
        <v>355</v>
      </c>
      <c r="C74" s="6" t="n">
        <v>3</v>
      </c>
      <c r="D74" s="6" t="s">
        <v>651</v>
      </c>
      <c r="E74" s="6" t="s">
        <v>690</v>
      </c>
      <c r="F74" s="6" t="s">
        <v>2</v>
      </c>
    </row>
    <row r="75" customFormat="false" ht="15" hidden="false" customHeight="false" outlineLevel="0" collapsed="false">
      <c r="A75" s="6" t="s">
        <v>357</v>
      </c>
      <c r="B75" s="6" t="s">
        <v>358</v>
      </c>
      <c r="C75" s="6" t="n">
        <v>2</v>
      </c>
      <c r="D75" s="6" t="s">
        <v>651</v>
      </c>
      <c r="E75" s="6" t="s">
        <v>691</v>
      </c>
      <c r="F75" s="6" t="s">
        <v>2</v>
      </c>
    </row>
    <row r="76" customFormat="false" ht="15" hidden="false" customHeight="false" outlineLevel="0" collapsed="false">
      <c r="A76" s="6" t="s">
        <v>359</v>
      </c>
      <c r="B76" s="6" t="s">
        <v>360</v>
      </c>
      <c r="C76" s="6" t="n">
        <v>1</v>
      </c>
      <c r="D76" s="6" t="s">
        <v>651</v>
      </c>
      <c r="E76" s="6" t="s">
        <v>692</v>
      </c>
      <c r="F76" s="6" t="s">
        <v>2</v>
      </c>
    </row>
    <row r="77" customFormat="false" ht="15" hidden="false" customHeight="false" outlineLevel="0" collapsed="false">
      <c r="A77" s="6" t="s">
        <v>361</v>
      </c>
      <c r="B77" s="6" t="s">
        <v>362</v>
      </c>
      <c r="C77" s="6" t="n">
        <v>3</v>
      </c>
      <c r="D77" s="6" t="s">
        <v>651</v>
      </c>
      <c r="E77" s="6" t="s">
        <v>693</v>
      </c>
      <c r="F77" s="6" t="s">
        <v>2</v>
      </c>
    </row>
    <row r="78" customFormat="false" ht="15" hidden="false" customHeight="false" outlineLevel="0" collapsed="false">
      <c r="A78" s="6" t="s">
        <v>363</v>
      </c>
      <c r="B78" s="6" t="s">
        <v>364</v>
      </c>
      <c r="C78" s="6" t="n">
        <v>1</v>
      </c>
      <c r="D78" s="6" t="s">
        <v>651</v>
      </c>
      <c r="E78" s="6" t="s">
        <v>694</v>
      </c>
      <c r="F78" s="6" t="s">
        <v>2</v>
      </c>
    </row>
    <row r="79" customFormat="false" ht="15" hidden="false" customHeight="false" outlineLevel="0" collapsed="false">
      <c r="A79" s="6" t="s">
        <v>365</v>
      </c>
      <c r="B79" s="6" t="s">
        <v>367</v>
      </c>
      <c r="C79" s="6" t="n">
        <v>3</v>
      </c>
      <c r="D79" s="6" t="s">
        <v>651</v>
      </c>
      <c r="E79" s="6" t="s">
        <v>695</v>
      </c>
      <c r="F79" s="6" t="s">
        <v>2</v>
      </c>
    </row>
    <row r="80" customFormat="false" ht="15" hidden="false" customHeight="false" outlineLevel="0" collapsed="false">
      <c r="A80" s="6" t="s">
        <v>368</v>
      </c>
      <c r="B80" s="6" t="s">
        <v>369</v>
      </c>
      <c r="C80" s="6" t="n">
        <v>3</v>
      </c>
      <c r="D80" s="6" t="s">
        <v>651</v>
      </c>
      <c r="E80" s="6" t="s">
        <v>696</v>
      </c>
      <c r="F80" s="6" t="s">
        <v>2</v>
      </c>
    </row>
    <row r="81" customFormat="false" ht="15" hidden="false" customHeight="false" outlineLevel="0" collapsed="false">
      <c r="A81" s="6" t="s">
        <v>370</v>
      </c>
      <c r="B81" s="6" t="s">
        <v>371</v>
      </c>
      <c r="C81" s="6" t="n">
        <v>3</v>
      </c>
      <c r="D81" s="6" t="s">
        <v>651</v>
      </c>
      <c r="E81" s="6" t="s">
        <v>697</v>
      </c>
      <c r="F81" s="6" t="s">
        <v>2</v>
      </c>
    </row>
    <row r="82" customFormat="false" ht="15" hidden="false" customHeight="false" outlineLevel="0" collapsed="false">
      <c r="A82" s="6" t="s">
        <v>372</v>
      </c>
      <c r="B82" s="6" t="s">
        <v>373</v>
      </c>
      <c r="C82" s="6" t="n">
        <v>2</v>
      </c>
      <c r="D82" s="6" t="s">
        <v>651</v>
      </c>
      <c r="E82" s="6" t="s">
        <v>698</v>
      </c>
      <c r="F82" s="6" t="s">
        <v>2</v>
      </c>
    </row>
    <row r="83" customFormat="false" ht="15" hidden="false" customHeight="false" outlineLevel="0" collapsed="false">
      <c r="A83" s="6" t="s">
        <v>374</v>
      </c>
      <c r="B83" s="6" t="s">
        <v>375</v>
      </c>
      <c r="C83" s="6" t="n">
        <v>4</v>
      </c>
      <c r="D83" s="6" t="s">
        <v>651</v>
      </c>
      <c r="E83" s="6" t="s">
        <v>699</v>
      </c>
      <c r="F83" s="6" t="s">
        <v>2</v>
      </c>
    </row>
    <row r="84" customFormat="false" ht="15" hidden="false" customHeight="false" outlineLevel="0" collapsed="false">
      <c r="A84" s="6" t="s">
        <v>376</v>
      </c>
      <c r="B84" s="6" t="s">
        <v>377</v>
      </c>
      <c r="C84" s="6" t="n">
        <v>4</v>
      </c>
      <c r="D84" s="6" t="s">
        <v>651</v>
      </c>
      <c r="E84" s="6" t="s">
        <v>700</v>
      </c>
      <c r="F84" s="6" t="s">
        <v>2</v>
      </c>
    </row>
    <row r="85" customFormat="false" ht="15" hidden="false" customHeight="false" outlineLevel="0" collapsed="false">
      <c r="A85" s="6" t="s">
        <v>378</v>
      </c>
      <c r="B85" s="6" t="s">
        <v>379</v>
      </c>
      <c r="C85" s="6" t="n">
        <v>3</v>
      </c>
      <c r="D85" s="6" t="s">
        <v>651</v>
      </c>
      <c r="E85" s="6" t="s">
        <v>701</v>
      </c>
      <c r="F85" s="6" t="s">
        <v>2</v>
      </c>
    </row>
    <row r="86" customFormat="false" ht="15" hidden="false" customHeight="false" outlineLevel="0" collapsed="false">
      <c r="A86" s="6" t="s">
        <v>380</v>
      </c>
      <c r="B86" s="6" t="s">
        <v>381</v>
      </c>
      <c r="C86" s="6" t="n">
        <v>2</v>
      </c>
      <c r="D86" s="6" t="s">
        <v>651</v>
      </c>
      <c r="E86" s="6" t="s">
        <v>702</v>
      </c>
      <c r="F86" s="6" t="s">
        <v>2</v>
      </c>
    </row>
    <row r="87" customFormat="false" ht="15" hidden="false" customHeight="false" outlineLevel="0" collapsed="false">
      <c r="A87" s="6" t="s">
        <v>382</v>
      </c>
      <c r="B87" s="6" t="s">
        <v>383</v>
      </c>
      <c r="C87" s="6" t="n">
        <v>1</v>
      </c>
      <c r="D87" s="6" t="s">
        <v>651</v>
      </c>
      <c r="E87" s="6" t="s">
        <v>703</v>
      </c>
      <c r="F87" s="6" t="s">
        <v>2</v>
      </c>
    </row>
    <row r="88" customFormat="false" ht="15" hidden="false" customHeight="false" outlineLevel="0" collapsed="false">
      <c r="A88" s="6" t="s">
        <v>384</v>
      </c>
      <c r="B88" s="6" t="s">
        <v>387</v>
      </c>
      <c r="C88" s="6" t="n">
        <v>3</v>
      </c>
      <c r="D88" s="6" t="s">
        <v>651</v>
      </c>
      <c r="E88" s="6" t="s">
        <v>704</v>
      </c>
      <c r="F88" s="6" t="s">
        <v>2</v>
      </c>
    </row>
    <row r="89" customFormat="false" ht="15" hidden="false" customHeight="false" outlineLevel="0" collapsed="false">
      <c r="A89" s="6" t="s">
        <v>388</v>
      </c>
      <c r="B89" s="6" t="s">
        <v>389</v>
      </c>
      <c r="C89" s="6" t="n">
        <v>4</v>
      </c>
      <c r="D89" s="6" t="s">
        <v>651</v>
      </c>
      <c r="E89" s="6" t="s">
        <v>705</v>
      </c>
      <c r="F89" s="6" t="s">
        <v>2</v>
      </c>
    </row>
    <row r="90" customFormat="false" ht="15" hidden="false" customHeight="false" outlineLevel="0" collapsed="false">
      <c r="A90" s="6" t="s">
        <v>390</v>
      </c>
      <c r="B90" s="6" t="s">
        <v>391</v>
      </c>
      <c r="C90" s="6" t="n">
        <v>1</v>
      </c>
      <c r="D90" s="6" t="s">
        <v>651</v>
      </c>
      <c r="E90" s="6" t="s">
        <v>706</v>
      </c>
      <c r="F90" s="6" t="s">
        <v>2</v>
      </c>
    </row>
    <row r="91" customFormat="false" ht="15" hidden="false" customHeight="false" outlineLevel="0" collapsed="false">
      <c r="A91" s="6" t="s">
        <v>392</v>
      </c>
      <c r="B91" s="6" t="s">
        <v>393</v>
      </c>
      <c r="C91" s="6" t="n">
        <v>1</v>
      </c>
      <c r="D91" s="6" t="s">
        <v>651</v>
      </c>
      <c r="E91" s="6" t="s">
        <v>707</v>
      </c>
      <c r="F91" s="6" t="s">
        <v>2</v>
      </c>
    </row>
    <row r="92" customFormat="false" ht="15" hidden="false" customHeight="false" outlineLevel="0" collapsed="false">
      <c r="A92" s="6" t="s">
        <v>394</v>
      </c>
      <c r="B92" s="6" t="s">
        <v>395</v>
      </c>
      <c r="C92" s="6" t="n">
        <v>3</v>
      </c>
      <c r="D92" s="6" t="s">
        <v>651</v>
      </c>
      <c r="E92" s="6" t="s">
        <v>708</v>
      </c>
      <c r="F92" s="6" t="s">
        <v>2</v>
      </c>
    </row>
    <row r="93" customFormat="false" ht="15" hidden="false" customHeight="false" outlineLevel="0" collapsed="false">
      <c r="A93" s="6" t="s">
        <v>396</v>
      </c>
      <c r="B93" s="6" t="s">
        <v>397</v>
      </c>
      <c r="C93" s="6" t="n">
        <v>1</v>
      </c>
      <c r="D93" s="6" t="s">
        <v>651</v>
      </c>
      <c r="E93" s="6" t="s">
        <v>709</v>
      </c>
      <c r="F93" s="6" t="s">
        <v>2</v>
      </c>
    </row>
    <row r="94" customFormat="false" ht="15" hidden="false" customHeight="false" outlineLevel="0" collapsed="false">
      <c r="A94" s="6" t="s">
        <v>398</v>
      </c>
      <c r="B94" s="6" t="s">
        <v>399</v>
      </c>
      <c r="C94" s="6" t="n">
        <v>2</v>
      </c>
      <c r="D94" s="6" t="s">
        <v>651</v>
      </c>
      <c r="E94" s="6" t="s">
        <v>710</v>
      </c>
      <c r="F94" s="6" t="s">
        <v>2</v>
      </c>
    </row>
    <row r="95" customFormat="false" ht="15" hidden="false" customHeight="false" outlineLevel="0" collapsed="false">
      <c r="A95" s="6" t="s">
        <v>400</v>
      </c>
      <c r="B95" s="6" t="s">
        <v>402</v>
      </c>
      <c r="C95" s="6" t="n">
        <v>2</v>
      </c>
      <c r="D95" s="6" t="s">
        <v>651</v>
      </c>
      <c r="E95" s="6" t="s">
        <v>711</v>
      </c>
      <c r="F95" s="6" t="s">
        <v>2</v>
      </c>
    </row>
    <row r="96" customFormat="false" ht="15" hidden="false" customHeight="false" outlineLevel="0" collapsed="false">
      <c r="A96" s="6" t="s">
        <v>403</v>
      </c>
      <c r="B96" s="6" t="s">
        <v>404</v>
      </c>
      <c r="C96" s="6" t="n">
        <v>4</v>
      </c>
      <c r="D96" s="6" t="s">
        <v>651</v>
      </c>
      <c r="E96" s="6" t="s">
        <v>712</v>
      </c>
      <c r="F96" s="6" t="s">
        <v>2</v>
      </c>
    </row>
    <row r="97" customFormat="false" ht="15" hidden="false" customHeight="false" outlineLevel="0" collapsed="false">
      <c r="A97" s="6" t="s">
        <v>405</v>
      </c>
      <c r="B97" s="6" t="s">
        <v>406</v>
      </c>
      <c r="C97" s="6" t="n">
        <v>2</v>
      </c>
      <c r="D97" s="6" t="s">
        <v>651</v>
      </c>
      <c r="E97" s="6" t="s">
        <v>713</v>
      </c>
      <c r="F97" s="6" t="s">
        <v>2</v>
      </c>
    </row>
    <row r="98" customFormat="false" ht="15" hidden="false" customHeight="false" outlineLevel="0" collapsed="false">
      <c r="A98" s="6" t="s">
        <v>407</v>
      </c>
      <c r="B98" s="6" t="s">
        <v>408</v>
      </c>
      <c r="C98" s="6" t="n">
        <v>1</v>
      </c>
      <c r="D98" s="7" t="s">
        <v>617</v>
      </c>
      <c r="E98" s="6" t="s">
        <v>714</v>
      </c>
      <c r="F98" s="6" t="s">
        <v>2</v>
      </c>
    </row>
    <row r="99" customFormat="false" ht="15" hidden="false" customHeight="false" outlineLevel="0" collapsed="false">
      <c r="A99" s="6" t="s">
        <v>409</v>
      </c>
      <c r="B99" s="6" t="s">
        <v>410</v>
      </c>
      <c r="C99" s="6" t="n">
        <v>2</v>
      </c>
      <c r="D99" s="6" t="s">
        <v>651</v>
      </c>
      <c r="E99" s="6" t="s">
        <v>715</v>
      </c>
      <c r="F99" s="6" t="s">
        <v>2</v>
      </c>
    </row>
    <row r="100" customFormat="false" ht="15" hidden="false" customHeight="false" outlineLevel="0" collapsed="false">
      <c r="A100" s="6" t="s">
        <v>411</v>
      </c>
      <c r="B100" s="6" t="s">
        <v>412</v>
      </c>
      <c r="C100" s="6" t="n">
        <v>2</v>
      </c>
      <c r="D100" s="6" t="s">
        <v>651</v>
      </c>
      <c r="E100" s="6" t="s">
        <v>716</v>
      </c>
      <c r="F100" s="6" t="s">
        <v>2</v>
      </c>
    </row>
    <row r="101" customFormat="false" ht="15" hidden="false" customHeight="false" outlineLevel="0" collapsed="false">
      <c r="A101" s="6" t="s">
        <v>413</v>
      </c>
      <c r="B101" s="6" t="s">
        <v>414</v>
      </c>
      <c r="C101" s="6" t="n">
        <v>1</v>
      </c>
      <c r="D101" s="6" t="s">
        <v>651</v>
      </c>
      <c r="E101" s="6" t="s">
        <v>717</v>
      </c>
      <c r="F101" s="6" t="s">
        <v>2</v>
      </c>
    </row>
    <row r="102" customFormat="false" ht="15" hidden="false" customHeight="false" outlineLevel="0" collapsed="false">
      <c r="A102" s="6" t="s">
        <v>415</v>
      </c>
      <c r="B102" s="6" t="s">
        <v>416</v>
      </c>
      <c r="C102" s="6" t="n">
        <v>1</v>
      </c>
      <c r="D102" s="7" t="s">
        <v>617</v>
      </c>
      <c r="E102" s="6" t="s">
        <v>718</v>
      </c>
      <c r="F102" s="6" t="s">
        <v>2</v>
      </c>
    </row>
    <row r="103" customFormat="false" ht="15" hidden="false" customHeight="false" outlineLevel="0" collapsed="false">
      <c r="A103" s="6" t="s">
        <v>417</v>
      </c>
      <c r="B103" s="6" t="s">
        <v>419</v>
      </c>
      <c r="C103" s="6" t="n">
        <v>3</v>
      </c>
      <c r="D103" s="6" t="s">
        <v>651</v>
      </c>
      <c r="E103" s="6" t="s">
        <v>719</v>
      </c>
      <c r="F103" s="6" t="s">
        <v>2</v>
      </c>
    </row>
    <row r="104" customFormat="false" ht="15" hidden="false" customHeight="false" outlineLevel="0" collapsed="false">
      <c r="A104" s="6" t="s">
        <v>420</v>
      </c>
      <c r="B104" s="6" t="s">
        <v>421</v>
      </c>
      <c r="C104" s="6" t="n">
        <v>3</v>
      </c>
      <c r="D104" s="6" t="s">
        <v>651</v>
      </c>
      <c r="E104" s="6" t="s">
        <v>720</v>
      </c>
      <c r="F104" s="6" t="s">
        <v>2</v>
      </c>
    </row>
    <row r="105" customFormat="false" ht="15" hidden="false" customHeight="false" outlineLevel="0" collapsed="false">
      <c r="A105" s="6" t="s">
        <v>422</v>
      </c>
      <c r="B105" s="6" t="s">
        <v>423</v>
      </c>
      <c r="C105" s="6" t="n">
        <v>3</v>
      </c>
      <c r="D105" s="6" t="s">
        <v>651</v>
      </c>
      <c r="E105" s="6" t="s">
        <v>721</v>
      </c>
      <c r="F105" s="6" t="s">
        <v>2</v>
      </c>
    </row>
    <row r="106" customFormat="false" ht="15" hidden="false" customHeight="false" outlineLevel="0" collapsed="false">
      <c r="A106" s="6" t="s">
        <v>424</v>
      </c>
      <c r="B106" s="6" t="s">
        <v>425</v>
      </c>
      <c r="C106" s="6" t="n">
        <v>3</v>
      </c>
      <c r="D106" s="6" t="s">
        <v>651</v>
      </c>
      <c r="E106" s="6" t="s">
        <v>722</v>
      </c>
      <c r="F106" s="6" t="s">
        <v>2</v>
      </c>
    </row>
    <row r="107" customFormat="false" ht="15" hidden="false" customHeight="false" outlineLevel="0" collapsed="false">
      <c r="A107" s="6" t="s">
        <v>426</v>
      </c>
      <c r="B107" s="6" t="s">
        <v>427</v>
      </c>
      <c r="C107" s="6" t="n">
        <v>3</v>
      </c>
      <c r="D107" s="6" t="s">
        <v>651</v>
      </c>
      <c r="E107" s="6" t="s">
        <v>723</v>
      </c>
      <c r="F107" s="6" t="s">
        <v>2</v>
      </c>
    </row>
    <row r="108" customFormat="false" ht="15" hidden="false" customHeight="false" outlineLevel="0" collapsed="false">
      <c r="A108" s="6" t="s">
        <v>428</v>
      </c>
      <c r="B108" s="6" t="s">
        <v>431</v>
      </c>
      <c r="C108" s="6" t="n">
        <v>2</v>
      </c>
      <c r="D108" s="7" t="s">
        <v>617</v>
      </c>
      <c r="E108" s="6" t="s">
        <v>724</v>
      </c>
      <c r="F108" s="6" t="s">
        <v>2</v>
      </c>
    </row>
    <row r="109" customFormat="false" ht="15" hidden="false" customHeight="false" outlineLevel="0" collapsed="false">
      <c r="A109" s="6" t="s">
        <v>432</v>
      </c>
      <c r="B109" s="6" t="s">
        <v>433</v>
      </c>
      <c r="C109" s="6" t="n">
        <v>3</v>
      </c>
      <c r="D109" s="6" t="s">
        <v>651</v>
      </c>
      <c r="E109" s="6" t="s">
        <v>725</v>
      </c>
      <c r="F109" s="6" t="s">
        <v>2</v>
      </c>
    </row>
    <row r="110" customFormat="false" ht="15" hidden="false" customHeight="false" outlineLevel="0" collapsed="false">
      <c r="A110" s="6" t="s">
        <v>434</v>
      </c>
      <c r="B110" s="6" t="s">
        <v>435</v>
      </c>
      <c r="C110" s="6" t="n">
        <v>1</v>
      </c>
      <c r="D110" s="6" t="s">
        <v>651</v>
      </c>
      <c r="E110" s="6" t="s">
        <v>726</v>
      </c>
      <c r="F110" s="6" t="s">
        <v>2</v>
      </c>
    </row>
    <row r="111" customFormat="false" ht="15" hidden="false" customHeight="false" outlineLevel="0" collapsed="false">
      <c r="A111" s="6" t="s">
        <v>436</v>
      </c>
      <c r="B111" s="6" t="s">
        <v>437</v>
      </c>
      <c r="C111" s="6" t="n">
        <v>1</v>
      </c>
      <c r="D111" s="6" t="s">
        <v>651</v>
      </c>
      <c r="E111" s="6" t="s">
        <v>727</v>
      </c>
      <c r="F111" s="6" t="s">
        <v>2</v>
      </c>
    </row>
    <row r="112" customFormat="false" ht="15" hidden="false" customHeight="false" outlineLevel="0" collapsed="false">
      <c r="A112" s="6" t="s">
        <v>438</v>
      </c>
      <c r="B112" s="6" t="s">
        <v>439</v>
      </c>
      <c r="C112" s="6" t="n">
        <v>2</v>
      </c>
      <c r="D112" s="6" t="s">
        <v>651</v>
      </c>
      <c r="E112" s="6" t="s">
        <v>728</v>
      </c>
      <c r="F112" s="6" t="s">
        <v>2</v>
      </c>
    </row>
    <row r="113" customFormat="false" ht="15" hidden="false" customHeight="false" outlineLevel="0" collapsed="false">
      <c r="A113" s="6" t="s">
        <v>440</v>
      </c>
      <c r="B113" s="6" t="s">
        <v>441</v>
      </c>
      <c r="C113" s="6" t="n">
        <v>4</v>
      </c>
      <c r="D113" s="6" t="s">
        <v>651</v>
      </c>
      <c r="E113" s="6" t="s">
        <v>729</v>
      </c>
      <c r="F113" s="6" t="s">
        <v>2</v>
      </c>
    </row>
    <row r="114" customFormat="false" ht="15" hidden="false" customHeight="false" outlineLevel="0" collapsed="false">
      <c r="A114" s="6" t="s">
        <v>442</v>
      </c>
      <c r="B114" s="6" t="s">
        <v>443</v>
      </c>
      <c r="C114" s="6" t="n">
        <v>3</v>
      </c>
      <c r="D114" s="6" t="s">
        <v>651</v>
      </c>
      <c r="E114" s="6" t="s">
        <v>730</v>
      </c>
      <c r="F114" s="6" t="s">
        <v>2</v>
      </c>
    </row>
    <row r="115" customFormat="false" ht="15" hidden="false" customHeight="false" outlineLevel="0" collapsed="false">
      <c r="A115" s="6" t="s">
        <v>444</v>
      </c>
      <c r="B115" s="6" t="s">
        <v>445</v>
      </c>
      <c r="C115" s="6" t="n">
        <v>4</v>
      </c>
      <c r="D115" s="6" t="s">
        <v>651</v>
      </c>
      <c r="E115" s="6" t="s">
        <v>731</v>
      </c>
      <c r="F115" s="6" t="s">
        <v>2</v>
      </c>
    </row>
    <row r="116" customFormat="false" ht="15" hidden="false" customHeight="false" outlineLevel="0" collapsed="false">
      <c r="A116" s="6" t="s">
        <v>446</v>
      </c>
      <c r="B116" s="6" t="s">
        <v>447</v>
      </c>
      <c r="C116" s="6" t="n">
        <v>2</v>
      </c>
      <c r="D116" s="6" t="s">
        <v>651</v>
      </c>
      <c r="E116" s="6" t="s">
        <v>732</v>
      </c>
      <c r="F116" s="6" t="s">
        <v>2</v>
      </c>
    </row>
    <row r="117" customFormat="false" ht="15" hidden="false" customHeight="false" outlineLevel="0" collapsed="false">
      <c r="A117" s="6" t="s">
        <v>448</v>
      </c>
      <c r="B117" s="6" t="s">
        <v>449</v>
      </c>
      <c r="C117" s="6" t="n">
        <v>6</v>
      </c>
      <c r="D117" s="6" t="s">
        <v>651</v>
      </c>
      <c r="E117" s="6" t="s">
        <v>733</v>
      </c>
      <c r="F117" s="6" t="s">
        <v>2</v>
      </c>
    </row>
    <row r="118" customFormat="false" ht="15" hidden="false" customHeight="false" outlineLevel="0" collapsed="false">
      <c r="A118" s="6" t="s">
        <v>450</v>
      </c>
      <c r="B118" s="6" t="s">
        <v>453</v>
      </c>
      <c r="C118" s="6" t="n">
        <v>2</v>
      </c>
      <c r="D118" s="6" t="s">
        <v>651</v>
      </c>
      <c r="E118" s="6" t="s">
        <v>734</v>
      </c>
      <c r="F118" s="6" t="s">
        <v>2</v>
      </c>
    </row>
    <row r="119" customFormat="false" ht="15" hidden="false" customHeight="false" outlineLevel="0" collapsed="false">
      <c r="A119" s="6" t="s">
        <v>454</v>
      </c>
      <c r="B119" s="6" t="s">
        <v>455</v>
      </c>
      <c r="C119" s="6" t="n">
        <v>3</v>
      </c>
      <c r="D119" s="6" t="s">
        <v>651</v>
      </c>
      <c r="E119" s="6" t="s">
        <v>735</v>
      </c>
      <c r="F119" s="6" t="s">
        <v>2</v>
      </c>
    </row>
    <row r="120" customFormat="false" ht="15" hidden="false" customHeight="false" outlineLevel="0" collapsed="false">
      <c r="A120" s="6" t="s">
        <v>456</v>
      </c>
      <c r="B120" s="6" t="s">
        <v>457</v>
      </c>
      <c r="C120" s="6" t="n">
        <v>3</v>
      </c>
      <c r="D120" s="6" t="s">
        <v>651</v>
      </c>
      <c r="E120" s="6" t="s">
        <v>736</v>
      </c>
      <c r="F120" s="6" t="s">
        <v>2</v>
      </c>
    </row>
    <row r="121" customFormat="false" ht="15" hidden="false" customHeight="false" outlineLevel="0" collapsed="false">
      <c r="A121" s="6" t="s">
        <v>458</v>
      </c>
      <c r="B121" s="6" t="s">
        <v>459</v>
      </c>
      <c r="C121" s="6" t="n">
        <v>3</v>
      </c>
      <c r="D121" s="6" t="s">
        <v>651</v>
      </c>
      <c r="E121" s="6" t="s">
        <v>737</v>
      </c>
      <c r="F121" s="6" t="s">
        <v>2</v>
      </c>
    </row>
    <row r="122" customFormat="false" ht="15" hidden="false" customHeight="false" outlineLevel="0" collapsed="false">
      <c r="A122" s="6" t="s">
        <v>460</v>
      </c>
      <c r="B122" s="6" t="s">
        <v>461</v>
      </c>
      <c r="C122" s="6" t="n">
        <v>4</v>
      </c>
      <c r="D122" s="6" t="s">
        <v>651</v>
      </c>
      <c r="E122" s="6" t="s">
        <v>738</v>
      </c>
      <c r="F122" s="6" t="s">
        <v>2</v>
      </c>
    </row>
    <row r="123" customFormat="false" ht="15" hidden="false" customHeight="false" outlineLevel="0" collapsed="false">
      <c r="A123" s="6" t="s">
        <v>462</v>
      </c>
      <c r="B123" s="6" t="s">
        <v>463</v>
      </c>
      <c r="C123" s="6" t="n">
        <v>1</v>
      </c>
      <c r="D123" s="6" t="s">
        <v>651</v>
      </c>
      <c r="E123" s="6" t="s">
        <v>739</v>
      </c>
      <c r="F123" s="6" t="s">
        <v>2</v>
      </c>
    </row>
    <row r="124" customFormat="false" ht="15" hidden="false" customHeight="false" outlineLevel="0" collapsed="false">
      <c r="A124" s="6" t="s">
        <v>464</v>
      </c>
      <c r="B124" s="6" t="s">
        <v>465</v>
      </c>
      <c r="C124" s="6" t="n">
        <v>4</v>
      </c>
      <c r="D124" s="6" t="s">
        <v>651</v>
      </c>
      <c r="E124" s="6" t="s">
        <v>740</v>
      </c>
      <c r="F124" s="6" t="s">
        <v>2</v>
      </c>
    </row>
    <row r="125" customFormat="false" ht="15" hidden="false" customHeight="false" outlineLevel="0" collapsed="false">
      <c r="A125" s="6" t="s">
        <v>466</v>
      </c>
      <c r="B125" s="6" t="s">
        <v>467</v>
      </c>
      <c r="C125" s="6" t="n">
        <v>3</v>
      </c>
      <c r="D125" s="6" t="s">
        <v>651</v>
      </c>
      <c r="E125" s="6" t="s">
        <v>741</v>
      </c>
      <c r="F125" s="6" t="s">
        <v>2</v>
      </c>
    </row>
    <row r="126" customFormat="false" ht="15" hidden="false" customHeight="false" outlineLevel="0" collapsed="false">
      <c r="A126" s="6" t="s">
        <v>468</v>
      </c>
      <c r="B126" s="6" t="s">
        <v>469</v>
      </c>
      <c r="C126" s="6" t="n">
        <v>3</v>
      </c>
      <c r="D126" s="6" t="s">
        <v>651</v>
      </c>
      <c r="E126" s="6" t="s">
        <v>742</v>
      </c>
      <c r="F126" s="6" t="s">
        <v>2</v>
      </c>
    </row>
    <row r="127" customFormat="false" ht="15" hidden="false" customHeight="false" outlineLevel="0" collapsed="false">
      <c r="A127" s="6" t="s">
        <v>470</v>
      </c>
      <c r="B127" s="6" t="s">
        <v>471</v>
      </c>
      <c r="C127" s="6" t="n">
        <v>1</v>
      </c>
      <c r="D127" s="6" t="s">
        <v>651</v>
      </c>
      <c r="E127" s="6" t="s">
        <v>743</v>
      </c>
      <c r="F127" s="6" t="s">
        <v>2</v>
      </c>
    </row>
    <row r="128" customFormat="false" ht="15" hidden="false" customHeight="false" outlineLevel="0" collapsed="false">
      <c r="A128" s="6" t="s">
        <v>472</v>
      </c>
      <c r="B128" s="6" t="s">
        <v>473</v>
      </c>
      <c r="C128" s="6" t="n">
        <v>3</v>
      </c>
      <c r="D128" s="6" t="s">
        <v>651</v>
      </c>
      <c r="E128" s="6" t="s">
        <v>744</v>
      </c>
      <c r="F128" s="6" t="s">
        <v>2</v>
      </c>
    </row>
    <row r="129" customFormat="false" ht="15" hidden="false" customHeight="false" outlineLevel="0" collapsed="false">
      <c r="A129" s="6" t="s">
        <v>474</v>
      </c>
      <c r="B129" s="6" t="s">
        <v>475</v>
      </c>
      <c r="C129" s="6" t="n">
        <v>3</v>
      </c>
      <c r="D129" s="6" t="s">
        <v>651</v>
      </c>
      <c r="E129" s="6" t="s">
        <v>745</v>
      </c>
      <c r="F129" s="6" t="s">
        <v>2</v>
      </c>
    </row>
    <row r="130" customFormat="false" ht="15" hidden="false" customHeight="false" outlineLevel="0" collapsed="false">
      <c r="A130" s="6" t="s">
        <v>476</v>
      </c>
      <c r="B130" s="6" t="s">
        <v>477</v>
      </c>
      <c r="C130" s="6" t="n">
        <v>2</v>
      </c>
      <c r="D130" s="6" t="s">
        <v>651</v>
      </c>
      <c r="E130" s="6" t="s">
        <v>746</v>
      </c>
      <c r="F130" s="6" t="s">
        <v>2</v>
      </c>
    </row>
    <row r="131" customFormat="false" ht="15" hidden="false" customHeight="false" outlineLevel="0" collapsed="false">
      <c r="A131" s="6" t="s">
        <v>478</v>
      </c>
      <c r="B131" s="6" t="s">
        <v>481</v>
      </c>
      <c r="C131" s="6" t="n">
        <v>1</v>
      </c>
      <c r="D131" s="6" t="s">
        <v>651</v>
      </c>
      <c r="E131" s="6" t="s">
        <v>747</v>
      </c>
      <c r="F131" s="6" t="s">
        <v>2</v>
      </c>
    </row>
    <row r="132" customFormat="false" ht="15" hidden="false" customHeight="false" outlineLevel="0" collapsed="false">
      <c r="A132" s="6" t="s">
        <v>482</v>
      </c>
      <c r="B132" s="6" t="s">
        <v>483</v>
      </c>
      <c r="C132" s="6" t="n">
        <v>8</v>
      </c>
      <c r="D132" s="6" t="s">
        <v>651</v>
      </c>
      <c r="E132" s="6" t="s">
        <v>748</v>
      </c>
      <c r="F132" s="6" t="s">
        <v>2</v>
      </c>
    </row>
    <row r="133" customFormat="false" ht="15" hidden="false" customHeight="false" outlineLevel="0" collapsed="false">
      <c r="A133" s="6" t="s">
        <v>485</v>
      </c>
      <c r="B133" s="6" t="s">
        <v>486</v>
      </c>
      <c r="C133" s="6" t="n">
        <v>2</v>
      </c>
      <c r="D133" s="6" t="s">
        <v>651</v>
      </c>
      <c r="E133" s="6" t="s">
        <v>749</v>
      </c>
      <c r="F133" s="6" t="s">
        <v>2</v>
      </c>
    </row>
    <row r="134" customFormat="false" ht="15" hidden="false" customHeight="false" outlineLevel="0" collapsed="false">
      <c r="A134" s="6" t="s">
        <v>487</v>
      </c>
      <c r="B134" s="6" t="s">
        <v>488</v>
      </c>
      <c r="C134" s="6" t="n">
        <v>2</v>
      </c>
      <c r="D134" s="6" t="s">
        <v>651</v>
      </c>
      <c r="E134" s="6" t="s">
        <v>750</v>
      </c>
      <c r="F134" s="6" t="s">
        <v>2</v>
      </c>
    </row>
    <row r="135" customFormat="false" ht="15" hidden="false" customHeight="false" outlineLevel="0" collapsed="false">
      <c r="A135" s="6" t="s">
        <v>489</v>
      </c>
      <c r="B135" s="6" t="s">
        <v>490</v>
      </c>
      <c r="C135" s="6" t="n">
        <v>2</v>
      </c>
      <c r="D135" s="7" t="s">
        <v>617</v>
      </c>
      <c r="E135" s="6" t="s">
        <v>751</v>
      </c>
      <c r="F135" s="6" t="s">
        <v>2</v>
      </c>
    </row>
    <row r="136" customFormat="false" ht="15" hidden="false" customHeight="false" outlineLevel="0" collapsed="false">
      <c r="A136" s="6" t="s">
        <v>491</v>
      </c>
      <c r="B136" s="6" t="s">
        <v>492</v>
      </c>
      <c r="C136" s="6" t="n">
        <v>3</v>
      </c>
      <c r="D136" s="6" t="s">
        <v>651</v>
      </c>
      <c r="E136" s="6" t="s">
        <v>752</v>
      </c>
      <c r="F136" s="6" t="s">
        <v>2</v>
      </c>
    </row>
    <row r="137" customFormat="false" ht="15" hidden="false" customHeight="false" outlineLevel="0" collapsed="false">
      <c r="A137" s="6" t="s">
        <v>493</v>
      </c>
      <c r="B137" s="6" t="s">
        <v>494</v>
      </c>
      <c r="C137" s="6" t="n">
        <v>1</v>
      </c>
      <c r="D137" s="6" t="s">
        <v>651</v>
      </c>
      <c r="E137" s="6" t="s">
        <v>753</v>
      </c>
      <c r="F137" s="6" t="s">
        <v>2</v>
      </c>
    </row>
    <row r="138" customFormat="false" ht="15" hidden="false" customHeight="false" outlineLevel="0" collapsed="false">
      <c r="A138" s="6" t="s">
        <v>495</v>
      </c>
      <c r="B138" s="6" t="s">
        <v>496</v>
      </c>
      <c r="C138" s="6" t="n">
        <v>1</v>
      </c>
      <c r="D138" s="6" t="s">
        <v>651</v>
      </c>
      <c r="E138" s="6" t="s">
        <v>754</v>
      </c>
      <c r="F138" s="6" t="s">
        <v>2</v>
      </c>
    </row>
    <row r="139" customFormat="false" ht="15" hidden="false" customHeight="false" outlineLevel="0" collapsed="false">
      <c r="A139" s="6" t="s">
        <v>497</v>
      </c>
      <c r="B139" s="6" t="s">
        <v>498</v>
      </c>
      <c r="C139" s="6" t="n">
        <v>1</v>
      </c>
      <c r="D139" s="6" t="s">
        <v>651</v>
      </c>
      <c r="E139" s="6" t="s">
        <v>755</v>
      </c>
      <c r="F139" s="6" t="s">
        <v>2</v>
      </c>
    </row>
    <row r="140" customFormat="false" ht="15" hidden="false" customHeight="false" outlineLevel="0" collapsed="false">
      <c r="A140" s="6" t="s">
        <v>500</v>
      </c>
      <c r="B140" s="6" t="s">
        <v>501</v>
      </c>
      <c r="C140" s="6" t="n">
        <v>0</v>
      </c>
      <c r="D140" s="8" t="s">
        <v>623</v>
      </c>
      <c r="E140" s="6" t="s">
        <v>756</v>
      </c>
      <c r="F140" s="6" t="s">
        <v>2</v>
      </c>
    </row>
    <row r="142" customFormat="false" ht="15" hidden="false" customHeight="false" outlineLevel="0" collapsed="false">
      <c r="A142" s="9" t="s">
        <v>757</v>
      </c>
    </row>
    <row r="143" customFormat="false" ht="15" hidden="false" customHeight="false" outlineLevel="0" collapsed="false">
      <c r="A143" s="10" t="s">
        <v>35</v>
      </c>
      <c r="B143" s="10" t="s">
        <v>41</v>
      </c>
      <c r="C143" s="10" t="s">
        <v>758</v>
      </c>
    </row>
    <row r="144" customFormat="false" ht="79.85" hidden="false" customHeight="false" outlineLevel="0" collapsed="false">
      <c r="A144" s="6" t="s">
        <v>44</v>
      </c>
      <c r="B144" s="6" t="s">
        <v>759</v>
      </c>
      <c r="C144" s="6" t="s">
        <v>760</v>
      </c>
    </row>
    <row r="145" customFormat="false" ht="79.85" hidden="false" customHeight="false" outlineLevel="0" collapsed="false">
      <c r="A145" s="6" t="s">
        <v>132</v>
      </c>
      <c r="B145" s="6" t="s">
        <v>759</v>
      </c>
      <c r="C145" s="6" t="s">
        <v>761</v>
      </c>
    </row>
    <row r="146" customFormat="false" ht="68.65" hidden="false" customHeight="false" outlineLevel="0" collapsed="false">
      <c r="A146" s="6" t="s">
        <v>174</v>
      </c>
      <c r="B146" s="6" t="s">
        <v>759</v>
      </c>
      <c r="C146" s="6" t="s">
        <v>762</v>
      </c>
    </row>
    <row r="147" customFormat="false" ht="102.2" hidden="false" customHeight="false" outlineLevel="0" collapsed="false">
      <c r="A147" s="6" t="s">
        <v>271</v>
      </c>
      <c r="B147" s="6" t="s">
        <v>759</v>
      </c>
      <c r="C147" s="6" t="s">
        <v>763</v>
      </c>
    </row>
    <row r="148" customFormat="false" ht="102.2" hidden="false" customHeight="false" outlineLevel="0" collapsed="false">
      <c r="A148" s="6" t="s">
        <v>312</v>
      </c>
      <c r="B148" s="6" t="s">
        <v>759</v>
      </c>
      <c r="C148" s="6" t="s">
        <v>764</v>
      </c>
    </row>
    <row r="149" customFormat="false" ht="102.2" hidden="false" customHeight="false" outlineLevel="0" collapsed="false">
      <c r="A149" s="6" t="s">
        <v>385</v>
      </c>
      <c r="B149" s="6" t="s">
        <v>759</v>
      </c>
      <c r="C149" s="6" t="s">
        <v>765</v>
      </c>
    </row>
    <row r="150" customFormat="false" ht="57.45" hidden="false" customHeight="false" outlineLevel="0" collapsed="false">
      <c r="A150" s="6" t="s">
        <v>429</v>
      </c>
      <c r="B150" s="6" t="s">
        <v>759</v>
      </c>
      <c r="C150" s="6" t="s">
        <v>766</v>
      </c>
    </row>
    <row r="151" customFormat="false" ht="35.05" hidden="false" customHeight="false" outlineLevel="0" collapsed="false">
      <c r="A151" s="6" t="s">
        <v>451</v>
      </c>
      <c r="B151" s="6" t="s">
        <v>759</v>
      </c>
      <c r="C151" s="6" t="s">
        <v>766</v>
      </c>
    </row>
    <row r="152" customFormat="false" ht="102.2" hidden="false" customHeight="false" outlineLevel="0" collapsed="false">
      <c r="A152" s="6" t="s">
        <v>479</v>
      </c>
      <c r="B152" s="6" t="s">
        <v>759</v>
      </c>
      <c r="C152" s="6" t="s">
        <v>767</v>
      </c>
    </row>
    <row r="153" customFormat="false" ht="79.85" hidden="false" customHeight="false" outlineLevel="0" collapsed="false">
      <c r="A153" s="6" t="s">
        <v>503</v>
      </c>
      <c r="B153" s="6" t="s">
        <v>768</v>
      </c>
      <c r="C153" s="6" t="s">
        <v>769</v>
      </c>
    </row>
    <row r="154" customFormat="false" ht="79.85" hidden="false" customHeight="false" outlineLevel="0" collapsed="false">
      <c r="A154" s="6" t="s">
        <v>525</v>
      </c>
      <c r="B154" s="6" t="s">
        <v>768</v>
      </c>
      <c r="C154" s="6" t="s">
        <v>769</v>
      </c>
    </row>
    <row r="155" customFormat="false" ht="79.85" hidden="false" customHeight="false" outlineLevel="0" collapsed="false">
      <c r="A155" s="6" t="s">
        <v>545</v>
      </c>
      <c r="B155" s="6" t="s">
        <v>768</v>
      </c>
      <c r="C155" s="6" t="s">
        <v>769</v>
      </c>
    </row>
    <row r="156" customFormat="false" ht="79.85" hidden="false" customHeight="false" outlineLevel="0" collapsed="false">
      <c r="A156" s="6" t="s">
        <v>596</v>
      </c>
      <c r="B156" s="6" t="s">
        <v>768</v>
      </c>
      <c r="C156" s="6" t="s">
        <v>769</v>
      </c>
    </row>
  </sheetData>
  <autoFilter ref="A1:F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770</v>
      </c>
      <c r="C1" s="5" t="s">
        <v>771</v>
      </c>
      <c r="D1" s="5" t="s">
        <v>772</v>
      </c>
      <c r="E1" s="5" t="s">
        <v>773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774</v>
      </c>
      <c r="C2" s="6" t="s">
        <v>775</v>
      </c>
      <c r="D2" s="6" t="s">
        <v>776</v>
      </c>
      <c r="E2" s="6" t="s">
        <v>777</v>
      </c>
      <c r="F2" s="6" t="s">
        <v>778</v>
      </c>
    </row>
    <row r="3" customFormat="false" ht="23.85" hidden="false" customHeight="false" outlineLevel="0" collapsed="false">
      <c r="A3" s="6" t="s">
        <v>301</v>
      </c>
      <c r="B3" s="11" t="s">
        <v>779</v>
      </c>
      <c r="C3" s="6" t="s">
        <v>780</v>
      </c>
      <c r="D3" s="6" t="s">
        <v>781</v>
      </c>
      <c r="E3" s="6" t="s">
        <v>782</v>
      </c>
      <c r="F3" s="6" t="s">
        <v>778</v>
      </c>
    </row>
    <row r="4" customFormat="false" ht="23.85" hidden="false" customHeight="false" outlineLevel="0" collapsed="false">
      <c r="A4" s="6" t="s">
        <v>328</v>
      </c>
      <c r="B4" s="11" t="s">
        <v>783</v>
      </c>
      <c r="C4" s="6" t="s">
        <v>784</v>
      </c>
      <c r="D4" s="6" t="s">
        <v>785</v>
      </c>
      <c r="E4" s="6" t="s">
        <v>782</v>
      </c>
      <c r="F4" s="6" t="s">
        <v>778</v>
      </c>
    </row>
    <row r="5" customFormat="false" ht="23.85" hidden="false" customHeight="false" outlineLevel="0" collapsed="false">
      <c r="A5" s="6" t="s">
        <v>328</v>
      </c>
      <c r="B5" s="11" t="s">
        <v>786</v>
      </c>
      <c r="C5" s="6" t="s">
        <v>787</v>
      </c>
      <c r="D5" s="6" t="s">
        <v>788</v>
      </c>
      <c r="E5" s="6" t="s">
        <v>789</v>
      </c>
      <c r="F5" s="6" t="s">
        <v>778</v>
      </c>
    </row>
    <row r="6" customFormat="false" ht="23.85" hidden="false" customHeight="false" outlineLevel="0" collapsed="false">
      <c r="A6" s="6" t="s">
        <v>361</v>
      </c>
      <c r="B6" s="11" t="s">
        <v>790</v>
      </c>
      <c r="C6" s="6" t="s">
        <v>791</v>
      </c>
      <c r="D6" s="6" t="s">
        <v>792</v>
      </c>
      <c r="E6" s="6" t="s">
        <v>793</v>
      </c>
      <c r="F6" s="6" t="s">
        <v>778</v>
      </c>
    </row>
    <row r="7" customFormat="false" ht="23.85" hidden="false" customHeight="false" outlineLevel="0" collapsed="false">
      <c r="A7" s="6" t="s">
        <v>374</v>
      </c>
      <c r="B7" s="11" t="s">
        <v>794</v>
      </c>
      <c r="C7" s="6" t="s">
        <v>795</v>
      </c>
      <c r="D7" s="6" t="s">
        <v>796</v>
      </c>
      <c r="E7" s="6" t="s">
        <v>782</v>
      </c>
      <c r="F7" s="6" t="s">
        <v>778</v>
      </c>
    </row>
    <row r="8" customFormat="false" ht="23.85" hidden="false" customHeight="false" outlineLevel="0" collapsed="false">
      <c r="A8" s="6" t="s">
        <v>370</v>
      </c>
      <c r="B8" s="11" t="s">
        <v>797</v>
      </c>
      <c r="C8" s="6" t="s">
        <v>798</v>
      </c>
      <c r="D8" s="6" t="s">
        <v>799</v>
      </c>
      <c r="E8" s="6" t="s">
        <v>782</v>
      </c>
      <c r="F8" s="6" t="s">
        <v>778</v>
      </c>
    </row>
    <row r="9" customFormat="false" ht="23.85" hidden="false" customHeight="false" outlineLevel="0" collapsed="false">
      <c r="A9" s="6" t="s">
        <v>348</v>
      </c>
      <c r="B9" s="11" t="s">
        <v>800</v>
      </c>
      <c r="C9" s="6" t="s">
        <v>801</v>
      </c>
      <c r="D9" s="6" t="s">
        <v>802</v>
      </c>
      <c r="E9" s="6" t="s">
        <v>803</v>
      </c>
      <c r="F9" s="6" t="s">
        <v>778</v>
      </c>
    </row>
    <row r="10" customFormat="false" ht="23.85" hidden="false" customHeight="false" outlineLevel="0" collapsed="false">
      <c r="A10" s="6" t="s">
        <v>398</v>
      </c>
      <c r="B10" s="11" t="s">
        <v>804</v>
      </c>
      <c r="C10" s="6" t="s">
        <v>805</v>
      </c>
      <c r="D10" s="6" t="s">
        <v>806</v>
      </c>
      <c r="E10" s="6" t="s">
        <v>807</v>
      </c>
      <c r="F10" s="6" t="s">
        <v>778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770</v>
      </c>
      <c r="G1" s="5" t="s">
        <v>812</v>
      </c>
      <c r="H1" s="5" t="s">
        <v>813</v>
      </c>
      <c r="I1" s="5" t="s">
        <v>814</v>
      </c>
      <c r="J1" s="5" t="s">
        <v>815</v>
      </c>
      <c r="K1" s="5" t="s">
        <v>816</v>
      </c>
      <c r="L1" s="5" t="s">
        <v>817</v>
      </c>
      <c r="M1" s="5" t="s">
        <v>818</v>
      </c>
      <c r="N1" s="5" t="s">
        <v>819</v>
      </c>
      <c r="O1" s="5" t="s">
        <v>820</v>
      </c>
      <c r="P1" s="5" t="s">
        <v>821</v>
      </c>
      <c r="Q1" s="5" t="s">
        <v>822</v>
      </c>
      <c r="R1" s="5" t="s">
        <v>823</v>
      </c>
      <c r="S1" s="5" t="s">
        <v>824</v>
      </c>
      <c r="T1" s="5" t="s">
        <v>825</v>
      </c>
      <c r="U1" s="5" t="s">
        <v>826</v>
      </c>
      <c r="V1" s="5" t="s">
        <v>827</v>
      </c>
      <c r="W1" s="5" t="s">
        <v>828</v>
      </c>
      <c r="X1" s="5" t="s">
        <v>829</v>
      </c>
      <c r="Y1" s="5" t="s">
        <v>758</v>
      </c>
    </row>
    <row r="2" customFormat="false" ht="23.85" hidden="false" customHeight="false" outlineLevel="0" collapsed="false">
      <c r="A2" s="6" t="s">
        <v>830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831</v>
      </c>
      <c r="F2" s="11" t="s">
        <v>832</v>
      </c>
      <c r="G2" s="6" t="s">
        <v>833</v>
      </c>
      <c r="H2" s="6" t="s">
        <v>834</v>
      </c>
      <c r="I2" s="6" t="s">
        <v>835</v>
      </c>
      <c r="J2" s="6" t="s">
        <v>836</v>
      </c>
      <c r="K2" s="6" t="s">
        <v>837</v>
      </c>
      <c r="L2" s="6" t="s">
        <v>838</v>
      </c>
      <c r="M2" s="6" t="s">
        <v>839</v>
      </c>
      <c r="N2" s="12" t="s">
        <v>840</v>
      </c>
      <c r="O2" s="6" t="s">
        <v>841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842</v>
      </c>
    </row>
    <row r="3" customFormat="false" ht="23.85" hidden="false" customHeight="false" outlineLevel="0" collapsed="false">
      <c r="A3" s="6" t="s">
        <v>843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844</v>
      </c>
      <c r="F3" s="11" t="s">
        <v>845</v>
      </c>
      <c r="G3" s="6" t="s">
        <v>846</v>
      </c>
      <c r="H3" s="6" t="s">
        <v>847</v>
      </c>
      <c r="I3" s="6" t="s">
        <v>848</v>
      </c>
      <c r="J3" s="6" t="s">
        <v>849</v>
      </c>
      <c r="K3" s="6" t="s">
        <v>837</v>
      </c>
      <c r="L3" s="6" t="s">
        <v>838</v>
      </c>
      <c r="M3" s="6" t="s">
        <v>850</v>
      </c>
      <c r="N3" s="12" t="s">
        <v>840</v>
      </c>
      <c r="O3" s="6" t="s">
        <v>841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842</v>
      </c>
    </row>
    <row r="4" customFormat="false" ht="23.85" hidden="false" customHeight="false" outlineLevel="0" collapsed="false">
      <c r="A4" s="6" t="s">
        <v>851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852</v>
      </c>
      <c r="F4" s="11" t="s">
        <v>853</v>
      </c>
      <c r="G4" s="6" t="s">
        <v>846</v>
      </c>
      <c r="H4" s="6" t="s">
        <v>847</v>
      </c>
      <c r="I4" s="6" t="s">
        <v>854</v>
      </c>
      <c r="J4" s="6" t="s">
        <v>855</v>
      </c>
      <c r="K4" s="6" t="s">
        <v>837</v>
      </c>
      <c r="L4" s="6" t="s">
        <v>838</v>
      </c>
      <c r="M4" s="6" t="s">
        <v>850</v>
      </c>
      <c r="N4" s="12" t="s">
        <v>840</v>
      </c>
      <c r="O4" s="6" t="s">
        <v>841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856</v>
      </c>
    </row>
    <row r="5" customFormat="false" ht="23.85" hidden="false" customHeight="false" outlineLevel="0" collapsed="false">
      <c r="A5" s="6" t="s">
        <v>857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858</v>
      </c>
      <c r="F5" s="11" t="s">
        <v>859</v>
      </c>
      <c r="G5" s="6" t="s">
        <v>860</v>
      </c>
      <c r="H5" s="6" t="s">
        <v>861</v>
      </c>
      <c r="I5" s="6" t="s">
        <v>862</v>
      </c>
      <c r="J5" s="6" t="s">
        <v>836</v>
      </c>
      <c r="K5" s="6" t="s">
        <v>837</v>
      </c>
      <c r="L5" s="6" t="s">
        <v>863</v>
      </c>
      <c r="M5" s="6" t="s">
        <v>850</v>
      </c>
      <c r="N5" s="12" t="s">
        <v>840</v>
      </c>
      <c r="O5" s="6" t="s">
        <v>841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864</v>
      </c>
    </row>
    <row r="6" customFormat="false" ht="35.05" hidden="false" customHeight="false" outlineLevel="0" collapsed="false">
      <c r="A6" s="6" t="s">
        <v>865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866</v>
      </c>
      <c r="F6" s="11" t="s">
        <v>867</v>
      </c>
      <c r="G6" s="6" t="s">
        <v>868</v>
      </c>
      <c r="H6" s="6" t="s">
        <v>869</v>
      </c>
      <c r="I6" s="6" t="s">
        <v>836</v>
      </c>
      <c r="J6" s="6" t="s">
        <v>836</v>
      </c>
      <c r="K6" s="6" t="s">
        <v>837</v>
      </c>
      <c r="L6" s="6" t="s">
        <v>870</v>
      </c>
      <c r="M6" s="6" t="s">
        <v>871</v>
      </c>
      <c r="N6" s="12" t="s">
        <v>840</v>
      </c>
      <c r="O6" s="6" t="s">
        <v>841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872</v>
      </c>
    </row>
    <row r="7" customFormat="false" ht="23.85" hidden="false" customHeight="false" outlineLevel="0" collapsed="false">
      <c r="A7" s="6" t="s">
        <v>873</v>
      </c>
      <c r="B7" s="6" t="s">
        <v>148</v>
      </c>
      <c r="C7" s="6" t="s">
        <v>874</v>
      </c>
      <c r="D7" s="6" t="str">
        <f aca="false">IFERROR(INDEX(Mundarija!$D:$D,MATCH(B7,Mundarija!$A:$A,0)),"kod topilmadi")</f>
        <v>8.2. Bo‘ylama, ko‘ndalang va qiya tekisliklar.</v>
      </c>
      <c r="E7" s="6" t="s">
        <v>875</v>
      </c>
      <c r="F7" s="11" t="s">
        <v>876</v>
      </c>
      <c r="G7" s="6" t="s">
        <v>833</v>
      </c>
      <c r="H7" s="6" t="s">
        <v>834</v>
      </c>
      <c r="I7" s="6" t="s">
        <v>877</v>
      </c>
      <c r="J7" s="6" t="s">
        <v>836</v>
      </c>
      <c r="K7" s="6" t="s">
        <v>837</v>
      </c>
      <c r="L7" s="6" t="s">
        <v>838</v>
      </c>
      <c r="M7" s="6" t="s">
        <v>871</v>
      </c>
      <c r="N7" s="12" t="s">
        <v>840</v>
      </c>
      <c r="O7" s="6" t="s">
        <v>841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878</v>
      </c>
    </row>
    <row r="8" customFormat="false" ht="35.05" hidden="false" customHeight="false" outlineLevel="0" collapsed="false">
      <c r="A8" s="6" t="s">
        <v>879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880</v>
      </c>
      <c r="F8" s="11" t="s">
        <v>881</v>
      </c>
      <c r="G8" s="6" t="s">
        <v>833</v>
      </c>
      <c r="H8" s="6" t="s">
        <v>834</v>
      </c>
      <c r="I8" s="6" t="s">
        <v>882</v>
      </c>
      <c r="J8" s="6" t="s">
        <v>836</v>
      </c>
      <c r="K8" s="6" t="s">
        <v>837</v>
      </c>
      <c r="L8" s="6" t="s">
        <v>838</v>
      </c>
      <c r="M8" s="6" t="s">
        <v>871</v>
      </c>
      <c r="N8" s="12" t="s">
        <v>840</v>
      </c>
      <c r="O8" s="6" t="s">
        <v>841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883</v>
      </c>
    </row>
    <row r="9" customFormat="false" ht="23.85" hidden="false" customHeight="false" outlineLevel="0" collapsed="false">
      <c r="A9" s="6" t="s">
        <v>884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885</v>
      </c>
      <c r="F9" s="11" t="s">
        <v>886</v>
      </c>
      <c r="G9" s="6" t="s">
        <v>846</v>
      </c>
      <c r="H9" s="6" t="s">
        <v>847</v>
      </c>
      <c r="I9" s="6" t="s">
        <v>887</v>
      </c>
      <c r="J9" s="6" t="s">
        <v>888</v>
      </c>
      <c r="K9" s="6" t="s">
        <v>837</v>
      </c>
      <c r="L9" s="6" t="s">
        <v>838</v>
      </c>
      <c r="M9" s="6" t="s">
        <v>850</v>
      </c>
      <c r="N9" s="12" t="s">
        <v>840</v>
      </c>
      <c r="O9" s="6" t="s">
        <v>841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889</v>
      </c>
    </row>
    <row r="10" customFormat="false" ht="23.85" hidden="false" customHeight="false" outlineLevel="0" collapsed="false">
      <c r="A10" s="6" t="s">
        <v>890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891</v>
      </c>
      <c r="F10" s="11" t="s">
        <v>892</v>
      </c>
      <c r="G10" s="6" t="s">
        <v>846</v>
      </c>
      <c r="H10" s="6" t="s">
        <v>847</v>
      </c>
      <c r="I10" s="6" t="s">
        <v>893</v>
      </c>
      <c r="J10" s="6" t="s">
        <v>894</v>
      </c>
      <c r="K10" s="6" t="s">
        <v>837</v>
      </c>
      <c r="L10" s="6" t="s">
        <v>863</v>
      </c>
      <c r="M10" s="6" t="s">
        <v>850</v>
      </c>
      <c r="N10" s="12" t="s">
        <v>840</v>
      </c>
      <c r="O10" s="6" t="s">
        <v>841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895</v>
      </c>
    </row>
    <row r="11" customFormat="false" ht="23.85" hidden="false" customHeight="false" outlineLevel="0" collapsed="false">
      <c r="A11" s="6" t="s">
        <v>896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897</v>
      </c>
      <c r="F11" s="11" t="s">
        <v>898</v>
      </c>
      <c r="G11" s="6" t="s">
        <v>846</v>
      </c>
      <c r="H11" s="6" t="s">
        <v>847</v>
      </c>
      <c r="I11" s="6" t="s">
        <v>899</v>
      </c>
      <c r="J11" s="6" t="s">
        <v>900</v>
      </c>
      <c r="K11" s="6" t="s">
        <v>837</v>
      </c>
      <c r="L11" s="6" t="s">
        <v>838</v>
      </c>
      <c r="M11" s="6" t="s">
        <v>850</v>
      </c>
      <c r="N11" s="12" t="s">
        <v>840</v>
      </c>
      <c r="O11" s="6" t="s">
        <v>841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901</v>
      </c>
    </row>
    <row r="12" customFormat="false" ht="23.85" hidden="false" customHeight="false" outlineLevel="0" collapsed="false">
      <c r="A12" s="6" t="s">
        <v>902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903</v>
      </c>
      <c r="F12" s="11" t="s">
        <v>904</v>
      </c>
      <c r="G12" s="6" t="s">
        <v>846</v>
      </c>
      <c r="H12" s="6" t="s">
        <v>847</v>
      </c>
      <c r="I12" s="6" t="s">
        <v>905</v>
      </c>
      <c r="J12" s="6" t="s">
        <v>906</v>
      </c>
      <c r="K12" s="6" t="s">
        <v>837</v>
      </c>
      <c r="L12" s="6" t="s">
        <v>838</v>
      </c>
      <c r="M12" s="6" t="s">
        <v>850</v>
      </c>
      <c r="N12" s="12" t="s">
        <v>840</v>
      </c>
      <c r="O12" s="6" t="s">
        <v>841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907</v>
      </c>
    </row>
    <row r="13" customFormat="false" ht="23.85" hidden="false" customHeight="false" outlineLevel="0" collapsed="false">
      <c r="A13" s="6" t="s">
        <v>908</v>
      </c>
      <c r="B13" s="6" t="s">
        <v>237</v>
      </c>
      <c r="C13" s="6" t="s">
        <v>909</v>
      </c>
      <c r="D13" s="6" t="str">
        <f aca="false">IFERROR(INDEX(Mundarija!$D:$D,MATCH(B13,Mundarija!$A:$A,0)),"kod topilmadi")</f>
        <v>14.3. Nefrolitiaz va gidronefroz.</v>
      </c>
      <c r="E13" s="6" t="s">
        <v>910</v>
      </c>
      <c r="F13" s="11" t="s">
        <v>911</v>
      </c>
      <c r="G13" s="6" t="s">
        <v>846</v>
      </c>
      <c r="H13" s="6" t="s">
        <v>847</v>
      </c>
      <c r="I13" s="6" t="s">
        <v>912</v>
      </c>
      <c r="J13" s="6" t="s">
        <v>836</v>
      </c>
      <c r="K13" s="6" t="s">
        <v>837</v>
      </c>
      <c r="L13" s="6" t="s">
        <v>863</v>
      </c>
      <c r="M13" s="6" t="s">
        <v>850</v>
      </c>
      <c r="N13" s="12" t="s">
        <v>840</v>
      </c>
      <c r="O13" s="6" t="s">
        <v>841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913</v>
      </c>
    </row>
    <row r="14" customFormat="false" ht="35.05" hidden="false" customHeight="false" outlineLevel="0" collapsed="false">
      <c r="A14" s="6" t="s">
        <v>914</v>
      </c>
      <c r="B14" s="6" t="s">
        <v>158</v>
      </c>
      <c r="C14" s="6" t="s">
        <v>915</v>
      </c>
      <c r="D14" s="6" t="str">
        <f aca="false">IFERROR(INDEX(Mundarija!$D:$D,MATCH(B14,Mundarija!$A:$A,0)),"kod topilmadi")</f>
        <v>9.1. Normal anatomiyani patologiyadan farqlash.</v>
      </c>
      <c r="E14" s="6" t="s">
        <v>916</v>
      </c>
      <c r="F14" s="11" t="s">
        <v>917</v>
      </c>
      <c r="G14" s="6" t="s">
        <v>918</v>
      </c>
      <c r="H14" s="6" t="s">
        <v>919</v>
      </c>
      <c r="I14" s="6" t="s">
        <v>920</v>
      </c>
      <c r="J14" s="6" t="s">
        <v>836</v>
      </c>
      <c r="K14" s="6" t="s">
        <v>837</v>
      </c>
      <c r="L14" s="6" t="s">
        <v>863</v>
      </c>
      <c r="M14" s="6" t="s">
        <v>921</v>
      </c>
      <c r="N14" s="12" t="s">
        <v>840</v>
      </c>
      <c r="O14" s="6" t="s">
        <v>841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922</v>
      </c>
    </row>
    <row r="15" customFormat="false" ht="35.05" hidden="false" customHeight="false" outlineLevel="0" collapsed="false">
      <c r="A15" s="6" t="s">
        <v>923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924</v>
      </c>
      <c r="F15" s="11" t="s">
        <v>925</v>
      </c>
      <c r="G15" s="6" t="s">
        <v>833</v>
      </c>
      <c r="H15" s="6" t="s">
        <v>926</v>
      </c>
      <c r="I15" s="6" t="s">
        <v>927</v>
      </c>
      <c r="J15" s="6" t="s">
        <v>928</v>
      </c>
      <c r="K15" s="6" t="s">
        <v>837</v>
      </c>
      <c r="L15" s="6" t="s">
        <v>838</v>
      </c>
      <c r="M15" s="6" t="s">
        <v>871</v>
      </c>
      <c r="N15" s="12" t="s">
        <v>840</v>
      </c>
      <c r="O15" s="6" t="s">
        <v>841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929</v>
      </c>
    </row>
    <row r="16" customFormat="false" ht="35.05" hidden="false" customHeight="false" outlineLevel="0" collapsed="false">
      <c r="A16" s="6" t="s">
        <v>930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931</v>
      </c>
      <c r="F16" s="11" t="s">
        <v>932</v>
      </c>
      <c r="G16" s="6" t="s">
        <v>833</v>
      </c>
      <c r="H16" s="6" t="s">
        <v>926</v>
      </c>
      <c r="I16" s="6" t="s">
        <v>933</v>
      </c>
      <c r="J16" s="6" t="s">
        <v>928</v>
      </c>
      <c r="K16" s="6" t="s">
        <v>837</v>
      </c>
      <c r="L16" s="6" t="s">
        <v>838</v>
      </c>
      <c r="M16" s="6" t="s">
        <v>871</v>
      </c>
      <c r="N16" s="12" t="s">
        <v>840</v>
      </c>
      <c r="O16" s="6" t="s">
        <v>841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934</v>
      </c>
    </row>
    <row r="17" customFormat="false" ht="23.85" hidden="false" customHeight="false" outlineLevel="0" collapsed="false">
      <c r="A17" s="6" t="s">
        <v>935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936</v>
      </c>
      <c r="F17" s="11" t="s">
        <v>937</v>
      </c>
      <c r="G17" s="6" t="s">
        <v>938</v>
      </c>
      <c r="H17" s="6" t="s">
        <v>939</v>
      </c>
      <c r="I17" s="6" t="s">
        <v>940</v>
      </c>
      <c r="J17" s="6" t="s">
        <v>941</v>
      </c>
      <c r="K17" s="6" t="s">
        <v>837</v>
      </c>
      <c r="L17" s="6" t="s">
        <v>838</v>
      </c>
      <c r="M17" s="6" t="s">
        <v>871</v>
      </c>
      <c r="N17" s="12" t="s">
        <v>840</v>
      </c>
      <c r="O17" s="6" t="s">
        <v>841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942</v>
      </c>
    </row>
    <row r="18" customFormat="false" ht="35.05" hidden="false" customHeight="false" outlineLevel="0" collapsed="false">
      <c r="A18" s="6" t="s">
        <v>943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944</v>
      </c>
      <c r="F18" s="11" t="s">
        <v>945</v>
      </c>
      <c r="G18" s="6" t="s">
        <v>833</v>
      </c>
      <c r="H18" s="6" t="s">
        <v>926</v>
      </c>
      <c r="I18" s="6" t="s">
        <v>946</v>
      </c>
      <c r="J18" s="6" t="s">
        <v>947</v>
      </c>
      <c r="K18" s="6" t="s">
        <v>837</v>
      </c>
      <c r="L18" s="6" t="s">
        <v>948</v>
      </c>
      <c r="M18" s="6" t="s">
        <v>871</v>
      </c>
      <c r="N18" s="12" t="s">
        <v>840</v>
      </c>
      <c r="O18" s="6" t="s">
        <v>841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949</v>
      </c>
    </row>
    <row r="19" customFormat="false" ht="23.85" hidden="false" customHeight="false" outlineLevel="0" collapsed="false">
      <c r="A19" s="6" t="s">
        <v>950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951</v>
      </c>
      <c r="F19" s="11" t="s">
        <v>952</v>
      </c>
      <c r="G19" s="6" t="s">
        <v>953</v>
      </c>
      <c r="H19" s="6" t="s">
        <v>954</v>
      </c>
      <c r="I19" s="6" t="s">
        <v>836</v>
      </c>
      <c r="J19" s="6" t="s">
        <v>955</v>
      </c>
      <c r="K19" s="6" t="s">
        <v>837</v>
      </c>
      <c r="L19" s="6" t="s">
        <v>838</v>
      </c>
      <c r="M19" s="6" t="s">
        <v>871</v>
      </c>
      <c r="N19" s="12" t="s">
        <v>840</v>
      </c>
      <c r="O19" s="6" t="s">
        <v>841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956</v>
      </c>
    </row>
    <row r="20" customFormat="false" ht="35.05" hidden="false" customHeight="false" outlineLevel="0" collapsed="false">
      <c r="A20" s="6" t="s">
        <v>957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958</v>
      </c>
      <c r="F20" s="11" t="s">
        <v>959</v>
      </c>
      <c r="G20" s="6" t="s">
        <v>938</v>
      </c>
      <c r="H20" s="6" t="s">
        <v>939</v>
      </c>
      <c r="I20" s="6" t="s">
        <v>836</v>
      </c>
      <c r="J20" s="6" t="s">
        <v>941</v>
      </c>
      <c r="K20" s="6" t="s">
        <v>837</v>
      </c>
      <c r="L20" s="6" t="s">
        <v>838</v>
      </c>
      <c r="M20" s="6" t="s">
        <v>871</v>
      </c>
      <c r="N20" s="12" t="s">
        <v>840</v>
      </c>
      <c r="O20" s="6" t="s">
        <v>841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960</v>
      </c>
    </row>
    <row r="21" customFormat="false" ht="35.05" hidden="false" customHeight="false" outlineLevel="0" collapsed="false">
      <c r="A21" s="6" t="s">
        <v>961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962</v>
      </c>
      <c r="F21" s="11" t="s">
        <v>963</v>
      </c>
      <c r="G21" s="6" t="s">
        <v>833</v>
      </c>
      <c r="H21" s="6" t="s">
        <v>926</v>
      </c>
      <c r="I21" s="6" t="s">
        <v>964</v>
      </c>
      <c r="J21" s="6" t="s">
        <v>965</v>
      </c>
      <c r="K21" s="6" t="s">
        <v>837</v>
      </c>
      <c r="L21" s="6" t="s">
        <v>863</v>
      </c>
      <c r="M21" s="6" t="s">
        <v>871</v>
      </c>
      <c r="N21" s="12" t="s">
        <v>840</v>
      </c>
      <c r="O21" s="6" t="s">
        <v>841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966</v>
      </c>
    </row>
    <row r="22" customFormat="false" ht="23.85" hidden="false" customHeight="false" outlineLevel="0" collapsed="false">
      <c r="A22" s="6" t="s">
        <v>967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968</v>
      </c>
      <c r="F22" s="11" t="s">
        <v>969</v>
      </c>
      <c r="G22" s="6" t="s">
        <v>833</v>
      </c>
      <c r="H22" s="6" t="s">
        <v>926</v>
      </c>
      <c r="I22" s="6" t="s">
        <v>970</v>
      </c>
      <c r="J22" s="6" t="s">
        <v>971</v>
      </c>
      <c r="K22" s="6" t="s">
        <v>837</v>
      </c>
      <c r="L22" s="6" t="s">
        <v>838</v>
      </c>
      <c r="M22" s="6" t="s">
        <v>871</v>
      </c>
      <c r="N22" s="12" t="s">
        <v>840</v>
      </c>
      <c r="O22" s="6" t="s">
        <v>841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972</v>
      </c>
    </row>
    <row r="23" customFormat="false" ht="35.05" hidden="false" customHeight="false" outlineLevel="0" collapsed="false">
      <c r="A23" s="6" t="s">
        <v>973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974</v>
      </c>
      <c r="F23" s="11" t="s">
        <v>975</v>
      </c>
      <c r="G23" s="6" t="s">
        <v>833</v>
      </c>
      <c r="H23" s="6" t="s">
        <v>926</v>
      </c>
      <c r="I23" s="6" t="s">
        <v>976</v>
      </c>
      <c r="J23" s="6" t="s">
        <v>977</v>
      </c>
      <c r="K23" s="6" t="s">
        <v>837</v>
      </c>
      <c r="L23" s="6" t="s">
        <v>948</v>
      </c>
      <c r="M23" s="6" t="s">
        <v>871</v>
      </c>
      <c r="N23" s="12" t="s">
        <v>840</v>
      </c>
      <c r="O23" s="6" t="s">
        <v>841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978</v>
      </c>
    </row>
    <row r="24" customFormat="false" ht="35.05" hidden="false" customHeight="false" outlineLevel="0" collapsed="false">
      <c r="A24" s="6" t="s">
        <v>979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980</v>
      </c>
      <c r="F24" s="11" t="s">
        <v>981</v>
      </c>
      <c r="G24" s="6" t="s">
        <v>833</v>
      </c>
      <c r="H24" s="6" t="s">
        <v>926</v>
      </c>
      <c r="I24" s="6" t="s">
        <v>982</v>
      </c>
      <c r="J24" s="6" t="s">
        <v>983</v>
      </c>
      <c r="K24" s="6" t="s">
        <v>837</v>
      </c>
      <c r="L24" s="6" t="s">
        <v>863</v>
      </c>
      <c r="M24" s="6" t="s">
        <v>871</v>
      </c>
      <c r="N24" s="12" t="s">
        <v>840</v>
      </c>
      <c r="O24" s="6" t="s">
        <v>841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984</v>
      </c>
    </row>
    <row r="25" customFormat="false" ht="23.85" hidden="false" customHeight="false" outlineLevel="0" collapsed="false">
      <c r="A25" s="6" t="s">
        <v>985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986</v>
      </c>
      <c r="F25" s="11" t="s">
        <v>987</v>
      </c>
      <c r="G25" s="6" t="s">
        <v>988</v>
      </c>
      <c r="H25" s="6" t="s">
        <v>989</v>
      </c>
      <c r="I25" s="6" t="s">
        <v>836</v>
      </c>
      <c r="J25" s="6" t="s">
        <v>990</v>
      </c>
      <c r="K25" s="6" t="s">
        <v>837</v>
      </c>
      <c r="L25" s="6" t="s">
        <v>838</v>
      </c>
      <c r="M25" s="6" t="s">
        <v>871</v>
      </c>
      <c r="N25" s="12" t="s">
        <v>840</v>
      </c>
      <c r="O25" s="6" t="s">
        <v>841</v>
      </c>
      <c r="P25" s="6" t="s">
        <v>2</v>
      </c>
      <c r="Q25" s="6" t="s">
        <v>991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992</v>
      </c>
    </row>
    <row r="26" customFormat="false" ht="35.05" hidden="false" customHeight="false" outlineLevel="0" collapsed="false">
      <c r="A26" s="6" t="s">
        <v>993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994</v>
      </c>
      <c r="F26" s="11" t="s">
        <v>995</v>
      </c>
      <c r="G26" s="6" t="s">
        <v>833</v>
      </c>
      <c r="H26" s="6" t="s">
        <v>926</v>
      </c>
      <c r="I26" s="6" t="s">
        <v>996</v>
      </c>
      <c r="J26" s="6" t="s">
        <v>997</v>
      </c>
      <c r="K26" s="6" t="s">
        <v>837</v>
      </c>
      <c r="L26" s="6" t="s">
        <v>863</v>
      </c>
      <c r="M26" s="6" t="s">
        <v>871</v>
      </c>
      <c r="N26" s="12" t="s">
        <v>840</v>
      </c>
      <c r="O26" s="6" t="s">
        <v>841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998</v>
      </c>
    </row>
    <row r="27" customFormat="false" ht="35.05" hidden="false" customHeight="false" outlineLevel="0" collapsed="false">
      <c r="A27" s="6" t="s">
        <v>999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1000</v>
      </c>
      <c r="F27" s="11" t="s">
        <v>1001</v>
      </c>
      <c r="G27" s="6" t="s">
        <v>833</v>
      </c>
      <c r="H27" s="6" t="s">
        <v>926</v>
      </c>
      <c r="I27" s="6" t="s">
        <v>1002</v>
      </c>
      <c r="J27" s="6" t="s">
        <v>1003</v>
      </c>
      <c r="K27" s="6" t="s">
        <v>837</v>
      </c>
      <c r="L27" s="6" t="s">
        <v>863</v>
      </c>
      <c r="M27" s="6" t="s">
        <v>871</v>
      </c>
      <c r="N27" s="12" t="s">
        <v>840</v>
      </c>
      <c r="O27" s="6" t="s">
        <v>841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1004</v>
      </c>
    </row>
    <row r="28" customFormat="false" ht="35.05" hidden="false" customHeight="false" outlineLevel="0" collapsed="false">
      <c r="A28" s="6" t="s">
        <v>1005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1006</v>
      </c>
      <c r="F28" s="11" t="s">
        <v>1007</v>
      </c>
      <c r="G28" s="6" t="s">
        <v>833</v>
      </c>
      <c r="H28" s="6" t="s">
        <v>926</v>
      </c>
      <c r="I28" s="6" t="s">
        <v>836</v>
      </c>
      <c r="J28" s="6" t="s">
        <v>1008</v>
      </c>
      <c r="K28" s="6" t="s">
        <v>837</v>
      </c>
      <c r="L28" s="6" t="s">
        <v>863</v>
      </c>
      <c r="M28" s="6" t="s">
        <v>871</v>
      </c>
      <c r="N28" s="12" t="s">
        <v>840</v>
      </c>
      <c r="O28" s="6" t="s">
        <v>841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1009</v>
      </c>
    </row>
    <row r="29" customFormat="false" ht="46.25" hidden="false" customHeight="false" outlineLevel="0" collapsed="false">
      <c r="A29" s="6" t="s">
        <v>1010</v>
      </c>
      <c r="B29" s="6" t="s">
        <v>66</v>
      </c>
      <c r="C29" s="6" t="s">
        <v>1011</v>
      </c>
      <c r="D29" s="6" t="str">
        <f aca="false">IFERROR(INDEX(Mundarija!$D:$D,MATCH(B29,Mundarija!$A:$A,0)),"kod topilmadi")</f>
        <v>2.5. B-rejim, M-rejim va tasvirni qayta ishlash.</v>
      </c>
      <c r="E29" s="6" t="s">
        <v>1012</v>
      </c>
      <c r="F29" s="11" t="s">
        <v>1013</v>
      </c>
      <c r="G29" s="6" t="s">
        <v>833</v>
      </c>
      <c r="H29" s="6" t="s">
        <v>926</v>
      </c>
      <c r="I29" s="6" t="s">
        <v>1014</v>
      </c>
      <c r="J29" s="6" t="s">
        <v>1015</v>
      </c>
      <c r="K29" s="6" t="s">
        <v>837</v>
      </c>
      <c r="L29" s="6" t="s">
        <v>863</v>
      </c>
      <c r="M29" s="6" t="s">
        <v>871</v>
      </c>
      <c r="N29" s="12" t="s">
        <v>840</v>
      </c>
      <c r="O29" s="6" t="s">
        <v>841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1016</v>
      </c>
    </row>
    <row r="30" customFormat="false" ht="35.05" hidden="false" customHeight="false" outlineLevel="0" collapsed="false">
      <c r="A30" s="6" t="s">
        <v>1017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1018</v>
      </c>
      <c r="F30" s="11" t="s">
        <v>1019</v>
      </c>
      <c r="G30" s="6" t="s">
        <v>833</v>
      </c>
      <c r="H30" s="6" t="s">
        <v>926</v>
      </c>
      <c r="I30" s="6" t="s">
        <v>1020</v>
      </c>
      <c r="J30" s="6" t="s">
        <v>1021</v>
      </c>
      <c r="K30" s="6" t="s">
        <v>837</v>
      </c>
      <c r="L30" s="6" t="s">
        <v>863</v>
      </c>
      <c r="M30" s="6" t="s">
        <v>871</v>
      </c>
      <c r="N30" s="12" t="s">
        <v>840</v>
      </c>
      <c r="O30" s="6" t="s">
        <v>841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1022</v>
      </c>
    </row>
    <row r="31" customFormat="false" ht="35.05" hidden="false" customHeight="false" outlineLevel="0" collapsed="false">
      <c r="A31" s="6" t="s">
        <v>1023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1024</v>
      </c>
      <c r="F31" s="11" t="s">
        <v>1025</v>
      </c>
      <c r="G31" s="6" t="s">
        <v>833</v>
      </c>
      <c r="H31" s="6" t="s">
        <v>926</v>
      </c>
      <c r="I31" s="6" t="s">
        <v>1026</v>
      </c>
      <c r="J31" s="6" t="s">
        <v>1021</v>
      </c>
      <c r="K31" s="6" t="s">
        <v>837</v>
      </c>
      <c r="L31" s="6" t="s">
        <v>863</v>
      </c>
      <c r="M31" s="6" t="s">
        <v>871</v>
      </c>
      <c r="N31" s="12" t="s">
        <v>840</v>
      </c>
      <c r="O31" s="6" t="s">
        <v>841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1027</v>
      </c>
    </row>
    <row r="32" customFormat="false" ht="35.05" hidden="false" customHeight="false" outlineLevel="0" collapsed="false">
      <c r="A32" s="6" t="s">
        <v>1028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1029</v>
      </c>
      <c r="F32" s="11" t="s">
        <v>1030</v>
      </c>
      <c r="G32" s="6" t="s">
        <v>1031</v>
      </c>
      <c r="H32" s="6" t="s">
        <v>1032</v>
      </c>
      <c r="I32" s="6" t="s">
        <v>1033</v>
      </c>
      <c r="J32" s="6" t="s">
        <v>1034</v>
      </c>
      <c r="K32" s="6" t="s">
        <v>837</v>
      </c>
      <c r="L32" s="6" t="s">
        <v>838</v>
      </c>
      <c r="M32" s="6" t="s">
        <v>850</v>
      </c>
      <c r="N32" s="12" t="s">
        <v>840</v>
      </c>
      <c r="O32" s="6" t="s">
        <v>841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1035</v>
      </c>
    </row>
    <row r="33" customFormat="false" ht="23.85" hidden="false" customHeight="false" outlineLevel="0" collapsed="false">
      <c r="A33" s="6" t="s">
        <v>1036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1037</v>
      </c>
      <c r="F33" s="11" t="s">
        <v>1038</v>
      </c>
      <c r="G33" s="6" t="s">
        <v>938</v>
      </c>
      <c r="H33" s="6" t="s">
        <v>939</v>
      </c>
      <c r="I33" s="6" t="s">
        <v>836</v>
      </c>
      <c r="J33" s="6" t="s">
        <v>1039</v>
      </c>
      <c r="K33" s="6" t="s">
        <v>837</v>
      </c>
      <c r="L33" s="6" t="s">
        <v>838</v>
      </c>
      <c r="M33" s="6" t="s">
        <v>850</v>
      </c>
      <c r="N33" s="12" t="s">
        <v>840</v>
      </c>
      <c r="O33" s="6" t="s">
        <v>841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1040</v>
      </c>
    </row>
    <row r="34" customFormat="false" ht="23.85" hidden="false" customHeight="false" outlineLevel="0" collapsed="false">
      <c r="A34" s="6" t="s">
        <v>1041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1042</v>
      </c>
      <c r="F34" s="11" t="s">
        <v>1043</v>
      </c>
      <c r="G34" s="6" t="s">
        <v>1044</v>
      </c>
      <c r="H34" s="6" t="s">
        <v>1045</v>
      </c>
      <c r="I34" s="6" t="s">
        <v>1046</v>
      </c>
      <c r="J34" s="6" t="s">
        <v>1047</v>
      </c>
      <c r="K34" s="6" t="s">
        <v>837</v>
      </c>
      <c r="L34" s="6" t="s">
        <v>838</v>
      </c>
      <c r="M34" s="6" t="s">
        <v>850</v>
      </c>
      <c r="N34" s="12" t="s">
        <v>840</v>
      </c>
      <c r="O34" s="6" t="s">
        <v>841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1040</v>
      </c>
    </row>
    <row r="35" customFormat="false" ht="23.85" hidden="false" customHeight="false" outlineLevel="0" collapsed="false">
      <c r="A35" s="6" t="s">
        <v>1048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1049</v>
      </c>
      <c r="F35" s="11" t="s">
        <v>1050</v>
      </c>
      <c r="G35" s="6" t="s">
        <v>938</v>
      </c>
      <c r="H35" s="6" t="s">
        <v>939</v>
      </c>
      <c r="I35" s="6" t="s">
        <v>1051</v>
      </c>
      <c r="J35" s="6" t="s">
        <v>1052</v>
      </c>
      <c r="K35" s="6" t="s">
        <v>837</v>
      </c>
      <c r="L35" s="6" t="s">
        <v>838</v>
      </c>
      <c r="M35" s="6" t="s">
        <v>850</v>
      </c>
      <c r="N35" s="12" t="s">
        <v>840</v>
      </c>
      <c r="O35" s="6" t="s">
        <v>841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1053</v>
      </c>
    </row>
    <row r="36" customFormat="false" ht="23.85" hidden="false" customHeight="false" outlineLevel="0" collapsed="false">
      <c r="A36" s="6" t="s">
        <v>1054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1055</v>
      </c>
      <c r="F36" s="11" t="s">
        <v>1056</v>
      </c>
      <c r="G36" s="6" t="s">
        <v>833</v>
      </c>
      <c r="H36" s="6" t="s">
        <v>926</v>
      </c>
      <c r="I36" s="6" t="s">
        <v>1057</v>
      </c>
      <c r="J36" s="6" t="s">
        <v>1058</v>
      </c>
      <c r="K36" s="6" t="s">
        <v>837</v>
      </c>
      <c r="L36" s="6" t="s">
        <v>863</v>
      </c>
      <c r="M36" s="6" t="s">
        <v>871</v>
      </c>
      <c r="N36" s="12" t="s">
        <v>840</v>
      </c>
      <c r="O36" s="6" t="s">
        <v>841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1059</v>
      </c>
    </row>
    <row r="37" customFormat="false" ht="23.85" hidden="false" customHeight="false" outlineLevel="0" collapsed="false">
      <c r="A37" s="6" t="s">
        <v>1060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1061</v>
      </c>
      <c r="F37" s="11" t="s">
        <v>1062</v>
      </c>
      <c r="G37" s="6" t="s">
        <v>938</v>
      </c>
      <c r="H37" s="6" t="s">
        <v>939</v>
      </c>
      <c r="I37" s="6" t="s">
        <v>836</v>
      </c>
      <c r="J37" s="6" t="s">
        <v>1039</v>
      </c>
      <c r="K37" s="6" t="s">
        <v>837</v>
      </c>
      <c r="L37" s="6" t="s">
        <v>838</v>
      </c>
      <c r="M37" s="6" t="s">
        <v>871</v>
      </c>
      <c r="N37" s="12" t="s">
        <v>840</v>
      </c>
      <c r="O37" s="6" t="s">
        <v>841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1063</v>
      </c>
    </row>
    <row r="38" customFormat="false" ht="35.05" hidden="false" customHeight="false" outlineLevel="0" collapsed="false">
      <c r="A38" s="6" t="s">
        <v>1064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1065</v>
      </c>
      <c r="F38" s="11" t="s">
        <v>1066</v>
      </c>
      <c r="G38" s="6" t="s">
        <v>833</v>
      </c>
      <c r="H38" s="6" t="s">
        <v>926</v>
      </c>
      <c r="I38" s="6" t="s">
        <v>1067</v>
      </c>
      <c r="J38" s="6" t="s">
        <v>1068</v>
      </c>
      <c r="K38" s="6" t="s">
        <v>837</v>
      </c>
      <c r="L38" s="6" t="s">
        <v>863</v>
      </c>
      <c r="M38" s="6" t="s">
        <v>871</v>
      </c>
      <c r="N38" s="12" t="s">
        <v>840</v>
      </c>
      <c r="O38" s="6" t="s">
        <v>841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1069</v>
      </c>
    </row>
    <row r="39" customFormat="false" ht="23.85" hidden="false" customHeight="false" outlineLevel="0" collapsed="false">
      <c r="A39" s="6" t="s">
        <v>1070</v>
      </c>
      <c r="B39" s="6" t="s">
        <v>84</v>
      </c>
      <c r="C39" s="6" t="s">
        <v>1071</v>
      </c>
      <c r="D39" s="6" t="str">
        <f aca="false">IFERROR(INDEX(Mundarija!$D:$D,MATCH(B39,Mundarija!$A:$A,0)),"kod topilmadi")</f>
        <v>3.6. Texnik xatolar va tasvir sifatini nazorat qilish.</v>
      </c>
      <c r="E39" s="6" t="s">
        <v>1072</v>
      </c>
      <c r="F39" s="11" t="s">
        <v>1073</v>
      </c>
      <c r="G39" s="6" t="s">
        <v>833</v>
      </c>
      <c r="H39" s="6" t="s">
        <v>926</v>
      </c>
      <c r="I39" s="6" t="s">
        <v>1074</v>
      </c>
      <c r="J39" s="6" t="s">
        <v>1075</v>
      </c>
      <c r="K39" s="6" t="s">
        <v>837</v>
      </c>
      <c r="L39" s="6" t="s">
        <v>863</v>
      </c>
      <c r="M39" s="6" t="s">
        <v>871</v>
      </c>
      <c r="N39" s="12" t="s">
        <v>840</v>
      </c>
      <c r="O39" s="6" t="s">
        <v>841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1076</v>
      </c>
    </row>
    <row r="40" customFormat="false" ht="23.85" hidden="false" customHeight="false" outlineLevel="0" collapsed="false">
      <c r="A40" s="6" t="s">
        <v>1077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1078</v>
      </c>
      <c r="F40" s="11" t="s">
        <v>1079</v>
      </c>
      <c r="G40" s="6" t="s">
        <v>1080</v>
      </c>
      <c r="H40" s="6" t="s">
        <v>1081</v>
      </c>
      <c r="I40" s="6" t="s">
        <v>836</v>
      </c>
      <c r="J40" s="6" t="s">
        <v>1082</v>
      </c>
      <c r="K40" s="6" t="s">
        <v>837</v>
      </c>
      <c r="L40" s="6" t="s">
        <v>838</v>
      </c>
      <c r="M40" s="6" t="s">
        <v>850</v>
      </c>
      <c r="N40" s="12" t="s">
        <v>840</v>
      </c>
      <c r="O40" s="6" t="s">
        <v>841</v>
      </c>
      <c r="P40" s="6" t="s">
        <v>2</v>
      </c>
      <c r="Q40" s="6" t="s">
        <v>991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992</v>
      </c>
    </row>
    <row r="41" customFormat="false" ht="23.85" hidden="false" customHeight="false" outlineLevel="0" collapsed="false">
      <c r="A41" s="6" t="s">
        <v>1083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1084</v>
      </c>
      <c r="F41" s="11" t="s">
        <v>1085</v>
      </c>
      <c r="G41" s="6" t="s">
        <v>1080</v>
      </c>
      <c r="H41" s="6" t="s">
        <v>1081</v>
      </c>
      <c r="I41" s="6" t="s">
        <v>836</v>
      </c>
      <c r="J41" s="6" t="s">
        <v>1086</v>
      </c>
      <c r="K41" s="6" t="s">
        <v>837</v>
      </c>
      <c r="L41" s="6" t="s">
        <v>838</v>
      </c>
      <c r="M41" s="6" t="s">
        <v>850</v>
      </c>
      <c r="N41" s="12" t="s">
        <v>840</v>
      </c>
      <c r="O41" s="6" t="s">
        <v>841</v>
      </c>
      <c r="P41" s="6" t="s">
        <v>2</v>
      </c>
      <c r="Q41" s="6" t="s">
        <v>991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992</v>
      </c>
    </row>
    <row r="42" customFormat="false" ht="23.85" hidden="false" customHeight="false" outlineLevel="0" collapsed="false">
      <c r="A42" s="6" t="s">
        <v>1087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1088</v>
      </c>
      <c r="F42" s="11" t="s">
        <v>1089</v>
      </c>
      <c r="G42" s="6" t="s">
        <v>1090</v>
      </c>
      <c r="H42" s="6" t="s">
        <v>1091</v>
      </c>
      <c r="I42" s="6" t="s">
        <v>836</v>
      </c>
      <c r="J42" s="6" t="s">
        <v>1092</v>
      </c>
      <c r="K42" s="6" t="s">
        <v>837</v>
      </c>
      <c r="L42" s="6" t="s">
        <v>863</v>
      </c>
      <c r="M42" s="6" t="s">
        <v>871</v>
      </c>
      <c r="N42" s="12" t="s">
        <v>840</v>
      </c>
      <c r="O42" s="6" t="s">
        <v>841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1093</v>
      </c>
    </row>
    <row r="43" customFormat="false" ht="23.85" hidden="false" customHeight="false" outlineLevel="0" collapsed="false">
      <c r="A43" s="6" t="s">
        <v>1094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1095</v>
      </c>
      <c r="F43" s="11" t="s">
        <v>1096</v>
      </c>
      <c r="G43" s="6" t="s">
        <v>1097</v>
      </c>
      <c r="H43" s="6" t="s">
        <v>869</v>
      </c>
      <c r="I43" s="6" t="s">
        <v>836</v>
      </c>
      <c r="J43" s="6" t="s">
        <v>1098</v>
      </c>
      <c r="K43" s="6" t="s">
        <v>837</v>
      </c>
      <c r="L43" s="6" t="s">
        <v>863</v>
      </c>
      <c r="M43" s="6" t="s">
        <v>850</v>
      </c>
      <c r="N43" s="12" t="s">
        <v>840</v>
      </c>
      <c r="O43" s="6" t="s">
        <v>841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1099</v>
      </c>
    </row>
    <row r="44" customFormat="false" ht="35.05" hidden="false" customHeight="false" outlineLevel="0" collapsed="false">
      <c r="A44" s="6" t="s">
        <v>1100</v>
      </c>
      <c r="B44" s="6" t="s">
        <v>107</v>
      </c>
      <c r="C44" s="6" t="s">
        <v>1101</v>
      </c>
      <c r="D44" s="6" t="str">
        <f aca="false">IFERROR(INDEX(Mundarija!$D:$D,MATCH(B44,Mundarija!$A:$A,0)),"kod topilmadi")</f>
        <v>5.4. PRF, scale, wall filter, gain va sample volume.</v>
      </c>
      <c r="E44" s="6" t="s">
        <v>1102</v>
      </c>
      <c r="F44" s="11" t="s">
        <v>1103</v>
      </c>
      <c r="G44" s="6" t="s">
        <v>833</v>
      </c>
      <c r="H44" s="6" t="s">
        <v>926</v>
      </c>
      <c r="I44" s="6" t="s">
        <v>1104</v>
      </c>
      <c r="J44" s="6" t="s">
        <v>1105</v>
      </c>
      <c r="K44" s="6" t="s">
        <v>837</v>
      </c>
      <c r="L44" s="6" t="s">
        <v>863</v>
      </c>
      <c r="M44" s="6" t="s">
        <v>850</v>
      </c>
      <c r="N44" s="12" t="s">
        <v>840</v>
      </c>
      <c r="O44" s="6" t="s">
        <v>841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1106</v>
      </c>
    </row>
    <row r="45" customFormat="false" ht="35.05" hidden="false" customHeight="false" outlineLevel="0" collapsed="false">
      <c r="A45" s="6" t="s">
        <v>1107</v>
      </c>
      <c r="B45" s="6" t="s">
        <v>100</v>
      </c>
      <c r="C45" s="6" t="s">
        <v>1108</v>
      </c>
      <c r="D45" s="6" t="str">
        <f aca="false">IFERROR(INDEX(Mundarija!$D:$D,MATCH(B45,Mundarija!$A:$A,0)),"kod topilmadi")</f>
        <v>5.1. Doppler effekti va Doppler tenglamasi.</v>
      </c>
      <c r="E45" s="6" t="s">
        <v>1109</v>
      </c>
      <c r="F45" s="11" t="s">
        <v>1110</v>
      </c>
      <c r="G45" s="6" t="s">
        <v>833</v>
      </c>
      <c r="H45" s="6" t="s">
        <v>926</v>
      </c>
      <c r="I45" s="6" t="s">
        <v>1111</v>
      </c>
      <c r="J45" s="6" t="s">
        <v>1112</v>
      </c>
      <c r="K45" s="6" t="s">
        <v>837</v>
      </c>
      <c r="L45" s="6" t="s">
        <v>863</v>
      </c>
      <c r="M45" s="6" t="s">
        <v>871</v>
      </c>
      <c r="N45" s="12" t="s">
        <v>840</v>
      </c>
      <c r="O45" s="6" t="s">
        <v>841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1113</v>
      </c>
    </row>
    <row r="46" customFormat="false" ht="35.05" hidden="false" customHeight="false" outlineLevel="0" collapsed="false">
      <c r="A46" s="6" t="s">
        <v>1114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1115</v>
      </c>
      <c r="F46" s="11" t="s">
        <v>1116</v>
      </c>
      <c r="G46" s="6" t="s">
        <v>1117</v>
      </c>
      <c r="H46" s="6" t="s">
        <v>1118</v>
      </c>
      <c r="I46" s="6" t="s">
        <v>836</v>
      </c>
      <c r="J46" s="6" t="s">
        <v>1119</v>
      </c>
      <c r="K46" s="6" t="s">
        <v>837</v>
      </c>
      <c r="L46" s="6" t="s">
        <v>838</v>
      </c>
      <c r="M46" s="6" t="s">
        <v>850</v>
      </c>
      <c r="N46" s="12" t="s">
        <v>840</v>
      </c>
      <c r="O46" s="6" t="s">
        <v>841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1120</v>
      </c>
    </row>
    <row r="47" customFormat="false" ht="23.85" hidden="false" customHeight="false" outlineLevel="0" collapsed="false">
      <c r="A47" s="6" t="s">
        <v>1121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1122</v>
      </c>
      <c r="F47" s="11" t="s">
        <v>1123</v>
      </c>
      <c r="G47" s="6" t="s">
        <v>1124</v>
      </c>
      <c r="H47" s="6" t="s">
        <v>847</v>
      </c>
      <c r="I47" s="6" t="s">
        <v>1125</v>
      </c>
      <c r="J47" s="6" t="s">
        <v>1126</v>
      </c>
      <c r="K47" s="6" t="s">
        <v>837</v>
      </c>
      <c r="L47" s="6" t="s">
        <v>838</v>
      </c>
      <c r="M47" s="6" t="s">
        <v>871</v>
      </c>
      <c r="N47" s="12" t="s">
        <v>840</v>
      </c>
      <c r="O47" s="6" t="s">
        <v>841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1127</v>
      </c>
    </row>
    <row r="48" customFormat="false" ht="23.85" hidden="false" customHeight="false" outlineLevel="0" collapsed="false">
      <c r="A48" s="6" t="s">
        <v>1128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1129</v>
      </c>
      <c r="F48" s="11" t="s">
        <v>1130</v>
      </c>
      <c r="G48" s="6" t="s">
        <v>833</v>
      </c>
      <c r="H48" s="6" t="s">
        <v>926</v>
      </c>
      <c r="I48" s="6" t="s">
        <v>1131</v>
      </c>
      <c r="J48" s="6" t="s">
        <v>1132</v>
      </c>
      <c r="K48" s="6" t="s">
        <v>837</v>
      </c>
      <c r="L48" s="6" t="s">
        <v>863</v>
      </c>
      <c r="M48" s="6" t="s">
        <v>871</v>
      </c>
      <c r="N48" s="12" t="s">
        <v>840</v>
      </c>
      <c r="O48" s="6" t="s">
        <v>841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1133</v>
      </c>
    </row>
    <row r="49" customFormat="false" ht="35.05" hidden="false" customHeight="false" outlineLevel="0" collapsed="false">
      <c r="A49" s="6" t="s">
        <v>1134</v>
      </c>
      <c r="B49" s="6" t="s">
        <v>116</v>
      </c>
      <c r="C49" s="6" t="s">
        <v>1135</v>
      </c>
      <c r="D49" s="6" t="str">
        <f aca="false">IFERROR(INDEX(Mundarija!$D:$D,MATCH(B49,Mundarija!$A:$A,0)),"kod topilmadi")</f>
        <v>6.1. Ultratovushning termal va mexanik bioeffektlari.</v>
      </c>
      <c r="E49" s="6" t="s">
        <v>1136</v>
      </c>
      <c r="F49" s="11" t="s">
        <v>1137</v>
      </c>
      <c r="G49" s="6" t="s">
        <v>1138</v>
      </c>
      <c r="H49" s="6" t="s">
        <v>1139</v>
      </c>
      <c r="I49" s="6" t="s">
        <v>836</v>
      </c>
      <c r="J49" s="6" t="s">
        <v>1140</v>
      </c>
      <c r="K49" s="6" t="s">
        <v>837</v>
      </c>
      <c r="L49" s="6" t="s">
        <v>863</v>
      </c>
      <c r="M49" s="6" t="s">
        <v>871</v>
      </c>
      <c r="N49" s="12" t="s">
        <v>840</v>
      </c>
      <c r="O49" s="6" t="s">
        <v>841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1141</v>
      </c>
    </row>
    <row r="50" customFormat="false" ht="35.05" hidden="false" customHeight="false" outlineLevel="0" collapsed="false">
      <c r="A50" s="6" t="s">
        <v>1142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1143</v>
      </c>
      <c r="F50" s="11" t="s">
        <v>1144</v>
      </c>
      <c r="G50" s="6" t="s">
        <v>1097</v>
      </c>
      <c r="H50" s="6" t="s">
        <v>869</v>
      </c>
      <c r="I50" s="6" t="s">
        <v>836</v>
      </c>
      <c r="J50" s="6" t="s">
        <v>1145</v>
      </c>
      <c r="K50" s="6" t="s">
        <v>837</v>
      </c>
      <c r="L50" s="6" t="s">
        <v>838</v>
      </c>
      <c r="M50" s="6" t="s">
        <v>850</v>
      </c>
      <c r="N50" s="12" t="s">
        <v>840</v>
      </c>
      <c r="O50" s="6" t="s">
        <v>841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1146</v>
      </c>
    </row>
    <row r="51" customFormat="false" ht="35.05" hidden="false" customHeight="false" outlineLevel="0" collapsed="false">
      <c r="A51" s="6" t="s">
        <v>1147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1148</v>
      </c>
      <c r="F51" s="11" t="s">
        <v>1149</v>
      </c>
      <c r="G51" s="6" t="s">
        <v>833</v>
      </c>
      <c r="H51" s="6" t="s">
        <v>926</v>
      </c>
      <c r="I51" s="6" t="s">
        <v>1150</v>
      </c>
      <c r="J51" s="6" t="s">
        <v>1021</v>
      </c>
      <c r="K51" s="6" t="s">
        <v>837</v>
      </c>
      <c r="L51" s="6" t="s">
        <v>863</v>
      </c>
      <c r="M51" s="6" t="s">
        <v>871</v>
      </c>
      <c r="N51" s="12" t="s">
        <v>840</v>
      </c>
      <c r="O51" s="6" t="s">
        <v>841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1151</v>
      </c>
    </row>
    <row r="52" customFormat="false" ht="23.85" hidden="false" customHeight="false" outlineLevel="0" collapsed="false">
      <c r="A52" s="6" t="s">
        <v>1152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1153</v>
      </c>
      <c r="F52" s="11" t="s">
        <v>1154</v>
      </c>
      <c r="G52" s="6" t="s">
        <v>1097</v>
      </c>
      <c r="H52" s="6" t="s">
        <v>869</v>
      </c>
      <c r="I52" s="6" t="s">
        <v>836</v>
      </c>
      <c r="J52" s="6" t="s">
        <v>836</v>
      </c>
      <c r="K52" s="6" t="s">
        <v>837</v>
      </c>
      <c r="L52" s="6" t="s">
        <v>838</v>
      </c>
      <c r="M52" s="6" t="s">
        <v>850</v>
      </c>
      <c r="N52" s="12" t="s">
        <v>840</v>
      </c>
      <c r="O52" s="6" t="s">
        <v>841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1155</v>
      </c>
    </row>
    <row r="53" customFormat="false" ht="23.85" hidden="false" customHeight="false" outlineLevel="0" collapsed="false">
      <c r="A53" s="6" t="s">
        <v>1156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1157</v>
      </c>
      <c r="F53" s="11" t="s">
        <v>1158</v>
      </c>
      <c r="G53" s="6" t="s">
        <v>1097</v>
      </c>
      <c r="H53" s="6" t="s">
        <v>869</v>
      </c>
      <c r="I53" s="6" t="s">
        <v>836</v>
      </c>
      <c r="J53" s="6" t="s">
        <v>836</v>
      </c>
      <c r="K53" s="6" t="s">
        <v>837</v>
      </c>
      <c r="L53" s="6" t="s">
        <v>838</v>
      </c>
      <c r="M53" s="6" t="s">
        <v>850</v>
      </c>
      <c r="N53" s="12" t="s">
        <v>840</v>
      </c>
      <c r="O53" s="6" t="s">
        <v>841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1155</v>
      </c>
    </row>
    <row r="54" customFormat="false" ht="23.85" hidden="false" customHeight="false" outlineLevel="0" collapsed="false">
      <c r="A54" s="6" t="s">
        <v>1159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1160</v>
      </c>
      <c r="F54" s="11" t="s">
        <v>1161</v>
      </c>
      <c r="G54" s="6" t="s">
        <v>1162</v>
      </c>
      <c r="H54" s="6" t="s">
        <v>1163</v>
      </c>
      <c r="I54" s="6" t="s">
        <v>836</v>
      </c>
      <c r="J54" s="6" t="s">
        <v>836</v>
      </c>
      <c r="K54" s="6" t="s">
        <v>837</v>
      </c>
      <c r="L54" s="6" t="s">
        <v>838</v>
      </c>
      <c r="M54" s="6" t="s">
        <v>850</v>
      </c>
      <c r="N54" s="12" t="s">
        <v>840</v>
      </c>
      <c r="O54" s="6" t="s">
        <v>841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1164</v>
      </c>
    </row>
    <row r="55" customFormat="false" ht="23.85" hidden="false" customHeight="false" outlineLevel="0" collapsed="false">
      <c r="A55" s="6" t="s">
        <v>1165</v>
      </c>
      <c r="B55" s="6" t="s">
        <v>98</v>
      </c>
      <c r="C55" s="6" t="s">
        <v>1166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1167</v>
      </c>
      <c r="F55" s="11" t="s">
        <v>1168</v>
      </c>
      <c r="G55" s="6" t="s">
        <v>1169</v>
      </c>
      <c r="H55" s="6" t="s">
        <v>869</v>
      </c>
      <c r="I55" s="6" t="s">
        <v>836</v>
      </c>
      <c r="J55" s="6" t="s">
        <v>836</v>
      </c>
      <c r="K55" s="6" t="s">
        <v>837</v>
      </c>
      <c r="L55" s="6" t="s">
        <v>838</v>
      </c>
      <c r="M55" s="6" t="s">
        <v>871</v>
      </c>
      <c r="N55" s="12" t="s">
        <v>840</v>
      </c>
      <c r="O55" s="6" t="s">
        <v>841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1093</v>
      </c>
    </row>
    <row r="56" customFormat="false" ht="35.05" hidden="false" customHeight="false" outlineLevel="0" collapsed="false">
      <c r="A56" s="6" t="s">
        <v>1170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1171</v>
      </c>
      <c r="F56" s="11" t="s">
        <v>1172</v>
      </c>
      <c r="G56" s="6" t="s">
        <v>1173</v>
      </c>
      <c r="H56" s="6" t="s">
        <v>939</v>
      </c>
      <c r="I56" s="6" t="s">
        <v>836</v>
      </c>
      <c r="J56" s="6" t="s">
        <v>836</v>
      </c>
      <c r="K56" s="6" t="s">
        <v>837</v>
      </c>
      <c r="L56" s="6" t="s">
        <v>863</v>
      </c>
      <c r="M56" s="6" t="s">
        <v>871</v>
      </c>
      <c r="N56" s="12" t="s">
        <v>840</v>
      </c>
      <c r="O56" s="6" t="s">
        <v>841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1093</v>
      </c>
    </row>
    <row r="57" customFormat="false" ht="23.85" hidden="false" customHeight="false" outlineLevel="0" collapsed="false">
      <c r="A57" s="6" t="s">
        <v>1174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1175</v>
      </c>
      <c r="F57" s="11" t="s">
        <v>1176</v>
      </c>
      <c r="G57" s="6" t="s">
        <v>1177</v>
      </c>
      <c r="H57" s="6" t="s">
        <v>869</v>
      </c>
      <c r="I57" s="6" t="s">
        <v>836</v>
      </c>
      <c r="J57" s="6" t="s">
        <v>836</v>
      </c>
      <c r="K57" s="6" t="s">
        <v>837</v>
      </c>
      <c r="L57" s="6" t="s">
        <v>838</v>
      </c>
      <c r="M57" s="6" t="s">
        <v>871</v>
      </c>
      <c r="N57" s="12" t="s">
        <v>840</v>
      </c>
      <c r="O57" s="6" t="s">
        <v>841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1178</v>
      </c>
    </row>
    <row r="58" customFormat="false" ht="23.85" hidden="false" customHeight="false" outlineLevel="0" collapsed="false">
      <c r="A58" s="6" t="s">
        <v>1179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1180</v>
      </c>
      <c r="F58" s="11" t="s">
        <v>1181</v>
      </c>
      <c r="G58" s="6" t="s">
        <v>1182</v>
      </c>
      <c r="H58" s="6" t="s">
        <v>869</v>
      </c>
      <c r="I58" s="6" t="s">
        <v>836</v>
      </c>
      <c r="J58" s="6" t="s">
        <v>836</v>
      </c>
      <c r="K58" s="6" t="s">
        <v>837</v>
      </c>
      <c r="L58" s="6" t="s">
        <v>1183</v>
      </c>
      <c r="M58" s="6" t="s">
        <v>1183</v>
      </c>
      <c r="N58" s="12" t="s">
        <v>840</v>
      </c>
      <c r="O58" s="6" t="s">
        <v>841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1184</v>
      </c>
    </row>
    <row r="59" customFormat="false" ht="35.05" hidden="false" customHeight="false" outlineLevel="0" collapsed="false">
      <c r="A59" s="6" t="s">
        <v>1185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1186</v>
      </c>
      <c r="F59" s="11" t="s">
        <v>1187</v>
      </c>
      <c r="G59" s="6" t="s">
        <v>1188</v>
      </c>
      <c r="H59" s="6" t="s">
        <v>869</v>
      </c>
      <c r="I59" s="6" t="s">
        <v>836</v>
      </c>
      <c r="J59" s="6" t="s">
        <v>836</v>
      </c>
      <c r="K59" s="6" t="s">
        <v>837</v>
      </c>
      <c r="L59" s="6" t="s">
        <v>1183</v>
      </c>
      <c r="M59" s="6" t="s">
        <v>1183</v>
      </c>
      <c r="N59" s="12" t="s">
        <v>840</v>
      </c>
      <c r="O59" s="6" t="s">
        <v>841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1189</v>
      </c>
    </row>
    <row r="60" customFormat="false" ht="23.85" hidden="false" customHeight="false" outlineLevel="0" collapsed="false">
      <c r="A60" s="6" t="s">
        <v>1190</v>
      </c>
      <c r="B60" s="6" t="s">
        <v>183</v>
      </c>
      <c r="C60" s="6" t="s">
        <v>1191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1192</v>
      </c>
      <c r="F60" s="11" t="s">
        <v>1193</v>
      </c>
      <c r="G60" s="6" t="s">
        <v>1194</v>
      </c>
      <c r="H60" s="6" t="s">
        <v>869</v>
      </c>
      <c r="I60" s="6" t="s">
        <v>836</v>
      </c>
      <c r="J60" s="6" t="s">
        <v>836</v>
      </c>
      <c r="K60" s="6" t="s">
        <v>837</v>
      </c>
      <c r="L60" s="6" t="s">
        <v>1183</v>
      </c>
      <c r="M60" s="6" t="s">
        <v>1183</v>
      </c>
      <c r="N60" s="12" t="s">
        <v>840</v>
      </c>
      <c r="O60" s="6" t="s">
        <v>841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1195</v>
      </c>
    </row>
    <row r="61" customFormat="false" ht="23.85" hidden="false" customHeight="false" outlineLevel="0" collapsed="false">
      <c r="A61" s="6" t="s">
        <v>1196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1197</v>
      </c>
      <c r="F61" s="11" t="s">
        <v>1198</v>
      </c>
      <c r="G61" s="6" t="s">
        <v>1188</v>
      </c>
      <c r="H61" s="6" t="s">
        <v>869</v>
      </c>
      <c r="I61" s="6" t="s">
        <v>836</v>
      </c>
      <c r="J61" s="6" t="s">
        <v>836</v>
      </c>
      <c r="K61" s="6" t="s">
        <v>837</v>
      </c>
      <c r="L61" s="6" t="s">
        <v>1183</v>
      </c>
      <c r="M61" s="6" t="s">
        <v>1183</v>
      </c>
      <c r="N61" s="12" t="s">
        <v>840</v>
      </c>
      <c r="O61" s="6" t="s">
        <v>841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1199</v>
      </c>
    </row>
    <row r="62" customFormat="false" ht="23.85" hidden="false" customHeight="false" outlineLevel="0" collapsed="false">
      <c r="A62" s="6" t="s">
        <v>1200</v>
      </c>
      <c r="B62" s="6" t="s">
        <v>197</v>
      </c>
      <c r="C62" s="6" t="s">
        <v>1201</v>
      </c>
      <c r="D62" s="6" t="str">
        <f aca="false">IFERROR(INDEX(Mundarija!$D:$D,MATCH(B62,Mundarija!$A:$A,0)),"kod topilmadi")</f>
        <v>11.2. Xolelitiaz va xoledoxolitiaz.</v>
      </c>
      <c r="E62" s="6" t="s">
        <v>1202</v>
      </c>
      <c r="F62" s="11" t="s">
        <v>1203</v>
      </c>
      <c r="G62" s="6" t="s">
        <v>1204</v>
      </c>
      <c r="H62" s="6" t="s">
        <v>869</v>
      </c>
      <c r="I62" s="6" t="s">
        <v>836</v>
      </c>
      <c r="J62" s="6" t="s">
        <v>836</v>
      </c>
      <c r="K62" s="6" t="s">
        <v>837</v>
      </c>
      <c r="L62" s="6" t="s">
        <v>1183</v>
      </c>
      <c r="M62" s="6" t="s">
        <v>1183</v>
      </c>
      <c r="N62" s="12" t="s">
        <v>840</v>
      </c>
      <c r="O62" s="6" t="s">
        <v>841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1205</v>
      </c>
    </row>
    <row r="63" customFormat="false" ht="35.05" hidden="false" customHeight="false" outlineLevel="0" collapsed="false">
      <c r="A63" s="6" t="s">
        <v>1206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1207</v>
      </c>
      <c r="F63" s="11" t="s">
        <v>1208</v>
      </c>
      <c r="G63" s="6" t="s">
        <v>1182</v>
      </c>
      <c r="H63" s="6" t="s">
        <v>869</v>
      </c>
      <c r="I63" s="6" t="s">
        <v>836</v>
      </c>
      <c r="J63" s="6" t="s">
        <v>836</v>
      </c>
      <c r="K63" s="6" t="s">
        <v>837</v>
      </c>
      <c r="L63" s="6" t="s">
        <v>1183</v>
      </c>
      <c r="M63" s="6" t="s">
        <v>1183</v>
      </c>
      <c r="N63" s="12" t="s">
        <v>840</v>
      </c>
      <c r="O63" s="6" t="s">
        <v>841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1209</v>
      </c>
    </row>
    <row r="64" customFormat="false" ht="23.85" hidden="false" customHeight="false" outlineLevel="0" collapsed="false">
      <c r="A64" s="6" t="s">
        <v>1210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1211</v>
      </c>
      <c r="F64" s="11" t="s">
        <v>1212</v>
      </c>
      <c r="G64" s="6" t="s">
        <v>1182</v>
      </c>
      <c r="H64" s="6" t="s">
        <v>869</v>
      </c>
      <c r="I64" s="6" t="s">
        <v>836</v>
      </c>
      <c r="J64" s="6" t="s">
        <v>836</v>
      </c>
      <c r="K64" s="6" t="s">
        <v>837</v>
      </c>
      <c r="L64" s="6" t="s">
        <v>1183</v>
      </c>
      <c r="M64" s="6" t="s">
        <v>1183</v>
      </c>
      <c r="N64" s="12" t="s">
        <v>840</v>
      </c>
      <c r="O64" s="6" t="s">
        <v>841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1213</v>
      </c>
    </row>
    <row r="65" customFormat="false" ht="23.85" hidden="false" customHeight="false" outlineLevel="0" collapsed="false">
      <c r="A65" s="6" t="s">
        <v>1214</v>
      </c>
      <c r="B65" s="6" t="s">
        <v>223</v>
      </c>
      <c r="C65" s="6" t="s">
        <v>1215</v>
      </c>
      <c r="D65" s="6" t="str">
        <f aca="false">IFERROR(INDEX(Mundarija!$D:$D,MATCH(B65,Mundarija!$A:$A,0)),"kod topilmadi")</f>
        <v>13.1. Normal anatomiya va o‘lchamlari.</v>
      </c>
      <c r="E65" s="6" t="s">
        <v>1216</v>
      </c>
      <c r="F65" s="11" t="s">
        <v>1217</v>
      </c>
      <c r="G65" s="6" t="s">
        <v>1218</v>
      </c>
      <c r="H65" s="6" t="s">
        <v>869</v>
      </c>
      <c r="I65" s="6" t="s">
        <v>836</v>
      </c>
      <c r="J65" s="6" t="s">
        <v>836</v>
      </c>
      <c r="K65" s="6" t="s">
        <v>837</v>
      </c>
      <c r="L65" s="6" t="s">
        <v>1183</v>
      </c>
      <c r="M65" s="6" t="s">
        <v>1183</v>
      </c>
      <c r="N65" s="12" t="s">
        <v>840</v>
      </c>
      <c r="O65" s="6" t="s">
        <v>841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1219</v>
      </c>
    </row>
    <row r="66" customFormat="false" ht="23.85" hidden="false" customHeight="false" outlineLevel="0" collapsed="false">
      <c r="A66" s="6" t="s">
        <v>1220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1221</v>
      </c>
      <c r="F66" s="11" t="s">
        <v>1222</v>
      </c>
      <c r="G66" s="6" t="s">
        <v>1223</v>
      </c>
      <c r="H66" s="6" t="s">
        <v>869</v>
      </c>
      <c r="I66" s="6" t="s">
        <v>836</v>
      </c>
      <c r="J66" s="6" t="s">
        <v>836</v>
      </c>
      <c r="K66" s="6" t="s">
        <v>837</v>
      </c>
      <c r="L66" s="6" t="s">
        <v>1183</v>
      </c>
      <c r="M66" s="6" t="s">
        <v>1183</v>
      </c>
      <c r="N66" s="12" t="s">
        <v>840</v>
      </c>
      <c r="O66" s="6" t="s">
        <v>841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1224</v>
      </c>
    </row>
    <row r="67" customFormat="false" ht="23.85" hidden="false" customHeight="false" outlineLevel="0" collapsed="false">
      <c r="A67" s="6" t="s">
        <v>1225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1226</v>
      </c>
      <c r="F67" s="11" t="s">
        <v>1227</v>
      </c>
      <c r="G67" s="6" t="s">
        <v>1228</v>
      </c>
      <c r="H67" s="6" t="s">
        <v>869</v>
      </c>
      <c r="I67" s="6" t="s">
        <v>836</v>
      </c>
      <c r="J67" s="6" t="s">
        <v>836</v>
      </c>
      <c r="K67" s="6" t="s">
        <v>837</v>
      </c>
      <c r="L67" s="6" t="s">
        <v>1183</v>
      </c>
      <c r="M67" s="6" t="s">
        <v>1183</v>
      </c>
      <c r="N67" s="12" t="s">
        <v>840</v>
      </c>
      <c r="O67" s="6" t="s">
        <v>841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1229</v>
      </c>
    </row>
    <row r="68" customFormat="false" ht="23.85" hidden="false" customHeight="false" outlineLevel="0" collapsed="false">
      <c r="A68" s="6" t="s">
        <v>1230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1231</v>
      </c>
      <c r="F68" s="11" t="s">
        <v>1232</v>
      </c>
      <c r="G68" s="6" t="s">
        <v>1188</v>
      </c>
      <c r="H68" s="6" t="s">
        <v>869</v>
      </c>
      <c r="I68" s="6" t="s">
        <v>836</v>
      </c>
      <c r="J68" s="6" t="s">
        <v>836</v>
      </c>
      <c r="K68" s="6" t="s">
        <v>837</v>
      </c>
      <c r="L68" s="6" t="s">
        <v>1183</v>
      </c>
      <c r="M68" s="6" t="s">
        <v>1183</v>
      </c>
      <c r="N68" s="12" t="s">
        <v>840</v>
      </c>
      <c r="O68" s="6" t="s">
        <v>841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1233</v>
      </c>
    </row>
    <row r="69" customFormat="false" ht="23.85" hidden="false" customHeight="false" outlineLevel="0" collapsed="false">
      <c r="A69" s="6" t="s">
        <v>1234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1235</v>
      </c>
      <c r="F69" s="11" t="s">
        <v>1236</v>
      </c>
      <c r="G69" s="6" t="s">
        <v>1237</v>
      </c>
      <c r="H69" s="6" t="s">
        <v>869</v>
      </c>
      <c r="I69" s="6" t="s">
        <v>836</v>
      </c>
      <c r="J69" s="6" t="s">
        <v>836</v>
      </c>
      <c r="K69" s="6" t="s">
        <v>837</v>
      </c>
      <c r="L69" s="6" t="s">
        <v>1183</v>
      </c>
      <c r="M69" s="6" t="s">
        <v>1183</v>
      </c>
      <c r="N69" s="12" t="s">
        <v>840</v>
      </c>
      <c r="O69" s="6" t="s">
        <v>841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1238</v>
      </c>
    </row>
    <row r="70" customFormat="false" ht="23.85" hidden="false" customHeight="false" outlineLevel="0" collapsed="false">
      <c r="A70" s="6" t="s">
        <v>1239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1240</v>
      </c>
      <c r="F70" s="11" t="s">
        <v>1241</v>
      </c>
      <c r="G70" s="6" t="s">
        <v>1204</v>
      </c>
      <c r="H70" s="6" t="s">
        <v>869</v>
      </c>
      <c r="I70" s="6" t="s">
        <v>836</v>
      </c>
      <c r="J70" s="6" t="s">
        <v>836</v>
      </c>
      <c r="K70" s="6" t="s">
        <v>837</v>
      </c>
      <c r="L70" s="6" t="s">
        <v>1183</v>
      </c>
      <c r="M70" s="6" t="s">
        <v>1183</v>
      </c>
      <c r="N70" s="12" t="s">
        <v>840</v>
      </c>
      <c r="O70" s="6" t="s">
        <v>841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1242</v>
      </c>
    </row>
    <row r="71" customFormat="false" ht="23.85" hidden="false" customHeight="false" outlineLevel="0" collapsed="false">
      <c r="A71" s="6" t="s">
        <v>1243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1244</v>
      </c>
      <c r="F71" s="11" t="s">
        <v>1245</v>
      </c>
      <c r="G71" s="6" t="s">
        <v>1246</v>
      </c>
      <c r="H71" s="6" t="s">
        <v>869</v>
      </c>
      <c r="I71" s="6" t="s">
        <v>836</v>
      </c>
      <c r="J71" s="6" t="s">
        <v>836</v>
      </c>
      <c r="K71" s="6" t="s">
        <v>837</v>
      </c>
      <c r="L71" s="6" t="s">
        <v>1183</v>
      </c>
      <c r="M71" s="6" t="s">
        <v>1183</v>
      </c>
      <c r="N71" s="12" t="s">
        <v>840</v>
      </c>
      <c r="O71" s="6" t="s">
        <v>841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1247</v>
      </c>
    </row>
    <row r="72" customFormat="false" ht="23.85" hidden="false" customHeight="false" outlineLevel="0" collapsed="false">
      <c r="A72" s="6" t="s">
        <v>1248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1249</v>
      </c>
      <c r="F72" s="11" t="s">
        <v>1250</v>
      </c>
      <c r="G72" s="6" t="s">
        <v>1228</v>
      </c>
      <c r="H72" s="6" t="s">
        <v>869</v>
      </c>
      <c r="I72" s="6" t="s">
        <v>836</v>
      </c>
      <c r="J72" s="6" t="s">
        <v>836</v>
      </c>
      <c r="K72" s="6" t="s">
        <v>837</v>
      </c>
      <c r="L72" s="6" t="s">
        <v>1183</v>
      </c>
      <c r="M72" s="6" t="s">
        <v>1183</v>
      </c>
      <c r="N72" s="12" t="s">
        <v>840</v>
      </c>
      <c r="O72" s="6" t="s">
        <v>841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1251</v>
      </c>
    </row>
    <row r="73" customFormat="false" ht="23.85" hidden="false" customHeight="false" outlineLevel="0" collapsed="false">
      <c r="A73" s="6" t="s">
        <v>1252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1253</v>
      </c>
      <c r="F73" s="11" t="s">
        <v>1254</v>
      </c>
      <c r="G73" s="6" t="s">
        <v>1188</v>
      </c>
      <c r="H73" s="6" t="s">
        <v>869</v>
      </c>
      <c r="I73" s="6" t="s">
        <v>836</v>
      </c>
      <c r="J73" s="6" t="s">
        <v>836</v>
      </c>
      <c r="K73" s="6" t="s">
        <v>837</v>
      </c>
      <c r="L73" s="6" t="s">
        <v>1183</v>
      </c>
      <c r="M73" s="6" t="s">
        <v>1183</v>
      </c>
      <c r="N73" s="12" t="s">
        <v>840</v>
      </c>
      <c r="O73" s="6" t="s">
        <v>841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1255</v>
      </c>
    </row>
    <row r="74" customFormat="false" ht="23.85" hidden="false" customHeight="false" outlineLevel="0" collapsed="false">
      <c r="A74" s="6" t="s">
        <v>1256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1257</v>
      </c>
      <c r="F74" s="11" t="s">
        <v>1258</v>
      </c>
      <c r="G74" s="6" t="s">
        <v>1259</v>
      </c>
      <c r="H74" s="6" t="s">
        <v>869</v>
      </c>
      <c r="I74" s="6" t="s">
        <v>836</v>
      </c>
      <c r="J74" s="6" t="s">
        <v>836</v>
      </c>
      <c r="K74" s="6" t="s">
        <v>837</v>
      </c>
      <c r="L74" s="6" t="s">
        <v>1183</v>
      </c>
      <c r="M74" s="6" t="s">
        <v>1183</v>
      </c>
      <c r="N74" s="12" t="s">
        <v>840</v>
      </c>
      <c r="O74" s="6" t="s">
        <v>841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1260</v>
      </c>
    </row>
    <row r="75" customFormat="false" ht="23.85" hidden="false" customHeight="false" outlineLevel="0" collapsed="false">
      <c r="A75" s="6" t="s">
        <v>1261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1262</v>
      </c>
      <c r="F75" s="11" t="s">
        <v>1263</v>
      </c>
      <c r="G75" s="6" t="s">
        <v>1194</v>
      </c>
      <c r="H75" s="6" t="s">
        <v>869</v>
      </c>
      <c r="I75" s="6" t="s">
        <v>836</v>
      </c>
      <c r="J75" s="6" t="s">
        <v>836</v>
      </c>
      <c r="K75" s="6" t="s">
        <v>837</v>
      </c>
      <c r="L75" s="6" t="s">
        <v>1183</v>
      </c>
      <c r="M75" s="6" t="s">
        <v>1183</v>
      </c>
      <c r="N75" s="12" t="s">
        <v>840</v>
      </c>
      <c r="O75" s="6" t="s">
        <v>841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1264</v>
      </c>
    </row>
    <row r="76" customFormat="false" ht="23.85" hidden="false" customHeight="false" outlineLevel="0" collapsed="false">
      <c r="A76" s="6" t="s">
        <v>1265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1266</v>
      </c>
      <c r="F76" s="11" t="s">
        <v>1267</v>
      </c>
      <c r="G76" s="6" t="s">
        <v>1268</v>
      </c>
      <c r="H76" s="6" t="s">
        <v>869</v>
      </c>
      <c r="I76" s="6" t="s">
        <v>836</v>
      </c>
      <c r="J76" s="6" t="s">
        <v>836</v>
      </c>
      <c r="K76" s="6" t="s">
        <v>837</v>
      </c>
      <c r="L76" s="6" t="s">
        <v>1183</v>
      </c>
      <c r="M76" s="6" t="s">
        <v>1183</v>
      </c>
      <c r="N76" s="12" t="s">
        <v>840</v>
      </c>
      <c r="O76" s="6" t="s">
        <v>841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1269</v>
      </c>
    </row>
    <row r="77" customFormat="false" ht="23.85" hidden="false" customHeight="false" outlineLevel="0" collapsed="false">
      <c r="A77" s="6" t="s">
        <v>1270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1271</v>
      </c>
      <c r="F77" s="11" t="s">
        <v>1272</v>
      </c>
      <c r="G77" s="6" t="s">
        <v>1204</v>
      </c>
      <c r="H77" s="6" t="s">
        <v>869</v>
      </c>
      <c r="I77" s="6" t="s">
        <v>836</v>
      </c>
      <c r="J77" s="6" t="s">
        <v>836</v>
      </c>
      <c r="K77" s="6" t="s">
        <v>837</v>
      </c>
      <c r="L77" s="6" t="s">
        <v>1183</v>
      </c>
      <c r="M77" s="6" t="s">
        <v>1183</v>
      </c>
      <c r="N77" s="12" t="s">
        <v>840</v>
      </c>
      <c r="O77" s="6" t="s">
        <v>841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1273</v>
      </c>
    </row>
    <row r="78" customFormat="false" ht="23.85" hidden="false" customHeight="false" outlineLevel="0" collapsed="false">
      <c r="A78" s="6" t="s">
        <v>1274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1275</v>
      </c>
      <c r="F78" s="11" t="s">
        <v>1276</v>
      </c>
      <c r="G78" s="6" t="s">
        <v>1277</v>
      </c>
      <c r="H78" s="6" t="s">
        <v>869</v>
      </c>
      <c r="I78" s="6" t="s">
        <v>836</v>
      </c>
      <c r="J78" s="6" t="s">
        <v>836</v>
      </c>
      <c r="K78" s="6" t="s">
        <v>837</v>
      </c>
      <c r="L78" s="6" t="s">
        <v>1183</v>
      </c>
      <c r="M78" s="6" t="s">
        <v>1183</v>
      </c>
      <c r="N78" s="12" t="s">
        <v>840</v>
      </c>
      <c r="O78" s="6" t="s">
        <v>841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1278</v>
      </c>
    </row>
    <row r="79" customFormat="false" ht="23.85" hidden="false" customHeight="false" outlineLevel="0" collapsed="false">
      <c r="A79" s="6" t="s">
        <v>1279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1280</v>
      </c>
      <c r="F79" s="11" t="s">
        <v>1281</v>
      </c>
      <c r="G79" s="6" t="s">
        <v>1182</v>
      </c>
      <c r="H79" s="6" t="s">
        <v>869</v>
      </c>
      <c r="I79" s="6" t="s">
        <v>836</v>
      </c>
      <c r="J79" s="6" t="s">
        <v>836</v>
      </c>
      <c r="K79" s="6" t="s">
        <v>837</v>
      </c>
      <c r="L79" s="6" t="s">
        <v>1183</v>
      </c>
      <c r="M79" s="6" t="s">
        <v>1183</v>
      </c>
      <c r="N79" s="12" t="s">
        <v>840</v>
      </c>
      <c r="O79" s="6" t="s">
        <v>841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1282</v>
      </c>
    </row>
    <row r="80" customFormat="false" ht="23.85" hidden="false" customHeight="false" outlineLevel="0" collapsed="false">
      <c r="A80" s="6" t="s">
        <v>1283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1284</v>
      </c>
      <c r="F80" s="11" t="s">
        <v>1285</v>
      </c>
      <c r="G80" s="6" t="s">
        <v>1277</v>
      </c>
      <c r="H80" s="6" t="s">
        <v>869</v>
      </c>
      <c r="I80" s="6" t="s">
        <v>836</v>
      </c>
      <c r="J80" s="6" t="s">
        <v>836</v>
      </c>
      <c r="K80" s="6" t="s">
        <v>837</v>
      </c>
      <c r="L80" s="6" t="s">
        <v>1183</v>
      </c>
      <c r="M80" s="6" t="s">
        <v>1183</v>
      </c>
      <c r="N80" s="12" t="s">
        <v>840</v>
      </c>
      <c r="O80" s="6" t="s">
        <v>841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1286</v>
      </c>
    </row>
    <row r="81" customFormat="false" ht="23.85" hidden="false" customHeight="false" outlineLevel="0" collapsed="false">
      <c r="A81" s="6" t="s">
        <v>1287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1288</v>
      </c>
      <c r="F81" s="11" t="s">
        <v>1289</v>
      </c>
      <c r="G81" s="6" t="s">
        <v>1290</v>
      </c>
      <c r="H81" s="6" t="s">
        <v>869</v>
      </c>
      <c r="I81" s="6" t="s">
        <v>836</v>
      </c>
      <c r="J81" s="6" t="s">
        <v>836</v>
      </c>
      <c r="K81" s="6" t="s">
        <v>837</v>
      </c>
      <c r="L81" s="6" t="s">
        <v>1183</v>
      </c>
      <c r="M81" s="6" t="s">
        <v>1183</v>
      </c>
      <c r="N81" s="12" t="s">
        <v>840</v>
      </c>
      <c r="O81" s="6" t="s">
        <v>841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1291</v>
      </c>
    </row>
    <row r="82" customFormat="false" ht="23.85" hidden="false" customHeight="false" outlineLevel="0" collapsed="false">
      <c r="A82" s="6" t="s">
        <v>1292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1293</v>
      </c>
      <c r="F82" s="11" t="s">
        <v>1294</v>
      </c>
      <c r="G82" s="6" t="s">
        <v>1295</v>
      </c>
      <c r="H82" s="6" t="s">
        <v>869</v>
      </c>
      <c r="I82" s="6" t="s">
        <v>836</v>
      </c>
      <c r="J82" s="6" t="s">
        <v>836</v>
      </c>
      <c r="K82" s="6" t="s">
        <v>837</v>
      </c>
      <c r="L82" s="6" t="s">
        <v>1183</v>
      </c>
      <c r="M82" s="6" t="s">
        <v>1183</v>
      </c>
      <c r="N82" s="12" t="s">
        <v>840</v>
      </c>
      <c r="O82" s="6" t="s">
        <v>841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1296</v>
      </c>
    </row>
    <row r="83" customFormat="false" ht="23.85" hidden="false" customHeight="false" outlineLevel="0" collapsed="false">
      <c r="A83" s="6" t="s">
        <v>1297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1298</v>
      </c>
      <c r="F83" s="11" t="s">
        <v>1299</v>
      </c>
      <c r="G83" s="6" t="s">
        <v>1204</v>
      </c>
      <c r="H83" s="6" t="s">
        <v>869</v>
      </c>
      <c r="I83" s="6" t="s">
        <v>836</v>
      </c>
      <c r="J83" s="6" t="s">
        <v>836</v>
      </c>
      <c r="K83" s="6" t="s">
        <v>837</v>
      </c>
      <c r="L83" s="6" t="s">
        <v>1183</v>
      </c>
      <c r="M83" s="6" t="s">
        <v>1183</v>
      </c>
      <c r="N83" s="12" t="s">
        <v>840</v>
      </c>
      <c r="O83" s="6" t="s">
        <v>841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1300</v>
      </c>
    </row>
    <row r="84" customFormat="false" ht="23.85" hidden="false" customHeight="false" outlineLevel="0" collapsed="false">
      <c r="A84" s="6" t="s">
        <v>1301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1302</v>
      </c>
      <c r="F84" s="11" t="s">
        <v>1303</v>
      </c>
      <c r="G84" s="6" t="s">
        <v>1223</v>
      </c>
      <c r="H84" s="6" t="s">
        <v>869</v>
      </c>
      <c r="I84" s="6" t="s">
        <v>836</v>
      </c>
      <c r="J84" s="6" t="s">
        <v>836</v>
      </c>
      <c r="K84" s="6" t="s">
        <v>837</v>
      </c>
      <c r="L84" s="6" t="s">
        <v>1183</v>
      </c>
      <c r="M84" s="6" t="s">
        <v>1183</v>
      </c>
      <c r="N84" s="12" t="s">
        <v>840</v>
      </c>
      <c r="O84" s="6" t="s">
        <v>841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1304</v>
      </c>
    </row>
    <row r="85" customFormat="false" ht="23.85" hidden="false" customHeight="false" outlineLevel="0" collapsed="false">
      <c r="A85" s="6" t="s">
        <v>1305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1306</v>
      </c>
      <c r="F85" s="11" t="s">
        <v>1307</v>
      </c>
      <c r="G85" s="6" t="s">
        <v>1308</v>
      </c>
      <c r="H85" s="6" t="s">
        <v>869</v>
      </c>
      <c r="I85" s="6" t="s">
        <v>836</v>
      </c>
      <c r="J85" s="6" t="s">
        <v>836</v>
      </c>
      <c r="K85" s="6" t="s">
        <v>837</v>
      </c>
      <c r="L85" s="6" t="s">
        <v>1183</v>
      </c>
      <c r="M85" s="6" t="s">
        <v>1183</v>
      </c>
      <c r="N85" s="12" t="s">
        <v>840</v>
      </c>
      <c r="O85" s="6" t="s">
        <v>841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1309</v>
      </c>
    </row>
    <row r="86" customFormat="false" ht="23.85" hidden="false" customHeight="false" outlineLevel="0" collapsed="false">
      <c r="A86" s="6" t="s">
        <v>1310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1311</v>
      </c>
      <c r="F86" s="11" t="s">
        <v>1312</v>
      </c>
      <c r="G86" s="6" t="s">
        <v>1313</v>
      </c>
      <c r="H86" s="6" t="s">
        <v>869</v>
      </c>
      <c r="I86" s="6" t="s">
        <v>836</v>
      </c>
      <c r="J86" s="6" t="s">
        <v>836</v>
      </c>
      <c r="K86" s="6" t="s">
        <v>837</v>
      </c>
      <c r="L86" s="6" t="s">
        <v>1183</v>
      </c>
      <c r="M86" s="6" t="s">
        <v>1183</v>
      </c>
      <c r="N86" s="12" t="s">
        <v>840</v>
      </c>
      <c r="O86" s="6" t="s">
        <v>841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1314</v>
      </c>
    </row>
    <row r="87" customFormat="false" ht="35.05" hidden="false" customHeight="false" outlineLevel="0" collapsed="false">
      <c r="A87" s="6" t="s">
        <v>1315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1316</v>
      </c>
      <c r="F87" s="11" t="s">
        <v>1317</v>
      </c>
      <c r="G87" s="6" t="s">
        <v>1318</v>
      </c>
      <c r="H87" s="6" t="s">
        <v>869</v>
      </c>
      <c r="I87" s="6" t="s">
        <v>836</v>
      </c>
      <c r="J87" s="6" t="s">
        <v>836</v>
      </c>
      <c r="K87" s="6" t="s">
        <v>837</v>
      </c>
      <c r="L87" s="6" t="s">
        <v>1183</v>
      </c>
      <c r="M87" s="6" t="s">
        <v>1183</v>
      </c>
      <c r="N87" s="12" t="s">
        <v>840</v>
      </c>
      <c r="O87" s="6" t="s">
        <v>841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1319</v>
      </c>
    </row>
    <row r="88" customFormat="false" ht="23.85" hidden="false" customHeight="false" outlineLevel="0" collapsed="false">
      <c r="A88" s="6" t="s">
        <v>1320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1321</v>
      </c>
      <c r="F88" s="11" t="s">
        <v>1322</v>
      </c>
      <c r="G88" s="6" t="s">
        <v>1323</v>
      </c>
      <c r="H88" s="6" t="s">
        <v>869</v>
      </c>
      <c r="I88" s="6" t="s">
        <v>836</v>
      </c>
      <c r="J88" s="6" t="s">
        <v>836</v>
      </c>
      <c r="K88" s="6" t="s">
        <v>837</v>
      </c>
      <c r="L88" s="6" t="s">
        <v>1183</v>
      </c>
      <c r="M88" s="6" t="s">
        <v>1183</v>
      </c>
      <c r="N88" s="12" t="s">
        <v>840</v>
      </c>
      <c r="O88" s="6" t="s">
        <v>841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1324</v>
      </c>
    </row>
    <row r="89" customFormat="false" ht="23.85" hidden="false" customHeight="false" outlineLevel="0" collapsed="false">
      <c r="A89" s="6" t="s">
        <v>1325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1326</v>
      </c>
      <c r="F89" s="11" t="s">
        <v>1327</v>
      </c>
      <c r="G89" s="6" t="s">
        <v>1328</v>
      </c>
      <c r="H89" s="6" t="s">
        <v>869</v>
      </c>
      <c r="I89" s="6" t="s">
        <v>836</v>
      </c>
      <c r="J89" s="6" t="s">
        <v>836</v>
      </c>
      <c r="K89" s="6" t="s">
        <v>837</v>
      </c>
      <c r="L89" s="6" t="s">
        <v>1183</v>
      </c>
      <c r="M89" s="6" t="s">
        <v>1183</v>
      </c>
      <c r="N89" s="12" t="s">
        <v>840</v>
      </c>
      <c r="O89" s="6" t="s">
        <v>841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1329</v>
      </c>
    </row>
    <row r="90" customFormat="false" ht="35.05" hidden="false" customHeight="false" outlineLevel="0" collapsed="false">
      <c r="A90" s="6" t="s">
        <v>1330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1331</v>
      </c>
      <c r="F90" s="11" t="s">
        <v>1332</v>
      </c>
      <c r="G90" s="6" t="s">
        <v>1333</v>
      </c>
      <c r="H90" s="6" t="s">
        <v>869</v>
      </c>
      <c r="I90" s="6" t="s">
        <v>836</v>
      </c>
      <c r="J90" s="6" t="s">
        <v>836</v>
      </c>
      <c r="K90" s="6" t="s">
        <v>837</v>
      </c>
      <c r="L90" s="6" t="s">
        <v>1183</v>
      </c>
      <c r="M90" s="6" t="s">
        <v>1183</v>
      </c>
      <c r="N90" s="12" t="s">
        <v>840</v>
      </c>
      <c r="O90" s="6" t="s">
        <v>841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1334</v>
      </c>
    </row>
    <row r="91" customFormat="false" ht="35.05" hidden="false" customHeight="false" outlineLevel="0" collapsed="false">
      <c r="A91" s="6" t="s">
        <v>1335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1336</v>
      </c>
      <c r="F91" s="11" t="s">
        <v>1337</v>
      </c>
      <c r="G91" s="6" t="s">
        <v>1338</v>
      </c>
      <c r="H91" s="6" t="s">
        <v>869</v>
      </c>
      <c r="I91" s="6" t="s">
        <v>836</v>
      </c>
      <c r="J91" s="6" t="s">
        <v>836</v>
      </c>
      <c r="K91" s="6" t="s">
        <v>837</v>
      </c>
      <c r="L91" s="6" t="s">
        <v>1183</v>
      </c>
      <c r="M91" s="6" t="s">
        <v>1183</v>
      </c>
      <c r="N91" s="12" t="s">
        <v>840</v>
      </c>
      <c r="O91" s="6" t="s">
        <v>841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1339</v>
      </c>
    </row>
    <row r="92" customFormat="false" ht="23.85" hidden="false" customHeight="false" outlineLevel="0" collapsed="false">
      <c r="A92" s="6" t="s">
        <v>1340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1341</v>
      </c>
      <c r="F92" s="11" t="s">
        <v>1342</v>
      </c>
      <c r="G92" s="6" t="s">
        <v>1343</v>
      </c>
      <c r="H92" s="6" t="s">
        <v>869</v>
      </c>
      <c r="I92" s="6" t="s">
        <v>836</v>
      </c>
      <c r="J92" s="6" t="s">
        <v>836</v>
      </c>
      <c r="K92" s="6" t="s">
        <v>837</v>
      </c>
      <c r="L92" s="6" t="s">
        <v>1183</v>
      </c>
      <c r="M92" s="6" t="s">
        <v>1183</v>
      </c>
      <c r="N92" s="12" t="s">
        <v>840</v>
      </c>
      <c r="O92" s="6" t="s">
        <v>841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1344</v>
      </c>
    </row>
    <row r="93" customFormat="false" ht="23.85" hidden="false" customHeight="false" outlineLevel="0" collapsed="false">
      <c r="A93" s="6" t="s">
        <v>1345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1346</v>
      </c>
      <c r="F93" s="11" t="s">
        <v>1347</v>
      </c>
      <c r="G93" s="6" t="s">
        <v>1348</v>
      </c>
      <c r="H93" s="6" t="s">
        <v>869</v>
      </c>
      <c r="I93" s="6" t="s">
        <v>836</v>
      </c>
      <c r="J93" s="6" t="s">
        <v>836</v>
      </c>
      <c r="K93" s="6" t="s">
        <v>837</v>
      </c>
      <c r="L93" s="6" t="s">
        <v>1183</v>
      </c>
      <c r="M93" s="6" t="s">
        <v>1183</v>
      </c>
      <c r="N93" s="12" t="s">
        <v>840</v>
      </c>
      <c r="O93" s="6" t="s">
        <v>841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1349</v>
      </c>
    </row>
    <row r="94" customFormat="false" ht="23.85" hidden="false" customHeight="false" outlineLevel="0" collapsed="false">
      <c r="A94" s="6" t="s">
        <v>1350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1351</v>
      </c>
      <c r="F94" s="11" t="s">
        <v>1352</v>
      </c>
      <c r="G94" s="6" t="s">
        <v>1353</v>
      </c>
      <c r="H94" s="6" t="s">
        <v>869</v>
      </c>
      <c r="I94" s="6" t="s">
        <v>836</v>
      </c>
      <c r="J94" s="6" t="s">
        <v>836</v>
      </c>
      <c r="K94" s="6" t="s">
        <v>837</v>
      </c>
      <c r="L94" s="6" t="s">
        <v>1183</v>
      </c>
      <c r="M94" s="6" t="s">
        <v>1183</v>
      </c>
      <c r="N94" s="12" t="s">
        <v>840</v>
      </c>
      <c r="O94" s="6" t="s">
        <v>841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1354</v>
      </c>
    </row>
    <row r="95" customFormat="false" ht="23.85" hidden="false" customHeight="false" outlineLevel="0" collapsed="false">
      <c r="A95" s="6" t="s">
        <v>1355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1356</v>
      </c>
      <c r="F95" s="11" t="s">
        <v>1357</v>
      </c>
      <c r="G95" s="6" t="s">
        <v>1358</v>
      </c>
      <c r="H95" s="6" t="s">
        <v>869</v>
      </c>
      <c r="I95" s="6" t="s">
        <v>836</v>
      </c>
      <c r="J95" s="6" t="s">
        <v>836</v>
      </c>
      <c r="K95" s="6" t="s">
        <v>837</v>
      </c>
      <c r="L95" s="6" t="s">
        <v>1183</v>
      </c>
      <c r="M95" s="6" t="s">
        <v>1183</v>
      </c>
      <c r="N95" s="12" t="s">
        <v>840</v>
      </c>
      <c r="O95" s="6" t="s">
        <v>841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1359</v>
      </c>
    </row>
    <row r="96" customFormat="false" ht="23.85" hidden="false" customHeight="false" outlineLevel="0" collapsed="false">
      <c r="A96" s="6" t="s">
        <v>1360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1361</v>
      </c>
      <c r="F96" s="11" t="s">
        <v>1362</v>
      </c>
      <c r="G96" s="6" t="s">
        <v>1363</v>
      </c>
      <c r="H96" s="6" t="s">
        <v>869</v>
      </c>
      <c r="I96" s="6" t="s">
        <v>836</v>
      </c>
      <c r="J96" s="6" t="s">
        <v>836</v>
      </c>
      <c r="K96" s="6" t="s">
        <v>837</v>
      </c>
      <c r="L96" s="6" t="s">
        <v>1183</v>
      </c>
      <c r="M96" s="6" t="s">
        <v>1183</v>
      </c>
      <c r="N96" s="12" t="s">
        <v>840</v>
      </c>
      <c r="O96" s="6" t="s">
        <v>841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1364</v>
      </c>
    </row>
    <row r="97" customFormat="false" ht="23.85" hidden="false" customHeight="false" outlineLevel="0" collapsed="false">
      <c r="A97" s="6" t="s">
        <v>1365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1366</v>
      </c>
      <c r="F97" s="11" t="s">
        <v>1367</v>
      </c>
      <c r="G97" s="6" t="s">
        <v>1368</v>
      </c>
      <c r="H97" s="6" t="s">
        <v>869</v>
      </c>
      <c r="I97" s="6" t="s">
        <v>836</v>
      </c>
      <c r="J97" s="6" t="s">
        <v>836</v>
      </c>
      <c r="K97" s="6" t="s">
        <v>837</v>
      </c>
      <c r="L97" s="6" t="s">
        <v>1183</v>
      </c>
      <c r="M97" s="6" t="s">
        <v>1183</v>
      </c>
      <c r="N97" s="12" t="s">
        <v>840</v>
      </c>
      <c r="O97" s="6" t="s">
        <v>841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1369</v>
      </c>
    </row>
    <row r="98" customFormat="false" ht="23.85" hidden="false" customHeight="false" outlineLevel="0" collapsed="false">
      <c r="A98" s="6" t="s">
        <v>1370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1371</v>
      </c>
      <c r="F98" s="11" t="s">
        <v>1372</v>
      </c>
      <c r="G98" s="6" t="s">
        <v>1358</v>
      </c>
      <c r="H98" s="6" t="s">
        <v>869</v>
      </c>
      <c r="I98" s="6" t="s">
        <v>836</v>
      </c>
      <c r="J98" s="6" t="s">
        <v>836</v>
      </c>
      <c r="K98" s="6" t="s">
        <v>837</v>
      </c>
      <c r="L98" s="6" t="s">
        <v>1183</v>
      </c>
      <c r="M98" s="6" t="s">
        <v>1183</v>
      </c>
      <c r="N98" s="12" t="s">
        <v>840</v>
      </c>
      <c r="O98" s="6" t="s">
        <v>841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1373</v>
      </c>
    </row>
    <row r="99" customFormat="false" ht="35.05" hidden="false" customHeight="false" outlineLevel="0" collapsed="false">
      <c r="A99" s="6" t="s">
        <v>1374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1375</v>
      </c>
      <c r="F99" s="11" t="s">
        <v>1376</v>
      </c>
      <c r="G99" s="6" t="s">
        <v>1377</v>
      </c>
      <c r="H99" s="6" t="s">
        <v>869</v>
      </c>
      <c r="I99" s="6" t="s">
        <v>836</v>
      </c>
      <c r="J99" s="6" t="s">
        <v>836</v>
      </c>
      <c r="K99" s="6" t="s">
        <v>837</v>
      </c>
      <c r="L99" s="6" t="s">
        <v>1183</v>
      </c>
      <c r="M99" s="6" t="s">
        <v>1183</v>
      </c>
      <c r="N99" s="12" t="s">
        <v>840</v>
      </c>
      <c r="O99" s="6" t="s">
        <v>841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1378</v>
      </c>
    </row>
    <row r="100" customFormat="false" ht="23.85" hidden="false" customHeight="false" outlineLevel="0" collapsed="false">
      <c r="A100" s="6" t="s">
        <v>1379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1380</v>
      </c>
      <c r="F100" s="11" t="s">
        <v>1381</v>
      </c>
      <c r="G100" s="6" t="s">
        <v>1382</v>
      </c>
      <c r="H100" s="6" t="s">
        <v>869</v>
      </c>
      <c r="I100" s="6" t="s">
        <v>836</v>
      </c>
      <c r="J100" s="6" t="s">
        <v>836</v>
      </c>
      <c r="K100" s="6" t="s">
        <v>837</v>
      </c>
      <c r="L100" s="6" t="s">
        <v>1183</v>
      </c>
      <c r="M100" s="6" t="s">
        <v>1183</v>
      </c>
      <c r="N100" s="12" t="s">
        <v>840</v>
      </c>
      <c r="O100" s="6" t="s">
        <v>841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1383</v>
      </c>
    </row>
    <row r="101" customFormat="false" ht="23.85" hidden="false" customHeight="false" outlineLevel="0" collapsed="false">
      <c r="A101" s="6" t="s">
        <v>1384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1385</v>
      </c>
      <c r="F101" s="11" t="s">
        <v>1386</v>
      </c>
      <c r="G101" s="6" t="s">
        <v>1218</v>
      </c>
      <c r="H101" s="6" t="s">
        <v>869</v>
      </c>
      <c r="I101" s="6" t="s">
        <v>836</v>
      </c>
      <c r="J101" s="6" t="s">
        <v>836</v>
      </c>
      <c r="K101" s="6" t="s">
        <v>837</v>
      </c>
      <c r="L101" s="6" t="s">
        <v>1183</v>
      </c>
      <c r="M101" s="6" t="s">
        <v>1183</v>
      </c>
      <c r="N101" s="12" t="s">
        <v>840</v>
      </c>
      <c r="O101" s="6" t="s">
        <v>841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1387</v>
      </c>
    </row>
    <row r="102" customFormat="false" ht="23.85" hidden="false" customHeight="false" outlineLevel="0" collapsed="false">
      <c r="A102" s="6" t="s">
        <v>1388</v>
      </c>
      <c r="B102" s="6" t="s">
        <v>384</v>
      </c>
      <c r="C102" s="6" t="s">
        <v>1389</v>
      </c>
      <c r="D102" s="6" t="str">
        <f aca="false">IFERROR(INDEX(Mundarija!$D:$D,MATCH(B102,Mundarija!$A:$A,0)),"kod topilmadi")</f>
        <v>22.1. Normal anatomiya va o‘lchash.</v>
      </c>
      <c r="E102" s="6" t="s">
        <v>1390</v>
      </c>
      <c r="F102" s="11" t="s">
        <v>1391</v>
      </c>
      <c r="G102" s="6" t="s">
        <v>1392</v>
      </c>
      <c r="H102" s="6" t="s">
        <v>869</v>
      </c>
      <c r="I102" s="6" t="s">
        <v>836</v>
      </c>
      <c r="J102" s="6" t="s">
        <v>836</v>
      </c>
      <c r="K102" s="6" t="s">
        <v>837</v>
      </c>
      <c r="L102" s="6" t="s">
        <v>1183</v>
      </c>
      <c r="M102" s="6" t="s">
        <v>1183</v>
      </c>
      <c r="N102" s="12" t="s">
        <v>840</v>
      </c>
      <c r="O102" s="6" t="s">
        <v>841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1393</v>
      </c>
    </row>
    <row r="103" customFormat="false" ht="23.85" hidden="false" customHeight="false" outlineLevel="0" collapsed="false">
      <c r="A103" s="6" t="s">
        <v>1394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1395</v>
      </c>
      <c r="F103" s="11" t="s">
        <v>1396</v>
      </c>
      <c r="G103" s="6" t="s">
        <v>1218</v>
      </c>
      <c r="H103" s="6" t="s">
        <v>869</v>
      </c>
      <c r="I103" s="6" t="s">
        <v>836</v>
      </c>
      <c r="J103" s="6" t="s">
        <v>836</v>
      </c>
      <c r="K103" s="6" t="s">
        <v>837</v>
      </c>
      <c r="L103" s="6" t="s">
        <v>1183</v>
      </c>
      <c r="M103" s="6" t="s">
        <v>1183</v>
      </c>
      <c r="N103" s="12" t="s">
        <v>840</v>
      </c>
      <c r="O103" s="6" t="s">
        <v>841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1397</v>
      </c>
    </row>
    <row r="104" customFormat="false" ht="23.85" hidden="false" customHeight="false" outlineLevel="0" collapsed="false">
      <c r="A104" s="6" t="s">
        <v>1398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1399</v>
      </c>
      <c r="F104" s="11" t="s">
        <v>1400</v>
      </c>
      <c r="G104" s="6" t="s">
        <v>1401</v>
      </c>
      <c r="H104" s="6" t="s">
        <v>869</v>
      </c>
      <c r="I104" s="6" t="s">
        <v>836</v>
      </c>
      <c r="J104" s="6" t="s">
        <v>836</v>
      </c>
      <c r="K104" s="6" t="s">
        <v>837</v>
      </c>
      <c r="L104" s="6" t="s">
        <v>1183</v>
      </c>
      <c r="M104" s="6" t="s">
        <v>1183</v>
      </c>
      <c r="N104" s="12" t="s">
        <v>840</v>
      </c>
      <c r="O104" s="6" t="s">
        <v>841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1402</v>
      </c>
    </row>
    <row r="105" customFormat="false" ht="23.85" hidden="false" customHeight="false" outlineLevel="0" collapsed="false">
      <c r="A105" s="6" t="s">
        <v>1403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1404</v>
      </c>
      <c r="F105" s="11" t="s">
        <v>1405</v>
      </c>
      <c r="G105" s="6" t="s">
        <v>1228</v>
      </c>
      <c r="H105" s="6" t="s">
        <v>869</v>
      </c>
      <c r="I105" s="6" t="s">
        <v>836</v>
      </c>
      <c r="J105" s="6" t="s">
        <v>836</v>
      </c>
      <c r="K105" s="6" t="s">
        <v>837</v>
      </c>
      <c r="L105" s="6" t="s">
        <v>1183</v>
      </c>
      <c r="M105" s="6" t="s">
        <v>1183</v>
      </c>
      <c r="N105" s="12" t="s">
        <v>840</v>
      </c>
      <c r="O105" s="6" t="s">
        <v>841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1406</v>
      </c>
    </row>
    <row r="106" customFormat="false" ht="23.85" hidden="false" customHeight="false" outlineLevel="0" collapsed="false">
      <c r="A106" s="6" t="s">
        <v>1407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1408</v>
      </c>
      <c r="F106" s="11" t="s">
        <v>1409</v>
      </c>
      <c r="G106" s="6" t="s">
        <v>1097</v>
      </c>
      <c r="H106" s="6" t="s">
        <v>869</v>
      </c>
      <c r="I106" s="6" t="s">
        <v>836</v>
      </c>
      <c r="J106" s="6" t="s">
        <v>836</v>
      </c>
      <c r="K106" s="6" t="s">
        <v>837</v>
      </c>
      <c r="L106" s="6" t="s">
        <v>1183</v>
      </c>
      <c r="M106" s="6" t="s">
        <v>1183</v>
      </c>
      <c r="N106" s="12" t="s">
        <v>840</v>
      </c>
      <c r="O106" s="6" t="s">
        <v>841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1410</v>
      </c>
    </row>
    <row r="107" customFormat="false" ht="23.85" hidden="false" customHeight="false" outlineLevel="0" collapsed="false">
      <c r="A107" s="6" t="s">
        <v>1411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1412</v>
      </c>
      <c r="F107" s="11" t="s">
        <v>1413</v>
      </c>
      <c r="G107" s="6" t="s">
        <v>1194</v>
      </c>
      <c r="H107" s="6" t="s">
        <v>869</v>
      </c>
      <c r="I107" s="6" t="s">
        <v>836</v>
      </c>
      <c r="J107" s="6" t="s">
        <v>836</v>
      </c>
      <c r="K107" s="6" t="s">
        <v>837</v>
      </c>
      <c r="L107" s="6" t="s">
        <v>1183</v>
      </c>
      <c r="M107" s="6" t="s">
        <v>1183</v>
      </c>
      <c r="N107" s="12" t="s">
        <v>840</v>
      </c>
      <c r="O107" s="6" t="s">
        <v>841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1414</v>
      </c>
    </row>
    <row r="108" customFormat="false" ht="23.85" hidden="false" customHeight="false" outlineLevel="0" collapsed="false">
      <c r="A108" s="6" t="s">
        <v>1415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1416</v>
      </c>
      <c r="F108" s="11" t="s">
        <v>1417</v>
      </c>
      <c r="G108" s="6" t="s">
        <v>1237</v>
      </c>
      <c r="H108" s="6" t="s">
        <v>869</v>
      </c>
      <c r="I108" s="6" t="s">
        <v>836</v>
      </c>
      <c r="J108" s="6" t="s">
        <v>836</v>
      </c>
      <c r="K108" s="6" t="s">
        <v>837</v>
      </c>
      <c r="L108" s="6" t="s">
        <v>1183</v>
      </c>
      <c r="M108" s="6" t="s">
        <v>1183</v>
      </c>
      <c r="N108" s="12" t="s">
        <v>840</v>
      </c>
      <c r="O108" s="6" t="s">
        <v>841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1418</v>
      </c>
    </row>
    <row r="109" customFormat="false" ht="23.85" hidden="false" customHeight="false" outlineLevel="0" collapsed="false">
      <c r="A109" s="6" t="s">
        <v>1419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1420</v>
      </c>
      <c r="F109" s="11" t="s">
        <v>1421</v>
      </c>
      <c r="G109" s="6" t="s">
        <v>1422</v>
      </c>
      <c r="H109" s="6" t="s">
        <v>869</v>
      </c>
      <c r="I109" s="6" t="s">
        <v>836</v>
      </c>
      <c r="J109" s="6" t="s">
        <v>836</v>
      </c>
      <c r="K109" s="6" t="s">
        <v>837</v>
      </c>
      <c r="L109" s="6" t="s">
        <v>1183</v>
      </c>
      <c r="M109" s="6" t="s">
        <v>1183</v>
      </c>
      <c r="N109" s="12" t="s">
        <v>840</v>
      </c>
      <c r="O109" s="6" t="s">
        <v>841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1423</v>
      </c>
    </row>
    <row r="110" customFormat="false" ht="23.85" hidden="false" customHeight="false" outlineLevel="0" collapsed="false">
      <c r="A110" s="6" t="s">
        <v>1424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1425</v>
      </c>
      <c r="F110" s="11" t="s">
        <v>1426</v>
      </c>
      <c r="G110" s="6" t="s">
        <v>1295</v>
      </c>
      <c r="H110" s="6" t="s">
        <v>869</v>
      </c>
      <c r="I110" s="6" t="s">
        <v>836</v>
      </c>
      <c r="J110" s="6" t="s">
        <v>836</v>
      </c>
      <c r="K110" s="6" t="s">
        <v>837</v>
      </c>
      <c r="L110" s="6" t="s">
        <v>1183</v>
      </c>
      <c r="M110" s="6" t="s">
        <v>1183</v>
      </c>
      <c r="N110" s="12" t="s">
        <v>840</v>
      </c>
      <c r="O110" s="6" t="s">
        <v>841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1427</v>
      </c>
    </row>
    <row r="111" customFormat="false" ht="23.85" hidden="false" customHeight="false" outlineLevel="0" collapsed="false">
      <c r="A111" s="6" t="s">
        <v>1428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1429</v>
      </c>
      <c r="F111" s="11" t="s">
        <v>1430</v>
      </c>
      <c r="G111" s="6" t="s">
        <v>1194</v>
      </c>
      <c r="H111" s="6" t="s">
        <v>869</v>
      </c>
      <c r="I111" s="6" t="s">
        <v>836</v>
      </c>
      <c r="J111" s="6" t="s">
        <v>836</v>
      </c>
      <c r="K111" s="6" t="s">
        <v>837</v>
      </c>
      <c r="L111" s="6" t="s">
        <v>1183</v>
      </c>
      <c r="M111" s="6" t="s">
        <v>1183</v>
      </c>
      <c r="N111" s="12" t="s">
        <v>840</v>
      </c>
      <c r="O111" s="6" t="s">
        <v>841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1431</v>
      </c>
    </row>
    <row r="112" customFormat="false" ht="23.85" hidden="false" customHeight="false" outlineLevel="0" collapsed="false">
      <c r="A112" s="6" t="s">
        <v>1432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1433</v>
      </c>
      <c r="F112" s="11" t="s">
        <v>1434</v>
      </c>
      <c r="G112" s="6" t="s">
        <v>1435</v>
      </c>
      <c r="H112" s="6" t="s">
        <v>869</v>
      </c>
      <c r="I112" s="6" t="s">
        <v>836</v>
      </c>
      <c r="J112" s="6" t="s">
        <v>836</v>
      </c>
      <c r="K112" s="6" t="s">
        <v>837</v>
      </c>
      <c r="L112" s="6" t="s">
        <v>1183</v>
      </c>
      <c r="M112" s="6" t="s">
        <v>1183</v>
      </c>
      <c r="N112" s="12" t="s">
        <v>840</v>
      </c>
      <c r="O112" s="6" t="s">
        <v>841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1436</v>
      </c>
    </row>
    <row r="113" customFormat="false" ht="23.85" hidden="false" customHeight="false" outlineLevel="0" collapsed="false">
      <c r="A113" s="6" t="s">
        <v>1437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1438</v>
      </c>
      <c r="F113" s="11" t="s">
        <v>1439</v>
      </c>
      <c r="G113" s="6" t="s">
        <v>1440</v>
      </c>
      <c r="H113" s="6" t="s">
        <v>869</v>
      </c>
      <c r="I113" s="6" t="s">
        <v>836</v>
      </c>
      <c r="J113" s="6" t="s">
        <v>836</v>
      </c>
      <c r="K113" s="6" t="s">
        <v>837</v>
      </c>
      <c r="L113" s="6" t="s">
        <v>1183</v>
      </c>
      <c r="M113" s="6" t="s">
        <v>1183</v>
      </c>
      <c r="N113" s="12" t="s">
        <v>840</v>
      </c>
      <c r="O113" s="6" t="s">
        <v>841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1441</v>
      </c>
    </row>
    <row r="114" customFormat="false" ht="23.85" hidden="false" customHeight="false" outlineLevel="0" collapsed="false">
      <c r="A114" s="6" t="s">
        <v>1442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1443</v>
      </c>
      <c r="F114" s="11" t="s">
        <v>1444</v>
      </c>
      <c r="G114" s="6" t="s">
        <v>1401</v>
      </c>
      <c r="H114" s="6" t="s">
        <v>869</v>
      </c>
      <c r="I114" s="6" t="s">
        <v>836</v>
      </c>
      <c r="J114" s="6" t="s">
        <v>836</v>
      </c>
      <c r="K114" s="6" t="s">
        <v>837</v>
      </c>
      <c r="L114" s="6" t="s">
        <v>1183</v>
      </c>
      <c r="M114" s="6" t="s">
        <v>1183</v>
      </c>
      <c r="N114" s="12" t="s">
        <v>840</v>
      </c>
      <c r="O114" s="6" t="s">
        <v>841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1445</v>
      </c>
    </row>
    <row r="115" customFormat="false" ht="35.05" hidden="false" customHeight="false" outlineLevel="0" collapsed="false">
      <c r="A115" s="6" t="s">
        <v>1446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1447</v>
      </c>
      <c r="F115" s="11" t="s">
        <v>1448</v>
      </c>
      <c r="G115" s="6" t="s">
        <v>1449</v>
      </c>
      <c r="H115" s="6" t="s">
        <v>869</v>
      </c>
      <c r="I115" s="6" t="s">
        <v>836</v>
      </c>
      <c r="J115" s="6" t="s">
        <v>836</v>
      </c>
      <c r="K115" s="6" t="s">
        <v>837</v>
      </c>
      <c r="L115" s="6" t="s">
        <v>1183</v>
      </c>
      <c r="M115" s="6" t="s">
        <v>1183</v>
      </c>
      <c r="N115" s="12" t="s">
        <v>840</v>
      </c>
      <c r="O115" s="6" t="s">
        <v>841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1450</v>
      </c>
    </row>
    <row r="116" customFormat="false" ht="23.85" hidden="false" customHeight="false" outlineLevel="0" collapsed="false">
      <c r="A116" s="6" t="s">
        <v>1451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1452</v>
      </c>
      <c r="F116" s="11" t="s">
        <v>1453</v>
      </c>
      <c r="G116" s="6" t="s">
        <v>1218</v>
      </c>
      <c r="H116" s="6" t="s">
        <v>869</v>
      </c>
      <c r="I116" s="6" t="s">
        <v>836</v>
      </c>
      <c r="J116" s="6" t="s">
        <v>836</v>
      </c>
      <c r="K116" s="6" t="s">
        <v>837</v>
      </c>
      <c r="L116" s="6" t="s">
        <v>1183</v>
      </c>
      <c r="M116" s="6" t="s">
        <v>1183</v>
      </c>
      <c r="N116" s="12" t="s">
        <v>840</v>
      </c>
      <c r="O116" s="6" t="s">
        <v>841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1454</v>
      </c>
    </row>
    <row r="117" customFormat="false" ht="23.85" hidden="false" customHeight="false" outlineLevel="0" collapsed="false">
      <c r="A117" s="6" t="s">
        <v>1455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1456</v>
      </c>
      <c r="F117" s="11" t="s">
        <v>1457</v>
      </c>
      <c r="G117" s="6" t="s">
        <v>1458</v>
      </c>
      <c r="H117" s="6" t="s">
        <v>869</v>
      </c>
      <c r="I117" s="6" t="s">
        <v>836</v>
      </c>
      <c r="J117" s="6" t="s">
        <v>836</v>
      </c>
      <c r="K117" s="6" t="s">
        <v>837</v>
      </c>
      <c r="L117" s="6" t="s">
        <v>1183</v>
      </c>
      <c r="M117" s="6" t="s">
        <v>1183</v>
      </c>
      <c r="N117" s="12" t="s">
        <v>840</v>
      </c>
      <c r="O117" s="6" t="s">
        <v>841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1459</v>
      </c>
    </row>
    <row r="118" customFormat="false" ht="23.85" hidden="false" customHeight="false" outlineLevel="0" collapsed="false">
      <c r="A118" s="6" t="s">
        <v>1460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1461</v>
      </c>
      <c r="F118" s="11" t="s">
        <v>1462</v>
      </c>
      <c r="G118" s="6" t="s">
        <v>1463</v>
      </c>
      <c r="H118" s="6" t="s">
        <v>869</v>
      </c>
      <c r="I118" s="6" t="s">
        <v>836</v>
      </c>
      <c r="J118" s="6" t="s">
        <v>836</v>
      </c>
      <c r="K118" s="6" t="s">
        <v>837</v>
      </c>
      <c r="L118" s="6" t="s">
        <v>1183</v>
      </c>
      <c r="M118" s="6" t="s">
        <v>1183</v>
      </c>
      <c r="N118" s="12" t="s">
        <v>840</v>
      </c>
      <c r="O118" s="6" t="s">
        <v>841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1464</v>
      </c>
    </row>
    <row r="119" customFormat="false" ht="23.85" hidden="false" customHeight="false" outlineLevel="0" collapsed="false">
      <c r="A119" s="6" t="s">
        <v>1465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1466</v>
      </c>
      <c r="F119" s="11" t="s">
        <v>1467</v>
      </c>
      <c r="G119" s="6" t="s">
        <v>1194</v>
      </c>
      <c r="H119" s="6" t="s">
        <v>869</v>
      </c>
      <c r="I119" s="6" t="s">
        <v>836</v>
      </c>
      <c r="J119" s="6" t="s">
        <v>836</v>
      </c>
      <c r="K119" s="6" t="s">
        <v>837</v>
      </c>
      <c r="L119" s="6" t="s">
        <v>1183</v>
      </c>
      <c r="M119" s="6" t="s">
        <v>1183</v>
      </c>
      <c r="N119" s="12" t="s">
        <v>840</v>
      </c>
      <c r="O119" s="6" t="s">
        <v>841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1468</v>
      </c>
    </row>
    <row r="120" customFormat="false" ht="23.85" hidden="false" customHeight="false" outlineLevel="0" collapsed="false">
      <c r="A120" s="6" t="s">
        <v>1469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1470</v>
      </c>
      <c r="F120" s="11" t="s">
        <v>1471</v>
      </c>
      <c r="G120" s="6" t="s">
        <v>1368</v>
      </c>
      <c r="H120" s="6" t="s">
        <v>869</v>
      </c>
      <c r="I120" s="6" t="s">
        <v>836</v>
      </c>
      <c r="J120" s="6" t="s">
        <v>836</v>
      </c>
      <c r="K120" s="6" t="s">
        <v>837</v>
      </c>
      <c r="L120" s="6" t="s">
        <v>1183</v>
      </c>
      <c r="M120" s="6" t="s">
        <v>1183</v>
      </c>
      <c r="N120" s="12" t="s">
        <v>840</v>
      </c>
      <c r="O120" s="6" t="s">
        <v>841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1472</v>
      </c>
    </row>
    <row r="121" customFormat="false" ht="35.05" hidden="false" customHeight="false" outlineLevel="0" collapsed="false">
      <c r="A121" s="6" t="s">
        <v>1473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1474</v>
      </c>
      <c r="F121" s="11" t="s">
        <v>1475</v>
      </c>
      <c r="G121" s="6" t="s">
        <v>1476</v>
      </c>
      <c r="H121" s="6" t="s">
        <v>869</v>
      </c>
      <c r="I121" s="6" t="s">
        <v>836</v>
      </c>
      <c r="J121" s="6" t="s">
        <v>836</v>
      </c>
      <c r="K121" s="6" t="s">
        <v>837</v>
      </c>
      <c r="L121" s="6" t="s">
        <v>1183</v>
      </c>
      <c r="M121" s="6" t="s">
        <v>1183</v>
      </c>
      <c r="N121" s="12" t="s">
        <v>840</v>
      </c>
      <c r="O121" s="6" t="s">
        <v>841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1477</v>
      </c>
    </row>
    <row r="122" customFormat="false" ht="23.85" hidden="false" customHeight="false" outlineLevel="0" collapsed="false">
      <c r="A122" s="6" t="s">
        <v>1478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1479</v>
      </c>
      <c r="F122" s="11" t="s">
        <v>1480</v>
      </c>
      <c r="G122" s="6" t="s">
        <v>1481</v>
      </c>
      <c r="H122" s="6" t="s">
        <v>869</v>
      </c>
      <c r="I122" s="6" t="s">
        <v>836</v>
      </c>
      <c r="J122" s="6" t="s">
        <v>836</v>
      </c>
      <c r="K122" s="6" t="s">
        <v>837</v>
      </c>
      <c r="L122" s="6" t="s">
        <v>1183</v>
      </c>
      <c r="M122" s="6" t="s">
        <v>1183</v>
      </c>
      <c r="N122" s="12" t="s">
        <v>840</v>
      </c>
      <c r="O122" s="6" t="s">
        <v>841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1482</v>
      </c>
    </row>
    <row r="123" customFormat="false" ht="35.05" hidden="false" customHeight="false" outlineLevel="0" collapsed="false">
      <c r="A123" s="6" t="s">
        <v>1483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1484</v>
      </c>
      <c r="F123" s="11" t="s">
        <v>1485</v>
      </c>
      <c r="G123" s="6" t="s">
        <v>1486</v>
      </c>
      <c r="H123" s="6" t="s">
        <v>869</v>
      </c>
      <c r="I123" s="6" t="s">
        <v>836</v>
      </c>
      <c r="J123" s="6" t="s">
        <v>836</v>
      </c>
      <c r="K123" s="6" t="s">
        <v>837</v>
      </c>
      <c r="L123" s="6" t="s">
        <v>1183</v>
      </c>
      <c r="M123" s="6" t="s">
        <v>1183</v>
      </c>
      <c r="N123" s="12" t="s">
        <v>840</v>
      </c>
      <c r="O123" s="6" t="s">
        <v>841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1487</v>
      </c>
    </row>
    <row r="124" customFormat="false" ht="23.85" hidden="false" customHeight="false" outlineLevel="0" collapsed="false">
      <c r="A124" s="6" t="s">
        <v>1488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1489</v>
      </c>
      <c r="F124" s="11" t="s">
        <v>1490</v>
      </c>
      <c r="G124" s="6" t="s">
        <v>846</v>
      </c>
      <c r="H124" s="6" t="s">
        <v>869</v>
      </c>
      <c r="I124" s="6" t="s">
        <v>836</v>
      </c>
      <c r="J124" s="6" t="s">
        <v>836</v>
      </c>
      <c r="K124" s="6" t="s">
        <v>837</v>
      </c>
      <c r="L124" s="6" t="s">
        <v>1183</v>
      </c>
      <c r="M124" s="6" t="s">
        <v>1183</v>
      </c>
      <c r="N124" s="12" t="s">
        <v>840</v>
      </c>
      <c r="O124" s="6" t="s">
        <v>841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1491</v>
      </c>
    </row>
    <row r="125" customFormat="false" ht="23.85" hidden="false" customHeight="false" outlineLevel="0" collapsed="false">
      <c r="A125" s="6" t="s">
        <v>1492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1493</v>
      </c>
      <c r="F125" s="11" t="s">
        <v>1494</v>
      </c>
      <c r="G125" s="6" t="s">
        <v>846</v>
      </c>
      <c r="H125" s="6" t="s">
        <v>869</v>
      </c>
      <c r="I125" s="6" t="s">
        <v>836</v>
      </c>
      <c r="J125" s="6" t="s">
        <v>836</v>
      </c>
      <c r="K125" s="6" t="s">
        <v>837</v>
      </c>
      <c r="L125" s="6" t="s">
        <v>1183</v>
      </c>
      <c r="M125" s="6" t="s">
        <v>1183</v>
      </c>
      <c r="N125" s="12" t="s">
        <v>840</v>
      </c>
      <c r="O125" s="6" t="s">
        <v>841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1495</v>
      </c>
    </row>
    <row r="126" customFormat="false" ht="23.85" hidden="false" customHeight="false" outlineLevel="0" collapsed="false">
      <c r="A126" s="6" t="s">
        <v>1496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1497</v>
      </c>
      <c r="F126" s="11" t="s">
        <v>1498</v>
      </c>
      <c r="G126" s="6" t="s">
        <v>1499</v>
      </c>
      <c r="H126" s="6" t="s">
        <v>869</v>
      </c>
      <c r="I126" s="6" t="s">
        <v>836</v>
      </c>
      <c r="J126" s="6" t="s">
        <v>836</v>
      </c>
      <c r="K126" s="6" t="s">
        <v>837</v>
      </c>
      <c r="L126" s="6" t="s">
        <v>1183</v>
      </c>
      <c r="M126" s="6" t="s">
        <v>1183</v>
      </c>
      <c r="N126" s="12" t="s">
        <v>840</v>
      </c>
      <c r="O126" s="6" t="s">
        <v>841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1500</v>
      </c>
    </row>
    <row r="127" customFormat="false" ht="23.85" hidden="false" customHeight="false" outlineLevel="0" collapsed="false">
      <c r="A127" s="6" t="s">
        <v>1501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1502</v>
      </c>
      <c r="F127" s="11" t="s">
        <v>1503</v>
      </c>
      <c r="G127" s="6" t="s">
        <v>1194</v>
      </c>
      <c r="H127" s="6" t="s">
        <v>869</v>
      </c>
      <c r="I127" s="6" t="s">
        <v>836</v>
      </c>
      <c r="J127" s="6" t="s">
        <v>836</v>
      </c>
      <c r="K127" s="6" t="s">
        <v>837</v>
      </c>
      <c r="L127" s="6" t="s">
        <v>1183</v>
      </c>
      <c r="M127" s="6" t="s">
        <v>1183</v>
      </c>
      <c r="N127" s="12" t="s">
        <v>840</v>
      </c>
      <c r="O127" s="6" t="s">
        <v>841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1504</v>
      </c>
    </row>
    <row r="128" customFormat="false" ht="23.85" hidden="false" customHeight="false" outlineLevel="0" collapsed="false">
      <c r="A128" s="6" t="s">
        <v>1505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1506</v>
      </c>
      <c r="F128" s="11" t="s">
        <v>1507</v>
      </c>
      <c r="G128" s="6" t="s">
        <v>1508</v>
      </c>
      <c r="H128" s="6" t="s">
        <v>869</v>
      </c>
      <c r="I128" s="6" t="s">
        <v>836</v>
      </c>
      <c r="J128" s="6" t="s">
        <v>836</v>
      </c>
      <c r="K128" s="6" t="s">
        <v>837</v>
      </c>
      <c r="L128" s="6" t="s">
        <v>1183</v>
      </c>
      <c r="M128" s="6" t="s">
        <v>1183</v>
      </c>
      <c r="N128" s="12" t="s">
        <v>840</v>
      </c>
      <c r="O128" s="6" t="s">
        <v>841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1509</v>
      </c>
    </row>
    <row r="129" customFormat="false" ht="23.85" hidden="false" customHeight="false" outlineLevel="0" collapsed="false">
      <c r="A129" s="6" t="s">
        <v>1510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1511</v>
      </c>
      <c r="F129" s="11" t="s">
        <v>1512</v>
      </c>
      <c r="G129" s="6" t="s">
        <v>1513</v>
      </c>
      <c r="H129" s="6" t="s">
        <v>869</v>
      </c>
      <c r="I129" s="6" t="s">
        <v>836</v>
      </c>
      <c r="J129" s="6" t="s">
        <v>836</v>
      </c>
      <c r="K129" s="6" t="s">
        <v>837</v>
      </c>
      <c r="L129" s="6" t="s">
        <v>1183</v>
      </c>
      <c r="M129" s="6" t="s">
        <v>1183</v>
      </c>
      <c r="N129" s="12" t="s">
        <v>840</v>
      </c>
      <c r="O129" s="6" t="s">
        <v>841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1514</v>
      </c>
    </row>
    <row r="130" customFormat="false" ht="23.85" hidden="false" customHeight="false" outlineLevel="0" collapsed="false">
      <c r="A130" s="6" t="s">
        <v>1515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1516</v>
      </c>
      <c r="F130" s="11" t="s">
        <v>1517</v>
      </c>
      <c r="G130" s="6" t="s">
        <v>1518</v>
      </c>
      <c r="H130" s="6" t="s">
        <v>869</v>
      </c>
      <c r="I130" s="6" t="s">
        <v>836</v>
      </c>
      <c r="J130" s="6" t="s">
        <v>836</v>
      </c>
      <c r="K130" s="6" t="s">
        <v>837</v>
      </c>
      <c r="L130" s="6" t="s">
        <v>1183</v>
      </c>
      <c r="M130" s="6" t="s">
        <v>1183</v>
      </c>
      <c r="N130" s="12" t="s">
        <v>840</v>
      </c>
      <c r="O130" s="6" t="s">
        <v>841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1519</v>
      </c>
    </row>
    <row r="131" customFormat="false" ht="23.85" hidden="false" customHeight="false" outlineLevel="0" collapsed="false">
      <c r="A131" s="6" t="s">
        <v>1520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1521</v>
      </c>
      <c r="F131" s="11" t="s">
        <v>1522</v>
      </c>
      <c r="G131" s="6" t="s">
        <v>1523</v>
      </c>
      <c r="H131" s="6" t="s">
        <v>869</v>
      </c>
      <c r="I131" s="6" t="s">
        <v>836</v>
      </c>
      <c r="J131" s="6" t="s">
        <v>836</v>
      </c>
      <c r="K131" s="6" t="s">
        <v>837</v>
      </c>
      <c r="L131" s="6" t="s">
        <v>1183</v>
      </c>
      <c r="M131" s="6" t="s">
        <v>1183</v>
      </c>
      <c r="N131" s="12" t="s">
        <v>840</v>
      </c>
      <c r="O131" s="6" t="s">
        <v>841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1524</v>
      </c>
    </row>
    <row r="132" customFormat="false" ht="23.85" hidden="false" customHeight="false" outlineLevel="0" collapsed="false">
      <c r="A132" s="6" t="s">
        <v>1525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1526</v>
      </c>
      <c r="F132" s="11" t="s">
        <v>1527</v>
      </c>
      <c r="G132" s="6" t="s">
        <v>1513</v>
      </c>
      <c r="H132" s="6" t="s">
        <v>869</v>
      </c>
      <c r="I132" s="6" t="s">
        <v>836</v>
      </c>
      <c r="J132" s="6" t="s">
        <v>836</v>
      </c>
      <c r="K132" s="6" t="s">
        <v>837</v>
      </c>
      <c r="L132" s="6" t="s">
        <v>1183</v>
      </c>
      <c r="M132" s="6" t="s">
        <v>1183</v>
      </c>
      <c r="N132" s="12" t="s">
        <v>840</v>
      </c>
      <c r="O132" s="6" t="s">
        <v>841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1528</v>
      </c>
    </row>
    <row r="133" customFormat="false" ht="23.85" hidden="false" customHeight="false" outlineLevel="0" collapsed="false">
      <c r="A133" s="6" t="s">
        <v>1529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1530</v>
      </c>
      <c r="F133" s="11" t="s">
        <v>1531</v>
      </c>
      <c r="G133" s="6" t="s">
        <v>1532</v>
      </c>
      <c r="H133" s="6" t="s">
        <v>869</v>
      </c>
      <c r="I133" s="6" t="s">
        <v>836</v>
      </c>
      <c r="J133" s="6" t="s">
        <v>836</v>
      </c>
      <c r="K133" s="6" t="s">
        <v>837</v>
      </c>
      <c r="L133" s="6" t="s">
        <v>1183</v>
      </c>
      <c r="M133" s="6" t="s">
        <v>1183</v>
      </c>
      <c r="N133" s="12" t="s">
        <v>840</v>
      </c>
      <c r="O133" s="6" t="s">
        <v>841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1533</v>
      </c>
    </row>
    <row r="134" customFormat="false" ht="23.85" hidden="false" customHeight="false" outlineLevel="0" collapsed="false">
      <c r="A134" s="6" t="s">
        <v>1534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1535</v>
      </c>
      <c r="F134" s="11" t="s">
        <v>1536</v>
      </c>
      <c r="G134" s="6" t="s">
        <v>1044</v>
      </c>
      <c r="H134" s="6" t="s">
        <v>869</v>
      </c>
      <c r="I134" s="6" t="s">
        <v>836</v>
      </c>
      <c r="J134" s="6" t="s">
        <v>836</v>
      </c>
      <c r="K134" s="6" t="s">
        <v>837</v>
      </c>
      <c r="L134" s="6" t="s">
        <v>1183</v>
      </c>
      <c r="M134" s="6" t="s">
        <v>1183</v>
      </c>
      <c r="N134" s="12" t="s">
        <v>840</v>
      </c>
      <c r="O134" s="6" t="s">
        <v>841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1537</v>
      </c>
    </row>
    <row r="135" customFormat="false" ht="23.85" hidden="false" customHeight="false" outlineLevel="0" collapsed="false">
      <c r="A135" s="6" t="s">
        <v>1538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1539</v>
      </c>
      <c r="F135" s="11" t="s">
        <v>1540</v>
      </c>
      <c r="G135" s="6" t="s">
        <v>1277</v>
      </c>
      <c r="H135" s="6" t="s">
        <v>869</v>
      </c>
      <c r="I135" s="6" t="s">
        <v>836</v>
      </c>
      <c r="J135" s="6" t="s">
        <v>836</v>
      </c>
      <c r="K135" s="6" t="s">
        <v>837</v>
      </c>
      <c r="L135" s="6" t="s">
        <v>1183</v>
      </c>
      <c r="M135" s="6" t="s">
        <v>1183</v>
      </c>
      <c r="N135" s="12" t="s">
        <v>840</v>
      </c>
      <c r="O135" s="6" t="s">
        <v>841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1541</v>
      </c>
    </row>
    <row r="136" customFormat="false" ht="35.05" hidden="false" customHeight="false" outlineLevel="0" collapsed="false">
      <c r="A136" s="6" t="s">
        <v>1542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1543</v>
      </c>
      <c r="F136" s="11" t="s">
        <v>1544</v>
      </c>
      <c r="G136" s="6" t="s">
        <v>1545</v>
      </c>
      <c r="H136" s="6" t="s">
        <v>869</v>
      </c>
      <c r="I136" s="6" t="s">
        <v>836</v>
      </c>
      <c r="J136" s="6" t="s">
        <v>836</v>
      </c>
      <c r="K136" s="6" t="s">
        <v>837</v>
      </c>
      <c r="L136" s="6" t="s">
        <v>1183</v>
      </c>
      <c r="M136" s="6" t="s">
        <v>1183</v>
      </c>
      <c r="N136" s="12" t="s">
        <v>840</v>
      </c>
      <c r="O136" s="6" t="s">
        <v>841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1546</v>
      </c>
    </row>
    <row r="137" customFormat="false" ht="23.85" hidden="false" customHeight="false" outlineLevel="0" collapsed="false">
      <c r="A137" s="6" t="s">
        <v>1547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1548</v>
      </c>
      <c r="F137" s="11" t="s">
        <v>1549</v>
      </c>
      <c r="G137" s="6" t="s">
        <v>1532</v>
      </c>
      <c r="H137" s="6" t="s">
        <v>869</v>
      </c>
      <c r="I137" s="6" t="s">
        <v>836</v>
      </c>
      <c r="J137" s="6" t="s">
        <v>836</v>
      </c>
      <c r="K137" s="6" t="s">
        <v>837</v>
      </c>
      <c r="L137" s="6" t="s">
        <v>1183</v>
      </c>
      <c r="M137" s="6" t="s">
        <v>1183</v>
      </c>
      <c r="N137" s="12" t="s">
        <v>840</v>
      </c>
      <c r="O137" s="6" t="s">
        <v>841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1550</v>
      </c>
    </row>
    <row r="138" customFormat="false" ht="23.85" hidden="false" customHeight="false" outlineLevel="0" collapsed="false">
      <c r="A138" s="6" t="s">
        <v>1551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1552</v>
      </c>
      <c r="F138" s="11" t="s">
        <v>1553</v>
      </c>
      <c r="G138" s="6" t="s">
        <v>1228</v>
      </c>
      <c r="H138" s="6" t="s">
        <v>869</v>
      </c>
      <c r="I138" s="6" t="s">
        <v>836</v>
      </c>
      <c r="J138" s="6" t="s">
        <v>836</v>
      </c>
      <c r="K138" s="6" t="s">
        <v>837</v>
      </c>
      <c r="L138" s="6" t="s">
        <v>1183</v>
      </c>
      <c r="M138" s="6" t="s">
        <v>1183</v>
      </c>
      <c r="N138" s="12" t="s">
        <v>840</v>
      </c>
      <c r="O138" s="6" t="s">
        <v>841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1554</v>
      </c>
    </row>
    <row r="139" customFormat="false" ht="35.05" hidden="false" customHeight="false" outlineLevel="0" collapsed="false">
      <c r="A139" s="6" t="s">
        <v>1555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1556</v>
      </c>
      <c r="F139" s="11" t="s">
        <v>1557</v>
      </c>
      <c r="G139" s="6" t="s">
        <v>1558</v>
      </c>
      <c r="H139" s="6" t="s">
        <v>869</v>
      </c>
      <c r="I139" s="6" t="s">
        <v>836</v>
      </c>
      <c r="J139" s="6" t="s">
        <v>836</v>
      </c>
      <c r="K139" s="6" t="s">
        <v>837</v>
      </c>
      <c r="L139" s="6" t="s">
        <v>1183</v>
      </c>
      <c r="M139" s="6" t="s">
        <v>1183</v>
      </c>
      <c r="N139" s="12" t="s">
        <v>840</v>
      </c>
      <c r="O139" s="6" t="s">
        <v>841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1559</v>
      </c>
    </row>
    <row r="140" customFormat="false" ht="35.05" hidden="false" customHeight="false" outlineLevel="0" collapsed="false">
      <c r="A140" s="6" t="s">
        <v>1560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1561</v>
      </c>
      <c r="F140" s="11" t="s">
        <v>1562</v>
      </c>
      <c r="G140" s="6" t="s">
        <v>1449</v>
      </c>
      <c r="H140" s="6" t="s">
        <v>1563</v>
      </c>
      <c r="I140" s="6" t="s">
        <v>836</v>
      </c>
      <c r="J140" s="6" t="s">
        <v>836</v>
      </c>
      <c r="K140" s="6" t="s">
        <v>837</v>
      </c>
      <c r="L140" s="6" t="s">
        <v>838</v>
      </c>
      <c r="M140" s="6" t="s">
        <v>1564</v>
      </c>
      <c r="N140" s="12" t="s">
        <v>840</v>
      </c>
      <c r="O140" s="6" t="s">
        <v>841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1565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1566</v>
      </c>
      <c r="F141" s="11" t="s">
        <v>1567</v>
      </c>
      <c r="G141" s="6" t="s">
        <v>1568</v>
      </c>
      <c r="H141" s="6" t="s">
        <v>1569</v>
      </c>
      <c r="I141" s="6" t="s">
        <v>836</v>
      </c>
      <c r="J141" s="6" t="s">
        <v>836</v>
      </c>
      <c r="K141" s="6" t="s">
        <v>837</v>
      </c>
      <c r="L141" s="6" t="s">
        <v>838</v>
      </c>
      <c r="M141" s="6" t="s">
        <v>1564</v>
      </c>
      <c r="N141" s="12" t="s">
        <v>840</v>
      </c>
      <c r="O141" s="6" t="s">
        <v>841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1570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1571</v>
      </c>
      <c r="F142" s="11" t="s">
        <v>1572</v>
      </c>
      <c r="G142" s="6" t="s">
        <v>1573</v>
      </c>
      <c r="H142" s="6" t="s">
        <v>1569</v>
      </c>
      <c r="I142" s="6" t="s">
        <v>836</v>
      </c>
      <c r="J142" s="6" t="s">
        <v>836</v>
      </c>
      <c r="K142" s="6" t="s">
        <v>837</v>
      </c>
      <c r="L142" s="6" t="s">
        <v>838</v>
      </c>
      <c r="M142" s="6" t="s">
        <v>1564</v>
      </c>
      <c r="N142" s="12" t="s">
        <v>840</v>
      </c>
      <c r="O142" s="6" t="s">
        <v>841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1574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1575</v>
      </c>
      <c r="F143" s="11" t="s">
        <v>1576</v>
      </c>
      <c r="G143" s="6" t="s">
        <v>1577</v>
      </c>
      <c r="H143" s="6" t="s">
        <v>1578</v>
      </c>
      <c r="I143" s="6" t="s">
        <v>836</v>
      </c>
      <c r="J143" s="6" t="s">
        <v>836</v>
      </c>
      <c r="K143" s="6" t="s">
        <v>837</v>
      </c>
      <c r="L143" s="6" t="s">
        <v>863</v>
      </c>
      <c r="M143" s="6" t="s">
        <v>850</v>
      </c>
      <c r="N143" s="12" t="s">
        <v>840</v>
      </c>
      <c r="O143" s="6" t="s">
        <v>841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1579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1580</v>
      </c>
      <c r="F144" s="11" t="s">
        <v>1581</v>
      </c>
      <c r="G144" s="6" t="s">
        <v>1582</v>
      </c>
      <c r="H144" s="6" t="s">
        <v>1583</v>
      </c>
      <c r="I144" s="6" t="s">
        <v>836</v>
      </c>
      <c r="J144" s="6" t="s">
        <v>836</v>
      </c>
      <c r="K144" s="6" t="s">
        <v>837</v>
      </c>
      <c r="L144" s="6" t="s">
        <v>838</v>
      </c>
      <c r="M144" s="6" t="s">
        <v>871</v>
      </c>
      <c r="N144" s="12" t="s">
        <v>840</v>
      </c>
      <c r="O144" s="6" t="s">
        <v>841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1584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1585</v>
      </c>
      <c r="F145" s="11" t="s">
        <v>1586</v>
      </c>
      <c r="G145" s="6" t="s">
        <v>1587</v>
      </c>
      <c r="H145" s="6" t="s">
        <v>1139</v>
      </c>
      <c r="I145" s="6" t="s">
        <v>836</v>
      </c>
      <c r="J145" s="6" t="s">
        <v>836</v>
      </c>
      <c r="K145" s="6" t="s">
        <v>837</v>
      </c>
      <c r="L145" s="6" t="s">
        <v>863</v>
      </c>
      <c r="M145" s="6" t="s">
        <v>871</v>
      </c>
      <c r="N145" s="12" t="s">
        <v>840</v>
      </c>
      <c r="O145" s="6" t="s">
        <v>841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1588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1589</v>
      </c>
      <c r="F146" s="11" t="s">
        <v>1590</v>
      </c>
      <c r="G146" s="6" t="s">
        <v>1486</v>
      </c>
      <c r="H146" s="6" t="s">
        <v>1591</v>
      </c>
      <c r="I146" s="6" t="s">
        <v>836</v>
      </c>
      <c r="J146" s="6" t="s">
        <v>836</v>
      </c>
      <c r="K146" s="6" t="s">
        <v>837</v>
      </c>
      <c r="L146" s="6" t="s">
        <v>838</v>
      </c>
      <c r="M146" s="6" t="s">
        <v>850</v>
      </c>
      <c r="N146" s="12" t="s">
        <v>840</v>
      </c>
      <c r="O146" s="6" t="s">
        <v>841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1592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1593</v>
      </c>
      <c r="F147" s="11" t="s">
        <v>1594</v>
      </c>
      <c r="G147" s="6" t="s">
        <v>1353</v>
      </c>
      <c r="H147" s="6" t="s">
        <v>1595</v>
      </c>
      <c r="I147" s="6" t="s">
        <v>836</v>
      </c>
      <c r="J147" s="6" t="s">
        <v>836</v>
      </c>
      <c r="K147" s="6" t="s">
        <v>837</v>
      </c>
      <c r="L147" s="6" t="s">
        <v>838</v>
      </c>
      <c r="M147" s="6" t="s">
        <v>850</v>
      </c>
      <c r="N147" s="12" t="s">
        <v>840</v>
      </c>
      <c r="O147" s="6" t="s">
        <v>841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1596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1597</v>
      </c>
      <c r="F148" s="11" t="s">
        <v>1598</v>
      </c>
      <c r="G148" s="6" t="s">
        <v>1277</v>
      </c>
      <c r="H148" s="6" t="s">
        <v>1599</v>
      </c>
      <c r="I148" s="6" t="s">
        <v>836</v>
      </c>
      <c r="J148" s="6" t="s">
        <v>836</v>
      </c>
      <c r="K148" s="6" t="s">
        <v>837</v>
      </c>
      <c r="L148" s="6" t="s">
        <v>838</v>
      </c>
      <c r="M148" s="6" t="s">
        <v>850</v>
      </c>
      <c r="N148" s="12" t="s">
        <v>840</v>
      </c>
      <c r="O148" s="6" t="s">
        <v>841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1600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1601</v>
      </c>
      <c r="F149" s="11" t="s">
        <v>1602</v>
      </c>
      <c r="G149" s="6" t="s">
        <v>1603</v>
      </c>
      <c r="H149" s="6" t="s">
        <v>1604</v>
      </c>
      <c r="I149" s="6" t="s">
        <v>836</v>
      </c>
      <c r="J149" s="6" t="s">
        <v>836</v>
      </c>
      <c r="K149" s="6" t="s">
        <v>837</v>
      </c>
      <c r="L149" s="6" t="s">
        <v>838</v>
      </c>
      <c r="M149" s="6" t="s">
        <v>871</v>
      </c>
      <c r="N149" s="12" t="s">
        <v>840</v>
      </c>
      <c r="O149" s="6" t="s">
        <v>841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1605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1606</v>
      </c>
      <c r="F150" s="11" t="s">
        <v>1607</v>
      </c>
      <c r="G150" s="6" t="s">
        <v>1608</v>
      </c>
      <c r="H150" s="6" t="s">
        <v>1609</v>
      </c>
      <c r="I150" s="6" t="s">
        <v>836</v>
      </c>
      <c r="J150" s="6" t="s">
        <v>836</v>
      </c>
      <c r="K150" s="6" t="s">
        <v>837</v>
      </c>
      <c r="L150" s="6" t="s">
        <v>838</v>
      </c>
      <c r="M150" s="6" t="s">
        <v>850</v>
      </c>
      <c r="N150" s="12" t="s">
        <v>840</v>
      </c>
      <c r="O150" s="6" t="s">
        <v>841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1610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1611</v>
      </c>
      <c r="F151" s="11" t="s">
        <v>1612</v>
      </c>
      <c r="G151" s="6" t="s">
        <v>1277</v>
      </c>
      <c r="H151" s="6" t="s">
        <v>1599</v>
      </c>
      <c r="I151" s="6" t="s">
        <v>836</v>
      </c>
      <c r="J151" s="6" t="s">
        <v>836</v>
      </c>
      <c r="K151" s="6" t="s">
        <v>837</v>
      </c>
      <c r="L151" s="6" t="s">
        <v>838</v>
      </c>
      <c r="M151" s="6" t="s">
        <v>871</v>
      </c>
      <c r="N151" s="12" t="s">
        <v>840</v>
      </c>
      <c r="O151" s="6" t="s">
        <v>841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1613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1614</v>
      </c>
      <c r="F152" s="11" t="s">
        <v>1615</v>
      </c>
      <c r="G152" s="6" t="s">
        <v>1558</v>
      </c>
      <c r="H152" s="6" t="s">
        <v>1616</v>
      </c>
      <c r="I152" s="6" t="s">
        <v>836</v>
      </c>
      <c r="J152" s="6" t="s">
        <v>836</v>
      </c>
      <c r="K152" s="6" t="s">
        <v>837</v>
      </c>
      <c r="L152" s="6" t="s">
        <v>838</v>
      </c>
      <c r="M152" s="6" t="s">
        <v>850</v>
      </c>
      <c r="N152" s="12" t="s">
        <v>840</v>
      </c>
      <c r="O152" s="6" t="s">
        <v>841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1617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1618</v>
      </c>
      <c r="F153" s="11" t="s">
        <v>1619</v>
      </c>
      <c r="G153" s="6" t="s">
        <v>1620</v>
      </c>
      <c r="H153" s="6" t="s">
        <v>1621</v>
      </c>
      <c r="I153" s="6" t="s">
        <v>836</v>
      </c>
      <c r="J153" s="6" t="s">
        <v>836</v>
      </c>
      <c r="K153" s="6" t="s">
        <v>837</v>
      </c>
      <c r="L153" s="6" t="s">
        <v>838</v>
      </c>
      <c r="M153" s="6" t="s">
        <v>850</v>
      </c>
      <c r="N153" s="12" t="s">
        <v>840</v>
      </c>
      <c r="O153" s="6" t="s">
        <v>841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1622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1623</v>
      </c>
      <c r="F154" s="11" t="s">
        <v>1624</v>
      </c>
      <c r="G154" s="6" t="s">
        <v>1625</v>
      </c>
      <c r="H154" s="6" t="s">
        <v>1626</v>
      </c>
      <c r="I154" s="6" t="s">
        <v>836</v>
      </c>
      <c r="J154" s="6" t="s">
        <v>836</v>
      </c>
      <c r="K154" s="6" t="s">
        <v>837</v>
      </c>
      <c r="L154" s="6" t="s">
        <v>838</v>
      </c>
      <c r="M154" s="6" t="s">
        <v>850</v>
      </c>
      <c r="N154" s="12" t="s">
        <v>840</v>
      </c>
      <c r="O154" s="6" t="s">
        <v>841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1627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1628</v>
      </c>
      <c r="F155" s="11" t="s">
        <v>1629</v>
      </c>
      <c r="G155" s="6" t="s">
        <v>1630</v>
      </c>
      <c r="H155" s="6" t="s">
        <v>939</v>
      </c>
      <c r="I155" s="6" t="s">
        <v>836</v>
      </c>
      <c r="J155" s="6" t="s">
        <v>836</v>
      </c>
      <c r="K155" s="6" t="s">
        <v>837</v>
      </c>
      <c r="L155" s="6" t="s">
        <v>838</v>
      </c>
      <c r="M155" s="6" t="s">
        <v>871</v>
      </c>
      <c r="N155" s="12" t="s">
        <v>840</v>
      </c>
      <c r="O155" s="6" t="s">
        <v>841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1631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1632</v>
      </c>
      <c r="F156" s="11" t="s">
        <v>1633</v>
      </c>
      <c r="G156" s="6" t="s">
        <v>1634</v>
      </c>
      <c r="H156" s="6" t="s">
        <v>869</v>
      </c>
      <c r="I156" s="6" t="s">
        <v>836</v>
      </c>
      <c r="J156" s="6" t="s">
        <v>836</v>
      </c>
      <c r="K156" s="6" t="s">
        <v>837</v>
      </c>
      <c r="L156" s="6" t="s">
        <v>838</v>
      </c>
      <c r="M156" s="6" t="s">
        <v>871</v>
      </c>
      <c r="N156" s="12" t="s">
        <v>840</v>
      </c>
      <c r="O156" s="6" t="s">
        <v>841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1635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1636</v>
      </c>
      <c r="F157" s="11" t="s">
        <v>1637</v>
      </c>
      <c r="G157" s="6" t="s">
        <v>1638</v>
      </c>
      <c r="H157" s="6" t="s">
        <v>869</v>
      </c>
      <c r="I157" s="6" t="s">
        <v>836</v>
      </c>
      <c r="J157" s="6" t="s">
        <v>836</v>
      </c>
      <c r="K157" s="6" t="s">
        <v>837</v>
      </c>
      <c r="L157" s="6" t="s">
        <v>863</v>
      </c>
      <c r="M157" s="6" t="s">
        <v>871</v>
      </c>
      <c r="N157" s="12" t="s">
        <v>840</v>
      </c>
      <c r="O157" s="6" t="s">
        <v>841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1639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1640</v>
      </c>
      <c r="F158" s="11" t="s">
        <v>1641</v>
      </c>
      <c r="G158" s="6" t="s">
        <v>1642</v>
      </c>
      <c r="H158" s="6" t="s">
        <v>1643</v>
      </c>
      <c r="I158" s="6" t="s">
        <v>836</v>
      </c>
      <c r="J158" s="6" t="s">
        <v>836</v>
      </c>
      <c r="K158" s="6" t="s">
        <v>837</v>
      </c>
      <c r="L158" s="6" t="s">
        <v>863</v>
      </c>
      <c r="M158" s="6" t="s">
        <v>871</v>
      </c>
      <c r="N158" s="12" t="s">
        <v>840</v>
      </c>
      <c r="O158" s="6" t="s">
        <v>841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1644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1645</v>
      </c>
      <c r="F159" s="11" t="s">
        <v>1646</v>
      </c>
      <c r="G159" s="6" t="s">
        <v>1608</v>
      </c>
      <c r="H159" s="6" t="s">
        <v>1609</v>
      </c>
      <c r="I159" s="6" t="s">
        <v>836</v>
      </c>
      <c r="J159" s="6" t="s">
        <v>836</v>
      </c>
      <c r="K159" s="6" t="s">
        <v>837</v>
      </c>
      <c r="L159" s="6" t="s">
        <v>863</v>
      </c>
      <c r="M159" s="6" t="s">
        <v>871</v>
      </c>
      <c r="N159" s="12" t="s">
        <v>840</v>
      </c>
      <c r="O159" s="6" t="s">
        <v>841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1647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1648</v>
      </c>
      <c r="F160" s="11" t="s">
        <v>1649</v>
      </c>
      <c r="G160" s="6" t="s">
        <v>1218</v>
      </c>
      <c r="H160" s="6" t="s">
        <v>919</v>
      </c>
      <c r="I160" s="6" t="s">
        <v>836</v>
      </c>
      <c r="J160" s="6" t="s">
        <v>836</v>
      </c>
      <c r="K160" s="6" t="s">
        <v>837</v>
      </c>
      <c r="L160" s="6" t="s">
        <v>863</v>
      </c>
      <c r="M160" s="6" t="s">
        <v>850</v>
      </c>
      <c r="N160" s="12" t="s">
        <v>840</v>
      </c>
      <c r="O160" s="6" t="s">
        <v>841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1650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1651</v>
      </c>
      <c r="F161" s="11" t="s">
        <v>1652</v>
      </c>
      <c r="G161" s="6" t="s">
        <v>1653</v>
      </c>
      <c r="H161" s="6" t="s">
        <v>1654</v>
      </c>
      <c r="I161" s="6" t="s">
        <v>836</v>
      </c>
      <c r="J161" s="6" t="s">
        <v>836</v>
      </c>
      <c r="K161" s="6" t="s">
        <v>837</v>
      </c>
      <c r="L161" s="6" t="s">
        <v>863</v>
      </c>
      <c r="M161" s="6" t="s">
        <v>850</v>
      </c>
      <c r="N161" s="12" t="s">
        <v>840</v>
      </c>
      <c r="O161" s="6" t="s">
        <v>841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1655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1656</v>
      </c>
      <c r="F162" s="11" t="s">
        <v>1657</v>
      </c>
      <c r="G162" s="6" t="s">
        <v>1658</v>
      </c>
      <c r="H162" s="6" t="s">
        <v>1659</v>
      </c>
      <c r="I162" s="6" t="s">
        <v>836</v>
      </c>
      <c r="J162" s="6" t="s">
        <v>836</v>
      </c>
      <c r="K162" s="6" t="s">
        <v>837</v>
      </c>
      <c r="L162" s="6" t="s">
        <v>863</v>
      </c>
      <c r="M162" s="6" t="s">
        <v>850</v>
      </c>
      <c r="N162" s="12" t="s">
        <v>840</v>
      </c>
      <c r="O162" s="6" t="s">
        <v>841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1660</v>
      </c>
    </row>
    <row r="163" customFormat="false" ht="23.85" hidden="false" customHeight="false" outlineLevel="0" collapsed="false">
      <c r="A163" s="6" t="s">
        <v>1661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1662</v>
      </c>
      <c r="F163" s="11" t="s">
        <v>1663</v>
      </c>
      <c r="G163" s="6" t="s">
        <v>1664</v>
      </c>
      <c r="H163" s="6" t="s">
        <v>1665</v>
      </c>
      <c r="I163" s="6" t="s">
        <v>836</v>
      </c>
      <c r="J163" s="6" t="s">
        <v>836</v>
      </c>
      <c r="K163" s="6" t="s">
        <v>837</v>
      </c>
      <c r="L163" s="6" t="s">
        <v>863</v>
      </c>
      <c r="M163" s="6" t="s">
        <v>850</v>
      </c>
      <c r="N163" s="12" t="s">
        <v>840</v>
      </c>
      <c r="O163" s="6" t="s">
        <v>841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1660</v>
      </c>
    </row>
    <row r="164" customFormat="false" ht="23.85" hidden="false" customHeight="false" outlineLevel="0" collapsed="false">
      <c r="A164" s="6" t="s">
        <v>1666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1667</v>
      </c>
      <c r="F164" s="11" t="s">
        <v>1668</v>
      </c>
      <c r="G164" s="6" t="s">
        <v>846</v>
      </c>
      <c r="H164" s="6" t="s">
        <v>847</v>
      </c>
      <c r="I164" s="6" t="s">
        <v>836</v>
      </c>
      <c r="J164" s="6" t="s">
        <v>836</v>
      </c>
      <c r="K164" s="6" t="s">
        <v>837</v>
      </c>
      <c r="L164" s="6" t="s">
        <v>863</v>
      </c>
      <c r="M164" s="6" t="s">
        <v>850</v>
      </c>
      <c r="N164" s="12" t="s">
        <v>840</v>
      </c>
      <c r="O164" s="6" t="s">
        <v>841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1660</v>
      </c>
    </row>
    <row r="165" customFormat="false" ht="23.85" hidden="false" customHeight="false" outlineLevel="0" collapsed="false">
      <c r="A165" s="6" t="s">
        <v>1669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1670</v>
      </c>
      <c r="F165" s="11" t="s">
        <v>1671</v>
      </c>
      <c r="G165" s="6" t="s">
        <v>1218</v>
      </c>
      <c r="H165" s="6" t="s">
        <v>919</v>
      </c>
      <c r="I165" s="6" t="s">
        <v>836</v>
      </c>
      <c r="J165" s="6" t="s">
        <v>836</v>
      </c>
      <c r="K165" s="6" t="s">
        <v>837</v>
      </c>
      <c r="L165" s="6" t="s">
        <v>863</v>
      </c>
      <c r="M165" s="6" t="s">
        <v>1672</v>
      </c>
      <c r="N165" s="12" t="s">
        <v>840</v>
      </c>
      <c r="O165" s="6" t="s">
        <v>841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1660</v>
      </c>
    </row>
    <row r="166" customFormat="false" ht="23.85" hidden="false" customHeight="false" outlineLevel="0" collapsed="false">
      <c r="A166" s="6" t="s">
        <v>1673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1674</v>
      </c>
      <c r="F166" s="11" t="s">
        <v>1675</v>
      </c>
      <c r="G166" s="6" t="s">
        <v>1676</v>
      </c>
      <c r="H166" s="6" t="s">
        <v>1677</v>
      </c>
      <c r="I166" s="6" t="s">
        <v>836</v>
      </c>
      <c r="J166" s="6" t="s">
        <v>836</v>
      </c>
      <c r="K166" s="6" t="s">
        <v>837</v>
      </c>
      <c r="L166" s="6" t="s">
        <v>838</v>
      </c>
      <c r="M166" s="6" t="s">
        <v>850</v>
      </c>
      <c r="N166" s="12" t="s">
        <v>840</v>
      </c>
      <c r="O166" s="6" t="s">
        <v>841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1660</v>
      </c>
    </row>
    <row r="167" customFormat="false" ht="23.85" hidden="false" customHeight="false" outlineLevel="0" collapsed="false">
      <c r="A167" s="6" t="s">
        <v>1678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1679</v>
      </c>
      <c r="F167" s="11" t="s">
        <v>1680</v>
      </c>
      <c r="G167" s="6" t="s">
        <v>1218</v>
      </c>
      <c r="H167" s="6" t="s">
        <v>919</v>
      </c>
      <c r="I167" s="6" t="s">
        <v>836</v>
      </c>
      <c r="J167" s="6" t="s">
        <v>836</v>
      </c>
      <c r="K167" s="6" t="s">
        <v>837</v>
      </c>
      <c r="L167" s="6" t="s">
        <v>838</v>
      </c>
      <c r="M167" s="6" t="s">
        <v>921</v>
      </c>
      <c r="N167" s="12" t="s">
        <v>840</v>
      </c>
      <c r="O167" s="6" t="s">
        <v>841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1681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1682</v>
      </c>
      <c r="F168" s="11" t="s">
        <v>1683</v>
      </c>
      <c r="G168" s="6" t="s">
        <v>1684</v>
      </c>
      <c r="H168" s="6" t="s">
        <v>1685</v>
      </c>
      <c r="I168" s="6" t="s">
        <v>836</v>
      </c>
      <c r="J168" s="6" t="s">
        <v>836</v>
      </c>
      <c r="K168" s="6" t="s">
        <v>837</v>
      </c>
      <c r="L168" s="6" t="s">
        <v>863</v>
      </c>
      <c r="M168" s="6" t="s">
        <v>1672</v>
      </c>
      <c r="N168" s="12" t="s">
        <v>840</v>
      </c>
      <c r="O168" s="6" t="s">
        <v>841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1686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1687</v>
      </c>
      <c r="F169" s="11" t="s">
        <v>1688</v>
      </c>
      <c r="G169" s="6" t="s">
        <v>1653</v>
      </c>
      <c r="H169" s="6" t="s">
        <v>1654</v>
      </c>
      <c r="I169" s="6" t="s">
        <v>836</v>
      </c>
      <c r="J169" s="6" t="s">
        <v>836</v>
      </c>
      <c r="K169" s="6" t="s">
        <v>837</v>
      </c>
      <c r="L169" s="6" t="s">
        <v>863</v>
      </c>
      <c r="M169" s="6" t="s">
        <v>871</v>
      </c>
      <c r="N169" s="12" t="s">
        <v>840</v>
      </c>
      <c r="O169" s="6" t="s">
        <v>841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1689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1690</v>
      </c>
      <c r="F170" s="11" t="s">
        <v>1691</v>
      </c>
      <c r="G170" s="6" t="s">
        <v>1228</v>
      </c>
      <c r="H170" s="6" t="s">
        <v>1692</v>
      </c>
      <c r="I170" s="6" t="s">
        <v>836</v>
      </c>
      <c r="J170" s="6" t="s">
        <v>836</v>
      </c>
      <c r="K170" s="6" t="s">
        <v>837</v>
      </c>
      <c r="L170" s="6" t="s">
        <v>863</v>
      </c>
      <c r="M170" s="6" t="s">
        <v>1672</v>
      </c>
      <c r="N170" s="12" t="s">
        <v>840</v>
      </c>
      <c r="O170" s="6" t="s">
        <v>841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1693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1694</v>
      </c>
      <c r="F171" s="11" t="s">
        <v>1695</v>
      </c>
      <c r="G171" s="6" t="s">
        <v>1218</v>
      </c>
      <c r="H171" s="6" t="s">
        <v>919</v>
      </c>
      <c r="I171" s="6" t="s">
        <v>836</v>
      </c>
      <c r="J171" s="6" t="s">
        <v>836</v>
      </c>
      <c r="K171" s="6" t="s">
        <v>837</v>
      </c>
      <c r="L171" s="6" t="s">
        <v>863</v>
      </c>
      <c r="M171" s="6" t="s">
        <v>921</v>
      </c>
      <c r="N171" s="12" t="s">
        <v>840</v>
      </c>
      <c r="O171" s="6" t="s">
        <v>841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1696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1697</v>
      </c>
      <c r="F172" s="11" t="s">
        <v>1698</v>
      </c>
      <c r="G172" s="6" t="s">
        <v>1228</v>
      </c>
      <c r="H172" s="6" t="s">
        <v>1692</v>
      </c>
      <c r="I172" s="6" t="s">
        <v>836</v>
      </c>
      <c r="J172" s="6" t="s">
        <v>836</v>
      </c>
      <c r="K172" s="6" t="s">
        <v>837</v>
      </c>
      <c r="L172" s="6" t="s">
        <v>863</v>
      </c>
      <c r="M172" s="6" t="s">
        <v>1672</v>
      </c>
      <c r="N172" s="12" t="s">
        <v>840</v>
      </c>
      <c r="O172" s="6" t="s">
        <v>841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1699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1700</v>
      </c>
      <c r="F173" s="11" t="s">
        <v>1701</v>
      </c>
      <c r="G173" s="6" t="s">
        <v>1401</v>
      </c>
      <c r="H173" s="6" t="s">
        <v>869</v>
      </c>
      <c r="I173" s="6" t="s">
        <v>836</v>
      </c>
      <c r="J173" s="6" t="s">
        <v>836</v>
      </c>
      <c r="K173" s="6" t="s">
        <v>837</v>
      </c>
      <c r="L173" s="6" t="s">
        <v>863</v>
      </c>
      <c r="M173" s="6" t="s">
        <v>871</v>
      </c>
      <c r="N173" s="12" t="s">
        <v>840</v>
      </c>
      <c r="O173" s="6" t="s">
        <v>841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1702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1703</v>
      </c>
      <c r="F174" s="11" t="s">
        <v>1704</v>
      </c>
      <c r="G174" s="6" t="s">
        <v>1705</v>
      </c>
      <c r="H174" s="6" t="s">
        <v>1706</v>
      </c>
      <c r="I174" s="6" t="s">
        <v>836</v>
      </c>
      <c r="J174" s="6" t="s">
        <v>836</v>
      </c>
      <c r="K174" s="6" t="s">
        <v>837</v>
      </c>
      <c r="L174" s="6" t="s">
        <v>1707</v>
      </c>
      <c r="M174" s="6" t="s">
        <v>871</v>
      </c>
      <c r="N174" s="12" t="s">
        <v>840</v>
      </c>
      <c r="O174" s="6" t="s">
        <v>841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1708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1709</v>
      </c>
      <c r="F175" s="11" t="s">
        <v>1710</v>
      </c>
      <c r="G175" s="6" t="s">
        <v>1228</v>
      </c>
      <c r="H175" s="6" t="s">
        <v>1692</v>
      </c>
      <c r="I175" s="6" t="s">
        <v>836</v>
      </c>
      <c r="J175" s="6" t="s">
        <v>836</v>
      </c>
      <c r="K175" s="6" t="s">
        <v>837</v>
      </c>
      <c r="L175" s="6" t="s">
        <v>863</v>
      </c>
      <c r="M175" s="6" t="s">
        <v>871</v>
      </c>
      <c r="N175" s="12" t="s">
        <v>840</v>
      </c>
      <c r="O175" s="6" t="s">
        <v>841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1711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1712</v>
      </c>
      <c r="F176" s="11" t="s">
        <v>1713</v>
      </c>
      <c r="G176" s="6" t="s">
        <v>1228</v>
      </c>
      <c r="H176" s="6" t="s">
        <v>1692</v>
      </c>
      <c r="I176" s="6" t="s">
        <v>836</v>
      </c>
      <c r="J176" s="6" t="s">
        <v>836</v>
      </c>
      <c r="K176" s="6" t="s">
        <v>837</v>
      </c>
      <c r="L176" s="6" t="s">
        <v>863</v>
      </c>
      <c r="M176" s="6" t="s">
        <v>871</v>
      </c>
      <c r="N176" s="12" t="s">
        <v>840</v>
      </c>
      <c r="O176" s="6" t="s">
        <v>841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1714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1715</v>
      </c>
      <c r="F177" s="11" t="s">
        <v>1716</v>
      </c>
      <c r="G177" s="6" t="s">
        <v>1097</v>
      </c>
      <c r="H177" s="6" t="s">
        <v>869</v>
      </c>
      <c r="I177" s="6" t="s">
        <v>836</v>
      </c>
      <c r="J177" s="6" t="s">
        <v>836</v>
      </c>
      <c r="K177" s="6" t="s">
        <v>837</v>
      </c>
      <c r="L177" s="6" t="s">
        <v>838</v>
      </c>
      <c r="M177" s="6" t="s">
        <v>1672</v>
      </c>
      <c r="N177" s="12" t="s">
        <v>840</v>
      </c>
      <c r="O177" s="6" t="s">
        <v>841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1717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1718</v>
      </c>
      <c r="F178" s="11" t="s">
        <v>1719</v>
      </c>
      <c r="G178" s="6" t="s">
        <v>1720</v>
      </c>
      <c r="H178" s="6" t="s">
        <v>1721</v>
      </c>
      <c r="I178" s="6" t="s">
        <v>836</v>
      </c>
      <c r="J178" s="6" t="s">
        <v>836</v>
      </c>
      <c r="K178" s="6" t="s">
        <v>837</v>
      </c>
      <c r="L178" s="6" t="s">
        <v>863</v>
      </c>
      <c r="M178" s="6" t="s">
        <v>871</v>
      </c>
      <c r="N178" s="12" t="s">
        <v>840</v>
      </c>
      <c r="O178" s="6" t="s">
        <v>841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1722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1723</v>
      </c>
      <c r="F179" s="11" t="s">
        <v>1724</v>
      </c>
      <c r="G179" s="6" t="s">
        <v>1725</v>
      </c>
      <c r="H179" s="6" t="s">
        <v>1726</v>
      </c>
      <c r="I179" s="6" t="s">
        <v>836</v>
      </c>
      <c r="J179" s="6" t="s">
        <v>836</v>
      </c>
      <c r="K179" s="6" t="s">
        <v>837</v>
      </c>
      <c r="L179" s="6" t="s">
        <v>863</v>
      </c>
      <c r="M179" s="6" t="s">
        <v>871</v>
      </c>
      <c r="N179" s="12" t="s">
        <v>840</v>
      </c>
      <c r="O179" s="6" t="s">
        <v>841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1727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1728</v>
      </c>
      <c r="F180" s="11" t="s">
        <v>1729</v>
      </c>
      <c r="G180" s="6" t="s">
        <v>1188</v>
      </c>
      <c r="H180" s="6" t="s">
        <v>1730</v>
      </c>
      <c r="I180" s="6" t="s">
        <v>836</v>
      </c>
      <c r="J180" s="6" t="s">
        <v>836</v>
      </c>
      <c r="K180" s="6" t="s">
        <v>837</v>
      </c>
      <c r="L180" s="6" t="s">
        <v>838</v>
      </c>
      <c r="M180" s="6" t="s">
        <v>871</v>
      </c>
      <c r="N180" s="12" t="s">
        <v>840</v>
      </c>
      <c r="O180" s="6" t="s">
        <v>841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1731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1732</v>
      </c>
      <c r="F181" s="11" t="s">
        <v>1733</v>
      </c>
      <c r="G181" s="6" t="s">
        <v>1228</v>
      </c>
      <c r="H181" s="6" t="s">
        <v>1692</v>
      </c>
      <c r="I181" s="6" t="s">
        <v>836</v>
      </c>
      <c r="J181" s="6" t="s">
        <v>836</v>
      </c>
      <c r="K181" s="6" t="s">
        <v>837</v>
      </c>
      <c r="L181" s="6" t="s">
        <v>863</v>
      </c>
      <c r="M181" s="6" t="s">
        <v>871</v>
      </c>
      <c r="N181" s="12" t="s">
        <v>840</v>
      </c>
      <c r="O181" s="6" t="s">
        <v>841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1734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1735</v>
      </c>
      <c r="F182" s="11" t="s">
        <v>1736</v>
      </c>
      <c r="G182" s="6" t="s">
        <v>1737</v>
      </c>
      <c r="H182" s="6" t="s">
        <v>1738</v>
      </c>
      <c r="I182" s="6" t="s">
        <v>836</v>
      </c>
      <c r="J182" s="6" t="s">
        <v>836</v>
      </c>
      <c r="K182" s="6" t="s">
        <v>837</v>
      </c>
      <c r="L182" s="6" t="s">
        <v>863</v>
      </c>
      <c r="M182" s="6" t="s">
        <v>871</v>
      </c>
      <c r="N182" s="12" t="s">
        <v>840</v>
      </c>
      <c r="O182" s="6" t="s">
        <v>841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1739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1740</v>
      </c>
      <c r="F183" s="11" t="s">
        <v>1741</v>
      </c>
      <c r="G183" s="6" t="s">
        <v>1742</v>
      </c>
      <c r="H183" s="6" t="s">
        <v>1743</v>
      </c>
      <c r="I183" s="6" t="s">
        <v>836</v>
      </c>
      <c r="J183" s="6" t="s">
        <v>836</v>
      </c>
      <c r="K183" s="6" t="s">
        <v>837</v>
      </c>
      <c r="L183" s="6" t="s">
        <v>838</v>
      </c>
      <c r="M183" s="6" t="s">
        <v>850</v>
      </c>
      <c r="N183" s="12" t="s">
        <v>840</v>
      </c>
      <c r="O183" s="6" t="s">
        <v>841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1744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1745</v>
      </c>
      <c r="F184" s="11" t="s">
        <v>1746</v>
      </c>
      <c r="G184" s="6" t="s">
        <v>1228</v>
      </c>
      <c r="H184" s="6" t="s">
        <v>1692</v>
      </c>
      <c r="I184" s="6" t="s">
        <v>836</v>
      </c>
      <c r="J184" s="6" t="s">
        <v>836</v>
      </c>
      <c r="K184" s="6" t="s">
        <v>837</v>
      </c>
      <c r="L184" s="6" t="s">
        <v>863</v>
      </c>
      <c r="M184" s="6" t="s">
        <v>871</v>
      </c>
      <c r="N184" s="12" t="s">
        <v>840</v>
      </c>
      <c r="O184" s="6" t="s">
        <v>841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1747</v>
      </c>
      <c r="B185" s="6" t="s">
        <v>301</v>
      </c>
      <c r="C185" s="6" t="s">
        <v>1748</v>
      </c>
      <c r="D185" s="6" t="str">
        <f aca="false">IFERROR(INDEX(Mundarija!$D:$D,MATCH(B185,Mundarija!$A:$A,0)),"kod topilmadi")</f>
        <v>17.5. Moyak ichi va tashqarisidagi hosilalar.</v>
      </c>
      <c r="E185" s="6" t="s">
        <v>1749</v>
      </c>
      <c r="F185" s="11" t="s">
        <v>1750</v>
      </c>
      <c r="G185" s="6" t="s">
        <v>1218</v>
      </c>
      <c r="H185" s="6" t="s">
        <v>919</v>
      </c>
      <c r="I185" s="6" t="s">
        <v>836</v>
      </c>
      <c r="J185" s="6" t="s">
        <v>836</v>
      </c>
      <c r="K185" s="6" t="s">
        <v>837</v>
      </c>
      <c r="L185" s="6" t="s">
        <v>863</v>
      </c>
      <c r="M185" s="6" t="s">
        <v>921</v>
      </c>
      <c r="N185" s="12" t="s">
        <v>840</v>
      </c>
      <c r="O185" s="6" t="s">
        <v>841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1751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1752</v>
      </c>
      <c r="F186" s="11" t="s">
        <v>1753</v>
      </c>
      <c r="G186" s="6" t="s">
        <v>1228</v>
      </c>
      <c r="H186" s="6" t="s">
        <v>1692</v>
      </c>
      <c r="I186" s="6" t="s">
        <v>836</v>
      </c>
      <c r="J186" s="6" t="s">
        <v>836</v>
      </c>
      <c r="K186" s="6" t="s">
        <v>837</v>
      </c>
      <c r="L186" s="6" t="s">
        <v>863</v>
      </c>
      <c r="M186" s="6" t="s">
        <v>1672</v>
      </c>
      <c r="N186" s="12" t="s">
        <v>840</v>
      </c>
      <c r="O186" s="6" t="s">
        <v>841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1754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1755</v>
      </c>
      <c r="F187" s="11" t="s">
        <v>1756</v>
      </c>
      <c r="G187" s="6" t="s">
        <v>1757</v>
      </c>
      <c r="H187" s="6" t="s">
        <v>1758</v>
      </c>
      <c r="I187" s="6" t="s">
        <v>836</v>
      </c>
      <c r="J187" s="6" t="s">
        <v>836</v>
      </c>
      <c r="K187" s="6" t="s">
        <v>837</v>
      </c>
      <c r="L187" s="6" t="s">
        <v>863</v>
      </c>
      <c r="M187" s="6" t="s">
        <v>1672</v>
      </c>
      <c r="N187" s="12" t="s">
        <v>840</v>
      </c>
      <c r="O187" s="6" t="s">
        <v>841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1759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1760</v>
      </c>
      <c r="F188" s="11" t="s">
        <v>1761</v>
      </c>
      <c r="G188" s="6" t="s">
        <v>1762</v>
      </c>
      <c r="H188" s="6" t="s">
        <v>1763</v>
      </c>
      <c r="I188" s="6" t="s">
        <v>836</v>
      </c>
      <c r="J188" s="6" t="s">
        <v>836</v>
      </c>
      <c r="K188" s="6" t="s">
        <v>837</v>
      </c>
      <c r="L188" s="6" t="s">
        <v>863</v>
      </c>
      <c r="M188" s="6" t="s">
        <v>1672</v>
      </c>
      <c r="N188" s="12" t="s">
        <v>840</v>
      </c>
      <c r="O188" s="6" t="s">
        <v>841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1764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1765</v>
      </c>
      <c r="F189" s="11" t="s">
        <v>1766</v>
      </c>
      <c r="G189" s="6" t="s">
        <v>1277</v>
      </c>
      <c r="H189" s="6" t="s">
        <v>1599</v>
      </c>
      <c r="I189" s="6" t="s">
        <v>836</v>
      </c>
      <c r="J189" s="6" t="s">
        <v>836</v>
      </c>
      <c r="K189" s="6" t="s">
        <v>837</v>
      </c>
      <c r="L189" s="6" t="s">
        <v>838</v>
      </c>
      <c r="M189" s="6" t="s">
        <v>850</v>
      </c>
      <c r="N189" s="12" t="s">
        <v>840</v>
      </c>
      <c r="O189" s="6" t="s">
        <v>841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1767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1768</v>
      </c>
      <c r="F190" s="11" t="s">
        <v>1769</v>
      </c>
      <c r="G190" s="6" t="s">
        <v>1218</v>
      </c>
      <c r="H190" s="6" t="s">
        <v>919</v>
      </c>
      <c r="I190" s="6" t="s">
        <v>836</v>
      </c>
      <c r="J190" s="6" t="s">
        <v>836</v>
      </c>
      <c r="K190" s="6" t="s">
        <v>837</v>
      </c>
      <c r="L190" s="6" t="s">
        <v>863</v>
      </c>
      <c r="M190" s="6" t="s">
        <v>921</v>
      </c>
      <c r="N190" s="12" t="s">
        <v>840</v>
      </c>
      <c r="O190" s="6" t="s">
        <v>841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1770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1771</v>
      </c>
      <c r="F191" s="11" t="s">
        <v>1772</v>
      </c>
      <c r="G191" s="6" t="s">
        <v>1188</v>
      </c>
      <c r="H191" s="6" t="s">
        <v>1730</v>
      </c>
      <c r="I191" s="6" t="s">
        <v>836</v>
      </c>
      <c r="J191" s="6" t="s">
        <v>836</v>
      </c>
      <c r="K191" s="6" t="s">
        <v>837</v>
      </c>
      <c r="L191" s="6" t="s">
        <v>838</v>
      </c>
      <c r="M191" s="6" t="s">
        <v>850</v>
      </c>
      <c r="N191" s="12" t="s">
        <v>840</v>
      </c>
      <c r="O191" s="6" t="s">
        <v>841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1773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1774</v>
      </c>
      <c r="F192" s="11" t="s">
        <v>1775</v>
      </c>
      <c r="G192" s="6" t="s">
        <v>1295</v>
      </c>
      <c r="H192" s="6" t="s">
        <v>1776</v>
      </c>
      <c r="I192" s="6" t="s">
        <v>836</v>
      </c>
      <c r="J192" s="6" t="s">
        <v>836</v>
      </c>
      <c r="K192" s="6" t="s">
        <v>837</v>
      </c>
      <c r="L192" s="6" t="s">
        <v>1707</v>
      </c>
      <c r="M192" s="6" t="s">
        <v>871</v>
      </c>
      <c r="N192" s="12" t="s">
        <v>840</v>
      </c>
      <c r="O192" s="6" t="s">
        <v>841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1777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1778</v>
      </c>
      <c r="F193" s="11" t="s">
        <v>1779</v>
      </c>
      <c r="G193" s="6" t="s">
        <v>1780</v>
      </c>
      <c r="H193" s="6" t="s">
        <v>1781</v>
      </c>
      <c r="I193" s="6" t="s">
        <v>1782</v>
      </c>
      <c r="J193" s="6" t="s">
        <v>836</v>
      </c>
      <c r="K193" s="6" t="s">
        <v>837</v>
      </c>
      <c r="L193" s="6" t="s">
        <v>1707</v>
      </c>
      <c r="M193" s="6" t="s">
        <v>850</v>
      </c>
      <c r="N193" s="12" t="s">
        <v>840</v>
      </c>
      <c r="O193" s="6" t="s">
        <v>841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1783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1784</v>
      </c>
      <c r="F194" s="11" t="s">
        <v>1785</v>
      </c>
      <c r="G194" s="6" t="s">
        <v>1188</v>
      </c>
      <c r="H194" s="6" t="s">
        <v>1730</v>
      </c>
      <c r="I194" s="6" t="s">
        <v>836</v>
      </c>
      <c r="J194" s="6" t="s">
        <v>836</v>
      </c>
      <c r="K194" s="6" t="s">
        <v>837</v>
      </c>
      <c r="L194" s="6" t="s">
        <v>838</v>
      </c>
      <c r="M194" s="6" t="s">
        <v>871</v>
      </c>
      <c r="N194" s="12" t="s">
        <v>840</v>
      </c>
      <c r="O194" s="6" t="s">
        <v>841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1786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1787</v>
      </c>
      <c r="F195" s="11" t="s">
        <v>1788</v>
      </c>
      <c r="G195" s="6" t="s">
        <v>1080</v>
      </c>
      <c r="H195" s="6" t="s">
        <v>1789</v>
      </c>
      <c r="I195" s="6" t="s">
        <v>836</v>
      </c>
      <c r="J195" s="6" t="s">
        <v>836</v>
      </c>
      <c r="K195" s="6" t="s">
        <v>837</v>
      </c>
      <c r="L195" s="6" t="s">
        <v>838</v>
      </c>
      <c r="M195" s="6" t="s">
        <v>850</v>
      </c>
      <c r="N195" s="12" t="s">
        <v>840</v>
      </c>
      <c r="O195" s="6" t="s">
        <v>841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1790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1791</v>
      </c>
      <c r="F196" s="11" t="s">
        <v>1792</v>
      </c>
      <c r="G196" s="6" t="s">
        <v>1793</v>
      </c>
      <c r="H196" s="6" t="s">
        <v>869</v>
      </c>
      <c r="I196" s="6" t="s">
        <v>836</v>
      </c>
      <c r="J196" s="6" t="s">
        <v>836</v>
      </c>
      <c r="K196" s="6" t="s">
        <v>837</v>
      </c>
      <c r="L196" s="6" t="s">
        <v>838</v>
      </c>
      <c r="M196" s="6" t="s">
        <v>1672</v>
      </c>
      <c r="N196" s="12" t="s">
        <v>840</v>
      </c>
      <c r="O196" s="6" t="s">
        <v>841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1794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1795</v>
      </c>
      <c r="F197" s="11" t="s">
        <v>1796</v>
      </c>
      <c r="G197" s="6" t="s">
        <v>1797</v>
      </c>
      <c r="H197" s="6" t="s">
        <v>1685</v>
      </c>
      <c r="I197" s="6" t="s">
        <v>836</v>
      </c>
      <c r="J197" s="6" t="s">
        <v>836</v>
      </c>
      <c r="K197" s="6" t="s">
        <v>837</v>
      </c>
      <c r="L197" s="6" t="s">
        <v>838</v>
      </c>
      <c r="M197" s="6" t="s">
        <v>871</v>
      </c>
      <c r="N197" s="12" t="s">
        <v>840</v>
      </c>
      <c r="O197" s="6" t="s">
        <v>841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1798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1799</v>
      </c>
      <c r="F198" s="11" t="s">
        <v>1800</v>
      </c>
      <c r="G198" s="6" t="s">
        <v>1182</v>
      </c>
      <c r="H198" s="6" t="s">
        <v>1801</v>
      </c>
      <c r="I198" s="6" t="s">
        <v>836</v>
      </c>
      <c r="J198" s="6" t="s">
        <v>836</v>
      </c>
      <c r="K198" s="6" t="s">
        <v>837</v>
      </c>
      <c r="L198" s="6" t="s">
        <v>838</v>
      </c>
      <c r="M198" s="6" t="s">
        <v>871</v>
      </c>
      <c r="N198" s="12" t="s">
        <v>840</v>
      </c>
      <c r="O198" s="6" t="s">
        <v>841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1802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1803</v>
      </c>
      <c r="F199" s="11" t="s">
        <v>1804</v>
      </c>
      <c r="G199" s="6" t="s">
        <v>1218</v>
      </c>
      <c r="H199" s="6" t="s">
        <v>919</v>
      </c>
      <c r="I199" s="6" t="s">
        <v>836</v>
      </c>
      <c r="J199" s="6" t="s">
        <v>836</v>
      </c>
      <c r="K199" s="6" t="s">
        <v>837</v>
      </c>
      <c r="L199" s="6" t="s">
        <v>838</v>
      </c>
      <c r="M199" s="6" t="s">
        <v>850</v>
      </c>
      <c r="N199" s="12" t="s">
        <v>840</v>
      </c>
      <c r="O199" s="6" t="s">
        <v>841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1805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1806</v>
      </c>
      <c r="F200" s="11" t="s">
        <v>1807</v>
      </c>
      <c r="G200" s="6" t="s">
        <v>868</v>
      </c>
      <c r="H200" s="6" t="s">
        <v>1808</v>
      </c>
      <c r="I200" s="6" t="s">
        <v>836</v>
      </c>
      <c r="J200" s="6" t="s">
        <v>836</v>
      </c>
      <c r="K200" s="6" t="s">
        <v>837</v>
      </c>
      <c r="L200" s="6" t="s">
        <v>838</v>
      </c>
      <c r="M200" s="6" t="s">
        <v>871</v>
      </c>
      <c r="N200" s="12" t="s">
        <v>840</v>
      </c>
      <c r="O200" s="6" t="s">
        <v>841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1809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1810</v>
      </c>
      <c r="F201" s="11" t="s">
        <v>1811</v>
      </c>
      <c r="G201" s="6" t="s">
        <v>1188</v>
      </c>
      <c r="H201" s="6" t="s">
        <v>1730</v>
      </c>
      <c r="I201" s="6" t="s">
        <v>836</v>
      </c>
      <c r="J201" s="6" t="s">
        <v>836</v>
      </c>
      <c r="K201" s="6" t="s">
        <v>837</v>
      </c>
      <c r="L201" s="6" t="s">
        <v>863</v>
      </c>
      <c r="M201" s="6" t="s">
        <v>871</v>
      </c>
      <c r="N201" s="12" t="s">
        <v>840</v>
      </c>
      <c r="O201" s="6" t="s">
        <v>841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1812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1813</v>
      </c>
      <c r="F202" s="11" t="s">
        <v>1814</v>
      </c>
      <c r="G202" s="6" t="s">
        <v>1204</v>
      </c>
      <c r="H202" s="6" t="s">
        <v>1815</v>
      </c>
      <c r="I202" s="6" t="s">
        <v>836</v>
      </c>
      <c r="J202" s="6" t="s">
        <v>836</v>
      </c>
      <c r="K202" s="6" t="s">
        <v>837</v>
      </c>
      <c r="L202" s="6" t="s">
        <v>863</v>
      </c>
      <c r="M202" s="6" t="s">
        <v>871</v>
      </c>
      <c r="N202" s="12" t="s">
        <v>840</v>
      </c>
      <c r="O202" s="6" t="s">
        <v>841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1816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1817</v>
      </c>
      <c r="F203" s="11" t="s">
        <v>1818</v>
      </c>
      <c r="G203" s="6" t="s">
        <v>1228</v>
      </c>
      <c r="H203" s="6" t="s">
        <v>1692</v>
      </c>
      <c r="I203" s="6" t="s">
        <v>836</v>
      </c>
      <c r="J203" s="6" t="s">
        <v>836</v>
      </c>
      <c r="K203" s="6" t="s">
        <v>837</v>
      </c>
      <c r="L203" s="6" t="s">
        <v>863</v>
      </c>
      <c r="M203" s="6" t="s">
        <v>1672</v>
      </c>
      <c r="N203" s="12" t="s">
        <v>840</v>
      </c>
      <c r="O203" s="6" t="s">
        <v>841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1819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1820</v>
      </c>
      <c r="F204" s="11" t="s">
        <v>1821</v>
      </c>
      <c r="G204" s="6" t="s">
        <v>1822</v>
      </c>
      <c r="H204" s="6" t="s">
        <v>869</v>
      </c>
      <c r="I204" s="6" t="s">
        <v>836</v>
      </c>
      <c r="J204" s="6" t="s">
        <v>836</v>
      </c>
      <c r="K204" s="6" t="s">
        <v>837</v>
      </c>
      <c r="L204" s="6" t="s">
        <v>863</v>
      </c>
      <c r="M204" s="6" t="s">
        <v>1672</v>
      </c>
      <c r="N204" s="12" t="s">
        <v>840</v>
      </c>
      <c r="O204" s="6" t="s">
        <v>841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1823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1824</v>
      </c>
      <c r="F205" s="11" t="s">
        <v>1825</v>
      </c>
      <c r="G205" s="6" t="s">
        <v>1705</v>
      </c>
      <c r="H205" s="6" t="s">
        <v>1706</v>
      </c>
      <c r="I205" s="6" t="s">
        <v>836</v>
      </c>
      <c r="J205" s="6" t="s">
        <v>836</v>
      </c>
      <c r="K205" s="6" t="s">
        <v>837</v>
      </c>
      <c r="L205" s="6" t="s">
        <v>863</v>
      </c>
      <c r="M205" s="6" t="s">
        <v>871</v>
      </c>
      <c r="N205" s="12" t="s">
        <v>840</v>
      </c>
      <c r="O205" s="6" t="s">
        <v>841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1826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1827</v>
      </c>
      <c r="F206" s="11" t="s">
        <v>1828</v>
      </c>
      <c r="G206" s="6" t="s">
        <v>1587</v>
      </c>
      <c r="H206" s="6" t="s">
        <v>1139</v>
      </c>
      <c r="I206" s="6" t="s">
        <v>836</v>
      </c>
      <c r="J206" s="6" t="s">
        <v>836</v>
      </c>
      <c r="K206" s="6" t="s">
        <v>837</v>
      </c>
      <c r="L206" s="6" t="s">
        <v>863</v>
      </c>
      <c r="M206" s="6" t="s">
        <v>871</v>
      </c>
      <c r="N206" s="12" t="s">
        <v>840</v>
      </c>
      <c r="O206" s="6" t="s">
        <v>841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1829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1830</v>
      </c>
      <c r="F207" s="11" t="s">
        <v>1831</v>
      </c>
      <c r="G207" s="6" t="s">
        <v>1832</v>
      </c>
      <c r="H207" s="6" t="s">
        <v>1833</v>
      </c>
      <c r="I207" s="6" t="s">
        <v>836</v>
      </c>
      <c r="J207" s="6" t="s">
        <v>836</v>
      </c>
      <c r="K207" s="6" t="s">
        <v>837</v>
      </c>
      <c r="L207" s="6" t="s">
        <v>863</v>
      </c>
      <c r="M207" s="6" t="s">
        <v>850</v>
      </c>
      <c r="N207" s="12" t="s">
        <v>840</v>
      </c>
      <c r="O207" s="6" t="s">
        <v>841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1834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1835</v>
      </c>
      <c r="F208" s="11" t="s">
        <v>1836</v>
      </c>
      <c r="G208" s="6" t="s">
        <v>1837</v>
      </c>
      <c r="H208" s="6" t="s">
        <v>1838</v>
      </c>
      <c r="I208" s="6" t="s">
        <v>836</v>
      </c>
      <c r="J208" s="6" t="s">
        <v>836</v>
      </c>
      <c r="K208" s="6" t="s">
        <v>837</v>
      </c>
      <c r="L208" s="6" t="s">
        <v>863</v>
      </c>
      <c r="M208" s="6" t="s">
        <v>850</v>
      </c>
      <c r="N208" s="12" t="s">
        <v>840</v>
      </c>
      <c r="O208" s="6" t="s">
        <v>841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1839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1840</v>
      </c>
      <c r="F209" s="11" t="s">
        <v>1841</v>
      </c>
      <c r="G209" s="6" t="s">
        <v>1842</v>
      </c>
      <c r="H209" s="6" t="s">
        <v>1843</v>
      </c>
      <c r="I209" s="6" t="s">
        <v>836</v>
      </c>
      <c r="J209" s="6" t="s">
        <v>836</v>
      </c>
      <c r="K209" s="6" t="s">
        <v>837</v>
      </c>
      <c r="L209" s="6" t="s">
        <v>1707</v>
      </c>
      <c r="M209" s="6" t="s">
        <v>1672</v>
      </c>
      <c r="N209" s="12" t="s">
        <v>840</v>
      </c>
      <c r="O209" s="6" t="s">
        <v>841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1844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1845</v>
      </c>
      <c r="F210" s="11" t="s">
        <v>1846</v>
      </c>
      <c r="G210" s="6" t="s">
        <v>1847</v>
      </c>
      <c r="H210" s="6" t="s">
        <v>1848</v>
      </c>
      <c r="I210" s="6" t="s">
        <v>836</v>
      </c>
      <c r="J210" s="6" t="s">
        <v>836</v>
      </c>
      <c r="K210" s="6" t="s">
        <v>837</v>
      </c>
      <c r="L210" s="6" t="s">
        <v>1707</v>
      </c>
      <c r="M210" s="6" t="s">
        <v>871</v>
      </c>
      <c r="N210" s="12" t="s">
        <v>840</v>
      </c>
      <c r="O210" s="6" t="s">
        <v>841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1849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1850</v>
      </c>
      <c r="F211" s="11" t="s">
        <v>1851</v>
      </c>
      <c r="G211" s="6" t="s">
        <v>1832</v>
      </c>
      <c r="H211" s="6" t="s">
        <v>1852</v>
      </c>
      <c r="I211" s="6" t="s">
        <v>836</v>
      </c>
      <c r="J211" s="6" t="s">
        <v>836</v>
      </c>
      <c r="K211" s="6" t="s">
        <v>837</v>
      </c>
      <c r="L211" s="6" t="s">
        <v>1707</v>
      </c>
      <c r="M211" s="6" t="s">
        <v>871</v>
      </c>
      <c r="N211" s="12" t="s">
        <v>840</v>
      </c>
      <c r="O211" s="6" t="s">
        <v>841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1853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1854</v>
      </c>
      <c r="F212" s="11" t="s">
        <v>1855</v>
      </c>
      <c r="G212" s="6" t="s">
        <v>1705</v>
      </c>
      <c r="H212" s="6" t="s">
        <v>1706</v>
      </c>
      <c r="I212" s="6" t="s">
        <v>836</v>
      </c>
      <c r="J212" s="6" t="s">
        <v>836</v>
      </c>
      <c r="K212" s="6" t="s">
        <v>837</v>
      </c>
      <c r="L212" s="6" t="s">
        <v>1707</v>
      </c>
      <c r="M212" s="6" t="s">
        <v>871</v>
      </c>
      <c r="N212" s="12" t="s">
        <v>840</v>
      </c>
      <c r="O212" s="6" t="s">
        <v>841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1856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1857</v>
      </c>
      <c r="F213" s="11" t="s">
        <v>1858</v>
      </c>
      <c r="G213" s="6" t="s">
        <v>1608</v>
      </c>
      <c r="H213" s="6" t="s">
        <v>1609</v>
      </c>
      <c r="I213" s="6" t="s">
        <v>836</v>
      </c>
      <c r="J213" s="6" t="s">
        <v>836</v>
      </c>
      <c r="K213" s="6" t="s">
        <v>837</v>
      </c>
      <c r="L213" s="6" t="s">
        <v>838</v>
      </c>
      <c r="M213" s="6" t="s">
        <v>871</v>
      </c>
      <c r="N213" s="12" t="s">
        <v>840</v>
      </c>
      <c r="O213" s="6" t="s">
        <v>841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1859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1860</v>
      </c>
      <c r="F214" s="11" t="s">
        <v>1861</v>
      </c>
      <c r="G214" s="6" t="s">
        <v>1862</v>
      </c>
      <c r="H214" s="6" t="s">
        <v>869</v>
      </c>
      <c r="I214" s="6" t="s">
        <v>836</v>
      </c>
      <c r="J214" s="6" t="s">
        <v>836</v>
      </c>
      <c r="K214" s="6" t="s">
        <v>837</v>
      </c>
      <c r="L214" s="6" t="s">
        <v>863</v>
      </c>
      <c r="M214" s="6" t="s">
        <v>850</v>
      </c>
      <c r="N214" s="12" t="s">
        <v>840</v>
      </c>
      <c r="O214" s="6" t="s">
        <v>841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1863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1864</v>
      </c>
      <c r="F215" s="11" t="s">
        <v>1865</v>
      </c>
      <c r="G215" s="6" t="s">
        <v>1218</v>
      </c>
      <c r="H215" s="6" t="s">
        <v>919</v>
      </c>
      <c r="I215" s="6" t="s">
        <v>836</v>
      </c>
      <c r="J215" s="6" t="s">
        <v>836</v>
      </c>
      <c r="K215" s="6" t="s">
        <v>837</v>
      </c>
      <c r="L215" s="6" t="s">
        <v>863</v>
      </c>
      <c r="M215" s="6" t="s">
        <v>921</v>
      </c>
      <c r="N215" s="12" t="s">
        <v>840</v>
      </c>
      <c r="O215" s="6" t="s">
        <v>841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1866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1867</v>
      </c>
      <c r="F216" s="11" t="s">
        <v>1868</v>
      </c>
      <c r="G216" s="6" t="s">
        <v>1218</v>
      </c>
      <c r="H216" s="6" t="s">
        <v>919</v>
      </c>
      <c r="I216" s="6" t="s">
        <v>836</v>
      </c>
      <c r="J216" s="6" t="s">
        <v>836</v>
      </c>
      <c r="K216" s="6" t="s">
        <v>837</v>
      </c>
      <c r="L216" s="6" t="s">
        <v>863</v>
      </c>
      <c r="M216" s="6" t="s">
        <v>921</v>
      </c>
      <c r="N216" s="12" t="s">
        <v>840</v>
      </c>
      <c r="O216" s="6" t="s">
        <v>841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1869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1870</v>
      </c>
      <c r="F217" s="11" t="s">
        <v>1871</v>
      </c>
      <c r="G217" s="6" t="s">
        <v>1218</v>
      </c>
      <c r="H217" s="6" t="s">
        <v>919</v>
      </c>
      <c r="I217" s="6" t="s">
        <v>836</v>
      </c>
      <c r="J217" s="6" t="s">
        <v>836</v>
      </c>
      <c r="K217" s="6" t="s">
        <v>837</v>
      </c>
      <c r="L217" s="6" t="s">
        <v>863</v>
      </c>
      <c r="M217" s="6" t="s">
        <v>921</v>
      </c>
      <c r="N217" s="12" t="s">
        <v>840</v>
      </c>
      <c r="O217" s="6" t="s">
        <v>841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1872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1873</v>
      </c>
      <c r="F218" s="11" t="s">
        <v>1874</v>
      </c>
      <c r="G218" s="6" t="s">
        <v>1218</v>
      </c>
      <c r="H218" s="6" t="s">
        <v>919</v>
      </c>
      <c r="I218" s="6" t="s">
        <v>836</v>
      </c>
      <c r="J218" s="6" t="s">
        <v>836</v>
      </c>
      <c r="K218" s="6" t="s">
        <v>837</v>
      </c>
      <c r="L218" s="6" t="s">
        <v>863</v>
      </c>
      <c r="M218" s="6" t="s">
        <v>921</v>
      </c>
      <c r="N218" s="12" t="s">
        <v>840</v>
      </c>
      <c r="O218" s="6" t="s">
        <v>841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1875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1876</v>
      </c>
      <c r="F219" s="11" t="s">
        <v>1877</v>
      </c>
      <c r="G219" s="6" t="s">
        <v>1218</v>
      </c>
      <c r="H219" s="6" t="s">
        <v>919</v>
      </c>
      <c r="I219" s="6" t="s">
        <v>836</v>
      </c>
      <c r="J219" s="6" t="s">
        <v>836</v>
      </c>
      <c r="K219" s="6" t="s">
        <v>837</v>
      </c>
      <c r="L219" s="6" t="s">
        <v>863</v>
      </c>
      <c r="M219" s="6" t="s">
        <v>921</v>
      </c>
      <c r="N219" s="12" t="s">
        <v>840</v>
      </c>
      <c r="O219" s="6" t="s">
        <v>841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1878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1879</v>
      </c>
      <c r="F220" s="11" t="s">
        <v>1880</v>
      </c>
      <c r="G220" s="6" t="s">
        <v>1188</v>
      </c>
      <c r="H220" s="6" t="s">
        <v>1730</v>
      </c>
      <c r="I220" s="6" t="s">
        <v>836</v>
      </c>
      <c r="J220" s="6" t="s">
        <v>836</v>
      </c>
      <c r="K220" s="6" t="s">
        <v>837</v>
      </c>
      <c r="L220" s="6" t="s">
        <v>838</v>
      </c>
      <c r="M220" s="6" t="s">
        <v>871</v>
      </c>
      <c r="N220" s="12" t="s">
        <v>840</v>
      </c>
      <c r="O220" s="6" t="s">
        <v>841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1881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1882</v>
      </c>
      <c r="F221" s="11" t="s">
        <v>1883</v>
      </c>
      <c r="G221" s="6" t="s">
        <v>1837</v>
      </c>
      <c r="H221" s="6" t="s">
        <v>1838</v>
      </c>
      <c r="I221" s="6" t="s">
        <v>836</v>
      </c>
      <c r="J221" s="6" t="s">
        <v>836</v>
      </c>
      <c r="K221" s="6" t="s">
        <v>837</v>
      </c>
      <c r="L221" s="6" t="s">
        <v>863</v>
      </c>
      <c r="M221" s="6" t="s">
        <v>850</v>
      </c>
      <c r="N221" s="12" t="s">
        <v>840</v>
      </c>
      <c r="O221" s="6" t="s">
        <v>841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1884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1885</v>
      </c>
      <c r="F222" s="11" t="s">
        <v>1886</v>
      </c>
      <c r="G222" s="6" t="s">
        <v>1887</v>
      </c>
      <c r="H222" s="6" t="s">
        <v>869</v>
      </c>
      <c r="I222" s="6" t="s">
        <v>836</v>
      </c>
      <c r="J222" s="6" t="s">
        <v>836</v>
      </c>
      <c r="K222" s="6" t="s">
        <v>837</v>
      </c>
      <c r="L222" s="6" t="s">
        <v>863</v>
      </c>
      <c r="M222" s="6" t="s">
        <v>871</v>
      </c>
      <c r="N222" s="12" t="s">
        <v>840</v>
      </c>
      <c r="O222" s="6" t="s">
        <v>841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1888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1889</v>
      </c>
      <c r="F223" s="11" t="s">
        <v>1890</v>
      </c>
      <c r="G223" s="6" t="s">
        <v>1891</v>
      </c>
      <c r="H223" s="6" t="s">
        <v>1892</v>
      </c>
      <c r="I223" s="6" t="s">
        <v>836</v>
      </c>
      <c r="J223" s="6" t="s">
        <v>836</v>
      </c>
      <c r="K223" s="6" t="s">
        <v>837</v>
      </c>
      <c r="L223" s="6" t="s">
        <v>838</v>
      </c>
      <c r="M223" s="6" t="s">
        <v>871</v>
      </c>
      <c r="N223" s="12" t="s">
        <v>840</v>
      </c>
      <c r="O223" s="6" t="s">
        <v>841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1893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1894</v>
      </c>
      <c r="F224" s="11" t="s">
        <v>1895</v>
      </c>
      <c r="G224" s="6" t="s">
        <v>1705</v>
      </c>
      <c r="H224" s="6" t="s">
        <v>1706</v>
      </c>
      <c r="I224" s="6" t="s">
        <v>836</v>
      </c>
      <c r="J224" s="6" t="s">
        <v>836</v>
      </c>
      <c r="K224" s="6" t="s">
        <v>837</v>
      </c>
      <c r="L224" s="6" t="s">
        <v>1707</v>
      </c>
      <c r="M224" s="6" t="s">
        <v>871</v>
      </c>
      <c r="N224" s="12" t="s">
        <v>840</v>
      </c>
      <c r="O224" s="6" t="s">
        <v>841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1896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1897</v>
      </c>
      <c r="F225" s="11" t="s">
        <v>1898</v>
      </c>
      <c r="G225" s="6" t="s">
        <v>1899</v>
      </c>
      <c r="H225" s="6" t="s">
        <v>1900</v>
      </c>
      <c r="I225" s="6" t="s">
        <v>836</v>
      </c>
      <c r="J225" s="6" t="s">
        <v>836</v>
      </c>
      <c r="K225" s="6" t="s">
        <v>837</v>
      </c>
      <c r="L225" s="6" t="s">
        <v>1707</v>
      </c>
      <c r="M225" s="6" t="s">
        <v>871</v>
      </c>
      <c r="N225" s="12" t="s">
        <v>840</v>
      </c>
      <c r="O225" s="6" t="s">
        <v>841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1901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1902</v>
      </c>
      <c r="F226" s="11" t="s">
        <v>1903</v>
      </c>
      <c r="G226" s="6" t="s">
        <v>1218</v>
      </c>
      <c r="H226" s="6" t="s">
        <v>919</v>
      </c>
      <c r="I226" s="6" t="s">
        <v>836</v>
      </c>
      <c r="J226" s="6" t="s">
        <v>836</v>
      </c>
      <c r="K226" s="6" t="s">
        <v>837</v>
      </c>
      <c r="L226" s="6" t="s">
        <v>863</v>
      </c>
      <c r="M226" s="6" t="s">
        <v>921</v>
      </c>
      <c r="N226" s="12" t="s">
        <v>840</v>
      </c>
      <c r="O226" s="6" t="s">
        <v>841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1904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1905</v>
      </c>
      <c r="F227" s="11" t="s">
        <v>1906</v>
      </c>
      <c r="G227" s="6" t="s">
        <v>1847</v>
      </c>
      <c r="H227" s="6" t="s">
        <v>1848</v>
      </c>
      <c r="I227" s="6" t="s">
        <v>836</v>
      </c>
      <c r="J227" s="6" t="s">
        <v>836</v>
      </c>
      <c r="K227" s="6" t="s">
        <v>837</v>
      </c>
      <c r="L227" s="6" t="s">
        <v>1707</v>
      </c>
      <c r="M227" s="6" t="s">
        <v>850</v>
      </c>
      <c r="N227" s="12" t="s">
        <v>840</v>
      </c>
      <c r="O227" s="6" t="s">
        <v>841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1907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1908</v>
      </c>
      <c r="F228" s="11" t="s">
        <v>1909</v>
      </c>
      <c r="G228" s="6" t="s">
        <v>1218</v>
      </c>
      <c r="H228" s="6" t="s">
        <v>919</v>
      </c>
      <c r="I228" s="6" t="s">
        <v>836</v>
      </c>
      <c r="J228" s="6" t="s">
        <v>836</v>
      </c>
      <c r="K228" s="6" t="s">
        <v>837</v>
      </c>
      <c r="L228" s="6" t="s">
        <v>863</v>
      </c>
      <c r="M228" s="6" t="s">
        <v>850</v>
      </c>
      <c r="N228" s="12" t="s">
        <v>840</v>
      </c>
      <c r="O228" s="6" t="s">
        <v>841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1910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1911</v>
      </c>
      <c r="F229" s="11" t="s">
        <v>1912</v>
      </c>
      <c r="G229" s="6" t="s">
        <v>1218</v>
      </c>
      <c r="H229" s="6" t="s">
        <v>919</v>
      </c>
      <c r="I229" s="6" t="s">
        <v>836</v>
      </c>
      <c r="J229" s="6" t="s">
        <v>836</v>
      </c>
      <c r="K229" s="6" t="s">
        <v>837</v>
      </c>
      <c r="L229" s="6" t="s">
        <v>863</v>
      </c>
      <c r="M229" s="6" t="s">
        <v>921</v>
      </c>
      <c r="N229" s="12" t="s">
        <v>840</v>
      </c>
      <c r="O229" s="6" t="s">
        <v>841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1913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1914</v>
      </c>
      <c r="F230" s="11" t="s">
        <v>1915</v>
      </c>
      <c r="G230" s="6" t="s">
        <v>1218</v>
      </c>
      <c r="H230" s="6" t="s">
        <v>919</v>
      </c>
      <c r="I230" s="6" t="s">
        <v>836</v>
      </c>
      <c r="J230" s="6" t="s">
        <v>836</v>
      </c>
      <c r="K230" s="6" t="s">
        <v>837</v>
      </c>
      <c r="L230" s="6" t="s">
        <v>863</v>
      </c>
      <c r="M230" s="6" t="s">
        <v>921</v>
      </c>
      <c r="N230" s="12" t="s">
        <v>840</v>
      </c>
      <c r="O230" s="6" t="s">
        <v>841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1916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1917</v>
      </c>
      <c r="F231" s="11" t="s">
        <v>1918</v>
      </c>
      <c r="G231" s="6" t="s">
        <v>1797</v>
      </c>
      <c r="H231" s="6" t="s">
        <v>1685</v>
      </c>
      <c r="I231" s="6" t="s">
        <v>836</v>
      </c>
      <c r="J231" s="6" t="s">
        <v>836</v>
      </c>
      <c r="K231" s="6" t="s">
        <v>837</v>
      </c>
      <c r="L231" s="6" t="s">
        <v>863</v>
      </c>
      <c r="M231" s="6" t="s">
        <v>871</v>
      </c>
      <c r="N231" s="12" t="s">
        <v>840</v>
      </c>
      <c r="O231" s="6" t="s">
        <v>841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1919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1920</v>
      </c>
      <c r="F232" s="11" t="s">
        <v>1921</v>
      </c>
      <c r="G232" s="6" t="s">
        <v>1218</v>
      </c>
      <c r="H232" s="6" t="s">
        <v>919</v>
      </c>
      <c r="I232" s="6" t="s">
        <v>836</v>
      </c>
      <c r="J232" s="6" t="s">
        <v>836</v>
      </c>
      <c r="K232" s="6" t="s">
        <v>837</v>
      </c>
      <c r="L232" s="6" t="s">
        <v>863</v>
      </c>
      <c r="M232" s="6" t="s">
        <v>921</v>
      </c>
      <c r="N232" s="12" t="s">
        <v>840</v>
      </c>
      <c r="O232" s="6" t="s">
        <v>841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1922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1923</v>
      </c>
      <c r="F233" s="11" t="s">
        <v>1924</v>
      </c>
      <c r="G233" s="6" t="s">
        <v>1837</v>
      </c>
      <c r="H233" s="6" t="s">
        <v>1838</v>
      </c>
      <c r="I233" s="6" t="s">
        <v>836</v>
      </c>
      <c r="J233" s="6" t="s">
        <v>836</v>
      </c>
      <c r="K233" s="6" t="s">
        <v>837</v>
      </c>
      <c r="L233" s="6" t="s">
        <v>863</v>
      </c>
      <c r="M233" s="6" t="s">
        <v>871</v>
      </c>
      <c r="N233" s="12" t="s">
        <v>840</v>
      </c>
      <c r="O233" s="6" t="s">
        <v>841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1925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1926</v>
      </c>
      <c r="F234" s="11" t="s">
        <v>1927</v>
      </c>
      <c r="G234" s="6" t="s">
        <v>1928</v>
      </c>
      <c r="H234" s="6" t="s">
        <v>1929</v>
      </c>
      <c r="I234" s="6" t="s">
        <v>836</v>
      </c>
      <c r="J234" s="6" t="s">
        <v>836</v>
      </c>
      <c r="K234" s="6" t="s">
        <v>837</v>
      </c>
      <c r="L234" s="6" t="s">
        <v>863</v>
      </c>
      <c r="M234" s="6" t="s">
        <v>871</v>
      </c>
      <c r="N234" s="12" t="s">
        <v>840</v>
      </c>
      <c r="O234" s="6" t="s">
        <v>841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1930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1931</v>
      </c>
      <c r="F235" s="11" t="s">
        <v>1932</v>
      </c>
      <c r="G235" s="6" t="s">
        <v>1933</v>
      </c>
      <c r="H235" s="6" t="s">
        <v>1934</v>
      </c>
      <c r="I235" s="6" t="s">
        <v>836</v>
      </c>
      <c r="J235" s="6" t="s">
        <v>836</v>
      </c>
      <c r="K235" s="6" t="s">
        <v>837</v>
      </c>
      <c r="L235" s="6" t="s">
        <v>1707</v>
      </c>
      <c r="M235" s="6" t="s">
        <v>871</v>
      </c>
      <c r="N235" s="12" t="s">
        <v>840</v>
      </c>
      <c r="O235" s="6" t="s">
        <v>841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1935</v>
      </c>
      <c r="B236" s="6" t="s">
        <v>374</v>
      </c>
      <c r="C236" s="6" t="s">
        <v>1936</v>
      </c>
      <c r="D236" s="6" t="str">
        <f aca="false">IFERROR(INDEX(Mundarija!$D:$D,MATCH(B236,Mundarija!$A:$A,0)),"kod topilmadi")</f>
        <v>21.5. FGR va preeklampsiya xavfini baholashda Doppler.</v>
      </c>
      <c r="E236" s="6" t="s">
        <v>1937</v>
      </c>
      <c r="F236" s="11" t="s">
        <v>1938</v>
      </c>
      <c r="G236" s="6" t="s">
        <v>1188</v>
      </c>
      <c r="H236" s="6" t="s">
        <v>1730</v>
      </c>
      <c r="I236" s="6" t="s">
        <v>836</v>
      </c>
      <c r="J236" s="6" t="s">
        <v>836</v>
      </c>
      <c r="K236" s="6" t="s">
        <v>837</v>
      </c>
      <c r="L236" s="6" t="s">
        <v>863</v>
      </c>
      <c r="M236" s="6" t="s">
        <v>871</v>
      </c>
      <c r="N236" s="12" t="s">
        <v>840</v>
      </c>
      <c r="O236" s="6" t="s">
        <v>841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1939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1940</v>
      </c>
      <c r="F237" s="11" t="s">
        <v>1941</v>
      </c>
      <c r="G237" s="6" t="s">
        <v>1463</v>
      </c>
      <c r="H237" s="6" t="s">
        <v>1738</v>
      </c>
      <c r="I237" s="6" t="s">
        <v>836</v>
      </c>
      <c r="J237" s="6" t="s">
        <v>836</v>
      </c>
      <c r="K237" s="6" t="s">
        <v>837</v>
      </c>
      <c r="L237" s="6" t="s">
        <v>863</v>
      </c>
      <c r="M237" s="6" t="s">
        <v>850</v>
      </c>
      <c r="N237" s="12" t="s">
        <v>840</v>
      </c>
      <c r="O237" s="6" t="s">
        <v>841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1942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1943</v>
      </c>
      <c r="F238" s="11" t="s">
        <v>1944</v>
      </c>
      <c r="G238" s="6" t="s">
        <v>1277</v>
      </c>
      <c r="H238" s="6" t="s">
        <v>1599</v>
      </c>
      <c r="I238" s="6" t="s">
        <v>836</v>
      </c>
      <c r="J238" s="6" t="s">
        <v>836</v>
      </c>
      <c r="K238" s="6" t="s">
        <v>837</v>
      </c>
      <c r="L238" s="6" t="s">
        <v>838</v>
      </c>
      <c r="M238" s="6" t="s">
        <v>850</v>
      </c>
      <c r="N238" s="12" t="s">
        <v>840</v>
      </c>
      <c r="O238" s="6" t="s">
        <v>841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1945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1946</v>
      </c>
      <c r="F239" s="11" t="s">
        <v>1947</v>
      </c>
      <c r="G239" s="6" t="s">
        <v>1277</v>
      </c>
      <c r="H239" s="6" t="s">
        <v>1599</v>
      </c>
      <c r="I239" s="6" t="s">
        <v>836</v>
      </c>
      <c r="J239" s="6" t="s">
        <v>836</v>
      </c>
      <c r="K239" s="6" t="s">
        <v>837</v>
      </c>
      <c r="L239" s="6" t="s">
        <v>838</v>
      </c>
      <c r="M239" s="6" t="s">
        <v>850</v>
      </c>
      <c r="N239" s="12" t="s">
        <v>840</v>
      </c>
      <c r="O239" s="6" t="s">
        <v>841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1948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1949</v>
      </c>
      <c r="F240" s="11" t="s">
        <v>1950</v>
      </c>
      <c r="G240" s="6" t="s">
        <v>1951</v>
      </c>
      <c r="H240" s="6" t="s">
        <v>1952</v>
      </c>
      <c r="I240" s="6" t="s">
        <v>836</v>
      </c>
      <c r="J240" s="6" t="s">
        <v>836</v>
      </c>
      <c r="K240" s="6" t="s">
        <v>837</v>
      </c>
      <c r="L240" s="6" t="s">
        <v>838</v>
      </c>
      <c r="M240" s="6" t="s">
        <v>871</v>
      </c>
      <c r="N240" s="12" t="s">
        <v>840</v>
      </c>
      <c r="O240" s="6" t="s">
        <v>841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1953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1954</v>
      </c>
      <c r="F241" s="11" t="s">
        <v>1955</v>
      </c>
      <c r="G241" s="6" t="s">
        <v>1956</v>
      </c>
      <c r="H241" s="6" t="s">
        <v>1957</v>
      </c>
      <c r="I241" s="6" t="s">
        <v>836</v>
      </c>
      <c r="J241" s="6" t="s">
        <v>836</v>
      </c>
      <c r="K241" s="6" t="s">
        <v>837</v>
      </c>
      <c r="L241" s="6" t="s">
        <v>1707</v>
      </c>
      <c r="M241" s="6" t="s">
        <v>871</v>
      </c>
      <c r="N241" s="12" t="s">
        <v>840</v>
      </c>
      <c r="O241" s="6" t="s">
        <v>841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1958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1959</v>
      </c>
      <c r="F242" s="11" t="s">
        <v>1960</v>
      </c>
      <c r="G242" s="6" t="s">
        <v>1961</v>
      </c>
      <c r="H242" s="6" t="s">
        <v>1962</v>
      </c>
      <c r="I242" s="6" t="s">
        <v>836</v>
      </c>
      <c r="J242" s="6" t="s">
        <v>836</v>
      </c>
      <c r="K242" s="6" t="s">
        <v>837</v>
      </c>
      <c r="L242" s="6" t="s">
        <v>863</v>
      </c>
      <c r="M242" s="6" t="s">
        <v>871</v>
      </c>
      <c r="N242" s="12" t="s">
        <v>840</v>
      </c>
      <c r="O242" s="6" t="s">
        <v>841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1963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1964</v>
      </c>
      <c r="F243" s="11" t="s">
        <v>1965</v>
      </c>
      <c r="G243" s="6" t="s">
        <v>1966</v>
      </c>
      <c r="H243" s="6" t="s">
        <v>1967</v>
      </c>
      <c r="I243" s="6" t="s">
        <v>836</v>
      </c>
      <c r="J243" s="6" t="s">
        <v>836</v>
      </c>
      <c r="K243" s="6" t="s">
        <v>837</v>
      </c>
      <c r="L243" s="6" t="s">
        <v>1707</v>
      </c>
      <c r="M243" s="6" t="s">
        <v>871</v>
      </c>
      <c r="N243" s="12" t="s">
        <v>840</v>
      </c>
      <c r="O243" s="6" t="s">
        <v>841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1968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1969</v>
      </c>
      <c r="F244" s="11" t="s">
        <v>1970</v>
      </c>
      <c r="G244" s="6" t="s">
        <v>1971</v>
      </c>
      <c r="H244" s="6" t="s">
        <v>1972</v>
      </c>
      <c r="I244" s="6" t="s">
        <v>836</v>
      </c>
      <c r="J244" s="6" t="s">
        <v>836</v>
      </c>
      <c r="K244" s="6" t="s">
        <v>837</v>
      </c>
      <c r="L244" s="6" t="s">
        <v>1707</v>
      </c>
      <c r="M244" s="6" t="s">
        <v>850</v>
      </c>
      <c r="N244" s="12" t="s">
        <v>840</v>
      </c>
      <c r="O244" s="6" t="s">
        <v>841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  <row r="245" customFormat="false" ht="23.85" hidden="false" customHeight="false" outlineLevel="0" collapsed="false">
      <c r="A245" s="6" t="s">
        <v>1973</v>
      </c>
      <c r="B245" s="6" t="s">
        <v>398</v>
      </c>
      <c r="C245" s="6"/>
      <c r="D245" s="6" t="str">
        <f aca="false">IFERROR(INDEX(Mundarija!$D:$D,MATCH(B245,Mundarija!$A:$A,0)),"kod topilmadi")</f>
        <v>22.7. UZI nazoratida biopsiyaga nazariy kirish.</v>
      </c>
      <c r="E245" s="6" t="s">
        <v>1974</v>
      </c>
      <c r="F245" s="11" t="s">
        <v>1975</v>
      </c>
      <c r="G245" s="6" t="s">
        <v>1976</v>
      </c>
      <c r="H245" s="6" t="s">
        <v>1977</v>
      </c>
      <c r="I245" s="6" t="s">
        <v>836</v>
      </c>
      <c r="J245" s="6" t="s">
        <v>836</v>
      </c>
      <c r="K245" s="6" t="s">
        <v>837</v>
      </c>
      <c r="L245" s="6" t="s">
        <v>1707</v>
      </c>
      <c r="M245" s="6" t="s">
        <v>850</v>
      </c>
      <c r="N245" s="12" t="s">
        <v>840</v>
      </c>
      <c r="O245" s="6" t="s">
        <v>841</v>
      </c>
      <c r="P245" s="6" t="s">
        <v>2</v>
      </c>
      <c r="Q245" s="6" t="s">
        <v>20</v>
      </c>
      <c r="R245" s="12"/>
      <c r="S245" s="12"/>
      <c r="T245" s="12"/>
      <c r="U245" s="12"/>
      <c r="V245" s="12"/>
      <c r="W245" s="12"/>
      <c r="X245" s="6" t="str">
        <f aca="false">IF(COUNT(R245:W245)=6,SUM(R245:W245),"ko‘rilmagan")</f>
        <v>ko‘rilmagan</v>
      </c>
      <c r="Y245" s="12"/>
    </row>
    <row r="246" customFormat="false" ht="23.85" hidden="false" customHeight="false" outlineLevel="0" collapsed="false">
      <c r="A246" s="6" t="s">
        <v>1978</v>
      </c>
      <c r="B246" s="6" t="s">
        <v>398</v>
      </c>
      <c r="C246" s="6"/>
      <c r="D246" s="6" t="str">
        <f aca="false">IFERROR(INDEX(Mundarija!$D:$D,MATCH(B246,Mundarija!$A:$A,0)),"kod topilmadi")</f>
        <v>22.7. UZI nazoratida biopsiyaga nazariy kirish.</v>
      </c>
      <c r="E246" s="6" t="s">
        <v>1979</v>
      </c>
      <c r="F246" s="11" t="s">
        <v>1980</v>
      </c>
      <c r="G246" s="6" t="s">
        <v>1981</v>
      </c>
      <c r="H246" s="6" t="s">
        <v>1982</v>
      </c>
      <c r="I246" s="6" t="s">
        <v>836</v>
      </c>
      <c r="J246" s="6" t="s">
        <v>836</v>
      </c>
      <c r="K246" s="6" t="s">
        <v>837</v>
      </c>
      <c r="L246" s="6" t="s">
        <v>1707</v>
      </c>
      <c r="M246" s="6" t="s">
        <v>850</v>
      </c>
      <c r="N246" s="12" t="s">
        <v>840</v>
      </c>
      <c r="O246" s="6" t="s">
        <v>841</v>
      </c>
      <c r="P246" s="6" t="s">
        <v>2</v>
      </c>
      <c r="Q246" s="6" t="s">
        <v>20</v>
      </c>
      <c r="R246" s="12"/>
      <c r="S246" s="12"/>
      <c r="T246" s="12"/>
      <c r="U246" s="12"/>
      <c r="V246" s="12"/>
      <c r="W246" s="12"/>
      <c r="X246" s="6" t="str">
        <f aca="false">IF(COUNT(R246:W246)=6,SUM(R246:W246),"ko‘rilmagan")</f>
        <v>ko‘rilmagan</v>
      </c>
      <c r="Y246" s="12"/>
    </row>
    <row r="247" customFormat="false" ht="23.85" hidden="false" customHeight="false" outlineLevel="0" collapsed="false">
      <c r="A247" s="6" t="s">
        <v>1983</v>
      </c>
      <c r="B247" s="6" t="s">
        <v>400</v>
      </c>
      <c r="C247" s="6"/>
      <c r="D247" s="6" t="str">
        <f aca="false">IFERROR(INDEX(Mundarija!$D:$D,MATCH(B247,Mundarija!$A:$A,0)),"kod topilmadi")</f>
        <v>23.1. Normal anatomiya va yoshga bog‘liq o‘zgarishlar.</v>
      </c>
      <c r="E247" s="6" t="s">
        <v>1984</v>
      </c>
      <c r="F247" s="11" t="s">
        <v>1985</v>
      </c>
      <c r="G247" s="6" t="s">
        <v>1986</v>
      </c>
      <c r="H247" s="6" t="s">
        <v>1987</v>
      </c>
      <c r="I247" s="6" t="s">
        <v>836</v>
      </c>
      <c r="J247" s="6" t="s">
        <v>836</v>
      </c>
      <c r="K247" s="6" t="s">
        <v>837</v>
      </c>
      <c r="L247" s="6" t="s">
        <v>838</v>
      </c>
      <c r="M247" s="6" t="s">
        <v>871</v>
      </c>
      <c r="N247" s="12" t="s">
        <v>840</v>
      </c>
      <c r="O247" s="6" t="s">
        <v>841</v>
      </c>
      <c r="P247" s="6" t="s">
        <v>2</v>
      </c>
      <c r="Q247" s="6" t="s">
        <v>20</v>
      </c>
      <c r="R247" s="12"/>
      <c r="S247" s="12"/>
      <c r="T247" s="12"/>
      <c r="U247" s="12"/>
      <c r="V247" s="12"/>
      <c r="W247" s="12"/>
      <c r="X247" s="6" t="str">
        <f aca="false">IF(COUNT(R247:W247)=6,SUM(R247:W247),"ko‘rilmagan")</f>
        <v>ko‘rilmagan</v>
      </c>
      <c r="Y247" s="12"/>
    </row>
    <row r="248" customFormat="false" ht="23.85" hidden="false" customHeight="false" outlineLevel="0" collapsed="false">
      <c r="A248" s="6" t="s">
        <v>1988</v>
      </c>
      <c r="B248" s="6" t="s">
        <v>400</v>
      </c>
      <c r="C248" s="6" t="s">
        <v>403</v>
      </c>
      <c r="D248" s="6" t="str">
        <f aca="false">IFERROR(INDEX(Mundarija!$D:$D,MATCH(B248,Mundarija!$A:$A,0)),"kod topilmadi")</f>
        <v>23.1. Normal anatomiya va yoshga bog‘liq o‘zgarishlar.</v>
      </c>
      <c r="E248" s="6" t="s">
        <v>1989</v>
      </c>
      <c r="F248" s="11" t="s">
        <v>1990</v>
      </c>
      <c r="G248" s="6" t="s">
        <v>1194</v>
      </c>
      <c r="H248" s="6" t="s">
        <v>869</v>
      </c>
      <c r="I248" s="6" t="s">
        <v>836</v>
      </c>
      <c r="J248" s="6" t="s">
        <v>836</v>
      </c>
      <c r="K248" s="6" t="s">
        <v>837</v>
      </c>
      <c r="L248" s="6" t="s">
        <v>838</v>
      </c>
      <c r="M248" s="6" t="s">
        <v>871</v>
      </c>
      <c r="N248" s="12" t="s">
        <v>840</v>
      </c>
      <c r="O248" s="6" t="s">
        <v>841</v>
      </c>
      <c r="P248" s="6" t="s">
        <v>2</v>
      </c>
      <c r="Q248" s="6" t="s">
        <v>20</v>
      </c>
      <c r="R248" s="12"/>
      <c r="S248" s="12"/>
      <c r="T248" s="12"/>
      <c r="U248" s="12"/>
      <c r="V248" s="12"/>
      <c r="W248" s="12"/>
      <c r="X248" s="6" t="str">
        <f aca="false">IF(COUNT(R248:W248)=6,SUM(R248:W248),"ko‘rilmagan")</f>
        <v>ko‘rilmagan</v>
      </c>
      <c r="Y248" s="12"/>
    </row>
    <row r="249" customFormat="false" ht="23.85" hidden="false" customHeight="false" outlineLevel="0" collapsed="false">
      <c r="A249" s="6" t="s">
        <v>1991</v>
      </c>
      <c r="B249" s="6" t="s">
        <v>403</v>
      </c>
      <c r="C249" s="6"/>
      <c r="D249" s="6" t="str">
        <f aca="false">IFERROR(INDEX(Mundarija!$D:$D,MATCH(B249,Mundarija!$A:$A,0)),"kod topilmadi")</f>
        <v>23.2. Tekshiruv texnikasi va standart tekisliklar.</v>
      </c>
      <c r="E249" s="6" t="s">
        <v>1992</v>
      </c>
      <c r="F249" s="11" t="s">
        <v>1993</v>
      </c>
      <c r="G249" s="6" t="s">
        <v>1218</v>
      </c>
      <c r="H249" s="6" t="s">
        <v>919</v>
      </c>
      <c r="I249" s="6" t="s">
        <v>836</v>
      </c>
      <c r="J249" s="6" t="s">
        <v>836</v>
      </c>
      <c r="K249" s="6" t="s">
        <v>837</v>
      </c>
      <c r="L249" s="6" t="s">
        <v>838</v>
      </c>
      <c r="M249" s="6" t="s">
        <v>850</v>
      </c>
      <c r="N249" s="12" t="s">
        <v>840</v>
      </c>
      <c r="O249" s="6" t="s">
        <v>841</v>
      </c>
      <c r="P249" s="6" t="s">
        <v>2</v>
      </c>
      <c r="Q249" s="6" t="s">
        <v>20</v>
      </c>
      <c r="R249" s="12"/>
      <c r="S249" s="12"/>
      <c r="T249" s="12"/>
      <c r="U249" s="12"/>
      <c r="V249" s="12"/>
      <c r="W249" s="12"/>
      <c r="X249" s="6" t="str">
        <f aca="false">IF(COUNT(R249:W249)=6,SUM(R249:W249),"ko‘rilmagan")</f>
        <v>ko‘rilmagan</v>
      </c>
      <c r="Y249" s="12"/>
    </row>
    <row r="250" customFormat="false" ht="23.85" hidden="false" customHeight="false" outlineLevel="0" collapsed="false">
      <c r="A250" s="6" t="s">
        <v>1994</v>
      </c>
      <c r="B250" s="6" t="s">
        <v>407</v>
      </c>
      <c r="C250" s="6" t="s">
        <v>1995</v>
      </c>
      <c r="D250" s="6" t="str">
        <f aca="false">IFERROR(INDEX(Mundarija!$D:$D,MATCH(B250,Mundarija!$A:$A,0)),"kod topilmadi")</f>
        <v>23.4. Malign o‘smalarning sonografik belgilari.</v>
      </c>
      <c r="E250" s="6" t="s">
        <v>1996</v>
      </c>
      <c r="F250" s="11" t="s">
        <v>1997</v>
      </c>
      <c r="G250" s="6" t="s">
        <v>1218</v>
      </c>
      <c r="H250" s="6" t="s">
        <v>919</v>
      </c>
      <c r="I250" s="6" t="s">
        <v>836</v>
      </c>
      <c r="J250" s="6" t="s">
        <v>836</v>
      </c>
      <c r="K250" s="6" t="s">
        <v>837</v>
      </c>
      <c r="L250" s="6" t="s">
        <v>863</v>
      </c>
      <c r="M250" s="6" t="s">
        <v>921</v>
      </c>
      <c r="N250" s="12" t="s">
        <v>840</v>
      </c>
      <c r="O250" s="6" t="s">
        <v>841</v>
      </c>
      <c r="P250" s="6" t="s">
        <v>2</v>
      </c>
      <c r="Q250" s="6" t="s">
        <v>20</v>
      </c>
      <c r="R250" s="12"/>
      <c r="S250" s="12"/>
      <c r="T250" s="12"/>
      <c r="U250" s="12"/>
      <c r="V250" s="12"/>
      <c r="W250" s="12"/>
      <c r="X250" s="6" t="str">
        <f aca="false">IF(COUNT(R250:W250)=6,SUM(R250:W250),"ko‘rilmagan")</f>
        <v>ko‘rilmagan</v>
      </c>
      <c r="Y250" s="12"/>
    </row>
    <row r="251" customFormat="false" ht="23.85" hidden="false" customHeight="false" outlineLevel="0" collapsed="false">
      <c r="A251" s="6" t="s">
        <v>1998</v>
      </c>
      <c r="B251" s="6" t="s">
        <v>411</v>
      </c>
      <c r="C251" s="6"/>
      <c r="D251" s="6" t="str">
        <f aca="false">IFERROR(INDEX(Mundarija!$D:$D,MATCH(B251,Mundarija!$A:$A,0)),"kod topilmadi")</f>
        <v>23.6. Sut bezi yallig‘lanishi va abssess.</v>
      </c>
      <c r="E251" s="6" t="s">
        <v>1999</v>
      </c>
      <c r="F251" s="11" t="s">
        <v>2000</v>
      </c>
      <c r="G251" s="6" t="s">
        <v>2001</v>
      </c>
      <c r="H251" s="6" t="s">
        <v>2002</v>
      </c>
      <c r="I251" s="6" t="s">
        <v>836</v>
      </c>
      <c r="J251" s="6" t="s">
        <v>836</v>
      </c>
      <c r="K251" s="6" t="s">
        <v>837</v>
      </c>
      <c r="L251" s="6" t="s">
        <v>863</v>
      </c>
      <c r="M251" s="6" t="s">
        <v>1672</v>
      </c>
      <c r="N251" s="12" t="s">
        <v>840</v>
      </c>
      <c r="O251" s="6" t="s">
        <v>841</v>
      </c>
      <c r="P251" s="6" t="s">
        <v>2</v>
      </c>
      <c r="Q251" s="6" t="s">
        <v>20</v>
      </c>
      <c r="R251" s="12"/>
      <c r="S251" s="12"/>
      <c r="T251" s="12"/>
      <c r="U251" s="12"/>
      <c r="V251" s="12"/>
      <c r="W251" s="12"/>
      <c r="X251" s="6" t="str">
        <f aca="false">IF(COUNT(R251:W251)=6,SUM(R251:W251),"ko‘rilmagan")</f>
        <v>ko‘rilmagan</v>
      </c>
      <c r="Y251" s="12"/>
    </row>
    <row r="252" customFormat="false" ht="23.85" hidden="false" customHeight="false" outlineLevel="0" collapsed="false">
      <c r="A252" s="6" t="s">
        <v>2003</v>
      </c>
      <c r="B252" s="6" t="s">
        <v>411</v>
      </c>
      <c r="C252" s="6"/>
      <c r="D252" s="6" t="str">
        <f aca="false">IFERROR(INDEX(Mundarija!$D:$D,MATCH(B252,Mundarija!$A:$A,0)),"kod topilmadi")</f>
        <v>23.6. Sut bezi yallig‘lanishi va abssess.</v>
      </c>
      <c r="E252" s="6" t="s">
        <v>2004</v>
      </c>
      <c r="F252" s="11" t="s">
        <v>2005</v>
      </c>
      <c r="G252" s="6" t="s">
        <v>2006</v>
      </c>
      <c r="H252" s="6" t="s">
        <v>989</v>
      </c>
      <c r="I252" s="6" t="s">
        <v>2007</v>
      </c>
      <c r="J252" s="6" t="s">
        <v>836</v>
      </c>
      <c r="K252" s="6" t="s">
        <v>837</v>
      </c>
      <c r="L252" s="6" t="s">
        <v>838</v>
      </c>
      <c r="M252" s="6" t="s">
        <v>871</v>
      </c>
      <c r="N252" s="12" t="s">
        <v>840</v>
      </c>
      <c r="O252" s="6" t="s">
        <v>841</v>
      </c>
      <c r="P252" s="6" t="s">
        <v>2</v>
      </c>
      <c r="Q252" s="6" t="s">
        <v>20</v>
      </c>
      <c r="R252" s="12"/>
      <c r="S252" s="12"/>
      <c r="T252" s="12"/>
      <c r="U252" s="12"/>
      <c r="V252" s="12"/>
      <c r="W252" s="12"/>
      <c r="X252" s="6" t="str">
        <f aca="false">IF(COUNT(R252:W252)=6,SUM(R252:W252),"ko‘rilmagan")</f>
        <v>ko‘rilmagan</v>
      </c>
      <c r="Y252" s="12"/>
    </row>
    <row r="253" customFormat="false" ht="23.85" hidden="false" customHeight="false" outlineLevel="0" collapsed="false">
      <c r="A253" s="6" t="s">
        <v>2008</v>
      </c>
      <c r="B253" s="6" t="s">
        <v>415</v>
      </c>
      <c r="C253" s="6"/>
      <c r="D253" s="6" t="str">
        <f aca="false">IFERROR(INDEX(Mundarija!$D:$D,MATCH(B253,Mundarija!$A:$A,0)),"kod topilmadi")</f>
        <v>23.8. Implantlar va maxsus klinik vaziyatlar.</v>
      </c>
      <c r="E253" s="6" t="s">
        <v>2009</v>
      </c>
      <c r="F253" s="11" t="s">
        <v>2010</v>
      </c>
      <c r="G253" s="6" t="s">
        <v>1277</v>
      </c>
      <c r="H253" s="6" t="s">
        <v>1599</v>
      </c>
      <c r="I253" s="6" t="s">
        <v>2011</v>
      </c>
      <c r="J253" s="6" t="s">
        <v>836</v>
      </c>
      <c r="K253" s="6" t="s">
        <v>837</v>
      </c>
      <c r="L253" s="6" t="s">
        <v>863</v>
      </c>
      <c r="M253" s="6" t="s">
        <v>850</v>
      </c>
      <c r="N253" s="12" t="s">
        <v>840</v>
      </c>
      <c r="O253" s="6" t="s">
        <v>841</v>
      </c>
      <c r="P253" s="6" t="s">
        <v>2</v>
      </c>
      <c r="Q253" s="6" t="s">
        <v>20</v>
      </c>
      <c r="R253" s="12"/>
      <c r="S253" s="12"/>
      <c r="T253" s="12"/>
      <c r="U253" s="12"/>
      <c r="V253" s="12"/>
      <c r="W253" s="12"/>
      <c r="X253" s="6" t="str">
        <f aca="false">IF(COUNT(R253:W253)=6,SUM(R253:W253),"ko‘rilmagan")</f>
        <v>ko‘rilmagan</v>
      </c>
      <c r="Y253" s="12"/>
    </row>
    <row r="254" customFormat="false" ht="23.85" hidden="false" customHeight="false" outlineLevel="0" collapsed="false">
      <c r="A254" s="6" t="s">
        <v>2012</v>
      </c>
      <c r="B254" s="6" t="s">
        <v>417</v>
      </c>
      <c r="C254" s="6"/>
      <c r="D254" s="6" t="str">
        <f aca="false">IFERROR(INDEX(Mundarija!$D:$D,MATCH(B254,Mundarija!$A:$A,0)),"kod topilmadi")</f>
        <v>24.1. So‘lak bezlari va sialolitiaz.</v>
      </c>
      <c r="E254" s="6" t="s">
        <v>2013</v>
      </c>
      <c r="F254" s="11" t="s">
        <v>2014</v>
      </c>
      <c r="G254" s="6" t="s">
        <v>2015</v>
      </c>
      <c r="H254" s="6" t="s">
        <v>2016</v>
      </c>
      <c r="I254" s="6" t="s">
        <v>836</v>
      </c>
      <c r="J254" s="6" t="s">
        <v>836</v>
      </c>
      <c r="K254" s="6" t="s">
        <v>837</v>
      </c>
      <c r="L254" s="6" t="s">
        <v>838</v>
      </c>
      <c r="M254" s="6" t="s">
        <v>871</v>
      </c>
      <c r="N254" s="12" t="s">
        <v>840</v>
      </c>
      <c r="O254" s="6" t="s">
        <v>841</v>
      </c>
      <c r="P254" s="6" t="s">
        <v>2</v>
      </c>
      <c r="Q254" s="6" t="s">
        <v>20</v>
      </c>
      <c r="R254" s="12"/>
      <c r="S254" s="12"/>
      <c r="T254" s="12"/>
      <c r="U254" s="12"/>
      <c r="V254" s="12"/>
      <c r="W254" s="12"/>
      <c r="X254" s="6" t="str">
        <f aca="false">IF(COUNT(R254:W254)=6,SUM(R254:W254),"ko‘rilmagan")</f>
        <v>ko‘rilmagan</v>
      </c>
      <c r="Y254" s="12"/>
    </row>
    <row r="255" customFormat="false" ht="23.85" hidden="false" customHeight="false" outlineLevel="0" collapsed="false">
      <c r="A255" s="6" t="s">
        <v>2017</v>
      </c>
      <c r="B255" s="6" t="s">
        <v>417</v>
      </c>
      <c r="C255" s="6"/>
      <c r="D255" s="6" t="str">
        <f aca="false">IFERROR(INDEX(Mundarija!$D:$D,MATCH(B255,Mundarija!$A:$A,0)),"kod topilmadi")</f>
        <v>24.1. So‘lak bezlari va sialolitiaz.</v>
      </c>
      <c r="E255" s="6" t="s">
        <v>2018</v>
      </c>
      <c r="F255" s="11" t="s">
        <v>2019</v>
      </c>
      <c r="G255" s="6" t="s">
        <v>1228</v>
      </c>
      <c r="H255" s="6" t="s">
        <v>1692</v>
      </c>
      <c r="I255" s="6" t="s">
        <v>836</v>
      </c>
      <c r="J255" s="6" t="s">
        <v>836</v>
      </c>
      <c r="K255" s="6" t="s">
        <v>837</v>
      </c>
      <c r="L255" s="6" t="s">
        <v>863</v>
      </c>
      <c r="M255" s="6" t="s">
        <v>1672</v>
      </c>
      <c r="N255" s="12" t="s">
        <v>840</v>
      </c>
      <c r="O255" s="6" t="s">
        <v>841</v>
      </c>
      <c r="P255" s="6" t="s">
        <v>2</v>
      </c>
      <c r="Q255" s="6" t="s">
        <v>20</v>
      </c>
      <c r="R255" s="12"/>
      <c r="S255" s="12"/>
      <c r="T255" s="12"/>
      <c r="U255" s="12"/>
      <c r="V255" s="12"/>
      <c r="W255" s="12"/>
      <c r="X255" s="6" t="str">
        <f aca="false">IF(COUNT(R255:W255)=6,SUM(R255:W255),"ko‘rilmagan")</f>
        <v>ko‘rilmagan</v>
      </c>
      <c r="Y255" s="12"/>
    </row>
    <row r="256" customFormat="false" ht="23.85" hidden="false" customHeight="false" outlineLevel="0" collapsed="false">
      <c r="A256" s="6" t="s">
        <v>2020</v>
      </c>
      <c r="B256" s="6" t="s">
        <v>417</v>
      </c>
      <c r="C256" s="6"/>
      <c r="D256" s="6" t="str">
        <f aca="false">IFERROR(INDEX(Mundarija!$D:$D,MATCH(B256,Mundarija!$A:$A,0)),"kod topilmadi")</f>
        <v>24.1. So‘lak bezlari va sialolitiaz.</v>
      </c>
      <c r="E256" s="6" t="s">
        <v>2021</v>
      </c>
      <c r="F256" s="11" t="s">
        <v>2022</v>
      </c>
      <c r="G256" s="6" t="s">
        <v>1228</v>
      </c>
      <c r="H256" s="6" t="s">
        <v>1692</v>
      </c>
      <c r="I256" s="6" t="s">
        <v>836</v>
      </c>
      <c r="J256" s="6" t="s">
        <v>836</v>
      </c>
      <c r="K256" s="6" t="s">
        <v>837</v>
      </c>
      <c r="L256" s="6" t="s">
        <v>863</v>
      </c>
      <c r="M256" s="6" t="s">
        <v>1672</v>
      </c>
      <c r="N256" s="12" t="s">
        <v>840</v>
      </c>
      <c r="O256" s="6" t="s">
        <v>841</v>
      </c>
      <c r="P256" s="6" t="s">
        <v>2</v>
      </c>
      <c r="Q256" s="6" t="s">
        <v>20</v>
      </c>
      <c r="R256" s="12"/>
      <c r="S256" s="12"/>
      <c r="T256" s="12"/>
      <c r="U256" s="12"/>
      <c r="V256" s="12"/>
      <c r="W256" s="12"/>
      <c r="X256" s="6" t="str">
        <f aca="false">IF(COUNT(R256:W256)=6,SUM(R256:W256),"ko‘rilmagan")</f>
        <v>ko‘rilmagan</v>
      </c>
      <c r="Y256" s="12"/>
    </row>
    <row r="257" customFormat="false" ht="23.85" hidden="false" customHeight="false" outlineLevel="0" collapsed="false">
      <c r="A257" s="6" t="s">
        <v>2023</v>
      </c>
      <c r="B257" s="6" t="s">
        <v>420</v>
      </c>
      <c r="C257" s="6"/>
      <c r="D257" s="6" t="str">
        <f aca="false">IFERROR(INDEX(Mundarija!$D:$D,MATCH(B257,Mundarija!$A:$A,0)),"kod topilmadi")</f>
        <v>24.2. Yuzaki va periferik limfa tugunlari.</v>
      </c>
      <c r="E257" s="6" t="s">
        <v>2024</v>
      </c>
      <c r="F257" s="11" t="s">
        <v>2025</v>
      </c>
      <c r="G257" s="6" t="s">
        <v>833</v>
      </c>
      <c r="H257" s="6" t="s">
        <v>2026</v>
      </c>
      <c r="I257" s="6" t="s">
        <v>836</v>
      </c>
      <c r="J257" s="6" t="s">
        <v>836</v>
      </c>
      <c r="K257" s="6" t="s">
        <v>837</v>
      </c>
      <c r="L257" s="6" t="s">
        <v>838</v>
      </c>
      <c r="M257" s="6" t="s">
        <v>871</v>
      </c>
      <c r="N257" s="12" t="s">
        <v>840</v>
      </c>
      <c r="O257" s="6" t="s">
        <v>841</v>
      </c>
      <c r="P257" s="6" t="s">
        <v>2</v>
      </c>
      <c r="Q257" s="6" t="s">
        <v>20</v>
      </c>
      <c r="R257" s="12"/>
      <c r="S257" s="12"/>
      <c r="T257" s="12"/>
      <c r="U257" s="12"/>
      <c r="V257" s="12"/>
      <c r="W257" s="12"/>
      <c r="X257" s="6" t="str">
        <f aca="false">IF(COUNT(R257:W257)=6,SUM(R257:W257),"ko‘rilmagan")</f>
        <v>ko‘rilmagan</v>
      </c>
      <c r="Y257" s="12"/>
    </row>
    <row r="258" customFormat="false" ht="23.85" hidden="false" customHeight="false" outlineLevel="0" collapsed="false">
      <c r="A258" s="6" t="s">
        <v>2027</v>
      </c>
      <c r="B258" s="6" t="s">
        <v>420</v>
      </c>
      <c r="C258" s="6" t="s">
        <v>394</v>
      </c>
      <c r="D258" s="6" t="str">
        <f aca="false">IFERROR(INDEX(Mundarija!$D:$D,MATCH(B258,Mundarija!$A:$A,0)),"kod topilmadi")</f>
        <v>24.2. Yuzaki va periferik limfa tugunlari.</v>
      </c>
      <c r="E258" s="6" t="s">
        <v>2028</v>
      </c>
      <c r="F258" s="11" t="s">
        <v>2029</v>
      </c>
      <c r="G258" s="6" t="s">
        <v>1705</v>
      </c>
      <c r="H258" s="6" t="s">
        <v>1706</v>
      </c>
      <c r="I258" s="6" t="s">
        <v>836</v>
      </c>
      <c r="J258" s="6" t="s">
        <v>836</v>
      </c>
      <c r="K258" s="6" t="s">
        <v>837</v>
      </c>
      <c r="L258" s="6" t="s">
        <v>863</v>
      </c>
      <c r="M258" s="6" t="s">
        <v>871</v>
      </c>
      <c r="N258" s="12" t="s">
        <v>840</v>
      </c>
      <c r="O258" s="6" t="s">
        <v>841</v>
      </c>
      <c r="P258" s="6" t="s">
        <v>2</v>
      </c>
      <c r="Q258" s="6" t="s">
        <v>20</v>
      </c>
      <c r="R258" s="12"/>
      <c r="S258" s="12"/>
      <c r="T258" s="12"/>
      <c r="U258" s="12"/>
      <c r="V258" s="12"/>
      <c r="W258" s="12"/>
      <c r="X258" s="6" t="str">
        <f aca="false">IF(COUNT(R258:W258)=6,SUM(R258:W258),"ko‘rilmagan")</f>
        <v>ko‘rilmagan</v>
      </c>
      <c r="Y258" s="12"/>
    </row>
    <row r="259" customFormat="false" ht="23.85" hidden="false" customHeight="false" outlineLevel="0" collapsed="false">
      <c r="A259" s="6" t="s">
        <v>2030</v>
      </c>
      <c r="B259" s="6" t="s">
        <v>420</v>
      </c>
      <c r="C259" s="6" t="s">
        <v>394</v>
      </c>
      <c r="D259" s="6" t="str">
        <f aca="false">IFERROR(INDEX(Mundarija!$D:$D,MATCH(B259,Mundarija!$A:$A,0)),"kod topilmadi")</f>
        <v>24.2. Yuzaki va periferik limfa tugunlari.</v>
      </c>
      <c r="E259" s="6" t="s">
        <v>2031</v>
      </c>
      <c r="F259" s="11" t="s">
        <v>2032</v>
      </c>
      <c r="G259" s="6" t="s">
        <v>1194</v>
      </c>
      <c r="H259" s="6" t="s">
        <v>869</v>
      </c>
      <c r="I259" s="6" t="s">
        <v>836</v>
      </c>
      <c r="J259" s="6" t="s">
        <v>836</v>
      </c>
      <c r="K259" s="6" t="s">
        <v>837</v>
      </c>
      <c r="L259" s="6" t="s">
        <v>863</v>
      </c>
      <c r="M259" s="6" t="s">
        <v>871</v>
      </c>
      <c r="N259" s="12" t="s">
        <v>840</v>
      </c>
      <c r="O259" s="6" t="s">
        <v>841</v>
      </c>
      <c r="P259" s="6" t="s">
        <v>2</v>
      </c>
      <c r="Q259" s="6" t="s">
        <v>20</v>
      </c>
      <c r="R259" s="12"/>
      <c r="S259" s="12"/>
      <c r="T259" s="12"/>
      <c r="U259" s="12"/>
      <c r="V259" s="12"/>
      <c r="W259" s="12"/>
      <c r="X259" s="6" t="str">
        <f aca="false">IF(COUNT(R259:W259)=6,SUM(R259:W259),"ko‘rilmagan")</f>
        <v>ko‘rilmagan</v>
      </c>
      <c r="Y259" s="12"/>
    </row>
    <row r="260" customFormat="false" ht="23.85" hidden="false" customHeight="false" outlineLevel="0" collapsed="false">
      <c r="A260" s="6" t="s">
        <v>2033</v>
      </c>
      <c r="B260" s="6" t="s">
        <v>422</v>
      </c>
      <c r="C260" s="6"/>
      <c r="D260" s="6" t="str">
        <f aca="false">IFERROR(INDEX(Mundarija!$D:$D,MATCH(B260,Mundarija!$A:$A,0)),"kod topilmadi")</f>
        <v>24.3. Teri osti va yumshoq to‘qima hosilalari.</v>
      </c>
      <c r="E260" s="6" t="s">
        <v>2034</v>
      </c>
      <c r="F260" s="11" t="s">
        <v>2035</v>
      </c>
      <c r="G260" s="6" t="s">
        <v>1204</v>
      </c>
      <c r="H260" s="6" t="s">
        <v>1815</v>
      </c>
      <c r="I260" s="6" t="s">
        <v>836</v>
      </c>
      <c r="J260" s="6" t="s">
        <v>836</v>
      </c>
      <c r="K260" s="6" t="s">
        <v>837</v>
      </c>
      <c r="L260" s="6" t="s">
        <v>838</v>
      </c>
      <c r="M260" s="6" t="s">
        <v>871</v>
      </c>
      <c r="N260" s="12" t="s">
        <v>840</v>
      </c>
      <c r="O260" s="6" t="s">
        <v>841</v>
      </c>
      <c r="P260" s="6" t="s">
        <v>2</v>
      </c>
      <c r="Q260" s="6" t="s">
        <v>20</v>
      </c>
      <c r="R260" s="12"/>
      <c r="S260" s="12"/>
      <c r="T260" s="12"/>
      <c r="U260" s="12"/>
      <c r="V260" s="12"/>
      <c r="W260" s="12"/>
      <c r="X260" s="6" t="str">
        <f aca="false">IF(COUNT(R260:W260)=6,SUM(R260:W260),"ko‘rilmagan")</f>
        <v>ko‘rilmagan</v>
      </c>
      <c r="Y260" s="12"/>
    </row>
    <row r="261" customFormat="false" ht="23.85" hidden="false" customHeight="false" outlineLevel="0" collapsed="false">
      <c r="A261" s="6" t="s">
        <v>2036</v>
      </c>
      <c r="B261" s="6" t="s">
        <v>422</v>
      </c>
      <c r="C261" s="6"/>
      <c r="D261" s="6" t="str">
        <f aca="false">IFERROR(INDEX(Mundarija!$D:$D,MATCH(B261,Mundarija!$A:$A,0)),"kod topilmadi")</f>
        <v>24.3. Teri osti va yumshoq to‘qima hosilalari.</v>
      </c>
      <c r="E261" s="6" t="s">
        <v>2037</v>
      </c>
      <c r="F261" s="11" t="s">
        <v>2038</v>
      </c>
      <c r="G261" s="6" t="s">
        <v>1204</v>
      </c>
      <c r="H261" s="6" t="s">
        <v>1815</v>
      </c>
      <c r="I261" s="6" t="s">
        <v>836</v>
      </c>
      <c r="J261" s="6" t="s">
        <v>836</v>
      </c>
      <c r="K261" s="6" t="s">
        <v>837</v>
      </c>
      <c r="L261" s="6" t="s">
        <v>863</v>
      </c>
      <c r="M261" s="6" t="s">
        <v>1672</v>
      </c>
      <c r="N261" s="12" t="s">
        <v>840</v>
      </c>
      <c r="O261" s="6" t="s">
        <v>841</v>
      </c>
      <c r="P261" s="6" t="s">
        <v>2</v>
      </c>
      <c r="Q261" s="6" t="s">
        <v>20</v>
      </c>
      <c r="R261" s="12"/>
      <c r="S261" s="12"/>
      <c r="T261" s="12"/>
      <c r="U261" s="12"/>
      <c r="V261" s="12"/>
      <c r="W261" s="12"/>
      <c r="X261" s="6" t="str">
        <f aca="false">IF(COUNT(R261:W261)=6,SUM(R261:W261),"ko‘rilmagan")</f>
        <v>ko‘rilmagan</v>
      </c>
      <c r="Y261" s="12"/>
    </row>
    <row r="262" customFormat="false" ht="23.85" hidden="false" customHeight="false" outlineLevel="0" collapsed="false">
      <c r="A262" s="6" t="s">
        <v>2039</v>
      </c>
      <c r="B262" s="6" t="s">
        <v>422</v>
      </c>
      <c r="C262" s="6"/>
      <c r="D262" s="6" t="str">
        <f aca="false">IFERROR(INDEX(Mundarija!$D:$D,MATCH(B262,Mundarija!$A:$A,0)),"kod topilmadi")</f>
        <v>24.3. Teri osti va yumshoq to‘qima hosilalari.</v>
      </c>
      <c r="E262" s="6" t="s">
        <v>2040</v>
      </c>
      <c r="F262" s="11" t="s">
        <v>2041</v>
      </c>
      <c r="G262" s="6" t="s">
        <v>1228</v>
      </c>
      <c r="H262" s="6" t="s">
        <v>1692</v>
      </c>
      <c r="I262" s="6" t="s">
        <v>836</v>
      </c>
      <c r="J262" s="6" t="s">
        <v>836</v>
      </c>
      <c r="K262" s="6" t="s">
        <v>837</v>
      </c>
      <c r="L262" s="6" t="s">
        <v>863</v>
      </c>
      <c r="M262" s="6" t="s">
        <v>1672</v>
      </c>
      <c r="N262" s="12" t="s">
        <v>840</v>
      </c>
      <c r="O262" s="6" t="s">
        <v>841</v>
      </c>
      <c r="P262" s="6" t="s">
        <v>2</v>
      </c>
      <c r="Q262" s="6" t="s">
        <v>20</v>
      </c>
      <c r="R262" s="12"/>
      <c r="S262" s="12"/>
      <c r="T262" s="12"/>
      <c r="U262" s="12"/>
      <c r="V262" s="12"/>
      <c r="W262" s="12"/>
      <c r="X262" s="6" t="str">
        <f aca="false">IF(COUNT(R262:W262)=6,SUM(R262:W262),"ko‘rilmagan")</f>
        <v>ko‘rilmagan</v>
      </c>
      <c r="Y262" s="12"/>
    </row>
    <row r="263" customFormat="false" ht="23.85" hidden="false" customHeight="false" outlineLevel="0" collapsed="false">
      <c r="A263" s="6" t="s">
        <v>2042</v>
      </c>
      <c r="B263" s="6" t="s">
        <v>424</v>
      </c>
      <c r="C263" s="6"/>
      <c r="D263" s="6" t="str">
        <f aca="false">IFERROR(INDEX(Mundarija!$D:$D,MATCH(B263,Mundarija!$A:$A,0)),"kod topilmadi")</f>
        <v>24.4. Ko‘z va retrobulbar sohaning maxsus tekshiruvlariga kirish.</v>
      </c>
      <c r="E263" s="6" t="s">
        <v>2043</v>
      </c>
      <c r="F263" s="11" t="s">
        <v>2044</v>
      </c>
      <c r="G263" s="6" t="s">
        <v>1223</v>
      </c>
      <c r="H263" s="6" t="s">
        <v>2045</v>
      </c>
      <c r="I263" s="6" t="s">
        <v>836</v>
      </c>
      <c r="J263" s="6" t="s">
        <v>836</v>
      </c>
      <c r="K263" s="6" t="s">
        <v>837</v>
      </c>
      <c r="L263" s="6" t="s">
        <v>863</v>
      </c>
      <c r="M263" s="6" t="s">
        <v>850</v>
      </c>
      <c r="N263" s="12" t="s">
        <v>840</v>
      </c>
      <c r="O263" s="6" t="s">
        <v>841</v>
      </c>
      <c r="P263" s="6" t="s">
        <v>2</v>
      </c>
      <c r="Q263" s="6" t="s">
        <v>20</v>
      </c>
      <c r="R263" s="12"/>
      <c r="S263" s="12"/>
      <c r="T263" s="12"/>
      <c r="U263" s="12"/>
      <c r="V263" s="12"/>
      <c r="W263" s="12"/>
      <c r="X263" s="6" t="str">
        <f aca="false">IF(COUNT(R263:W263)=6,SUM(R263:W263),"ko‘rilmagan")</f>
        <v>ko‘rilmagan</v>
      </c>
      <c r="Y263" s="12"/>
    </row>
    <row r="264" customFormat="false" ht="23.85" hidden="false" customHeight="false" outlineLevel="0" collapsed="false">
      <c r="A264" s="6" t="s">
        <v>2046</v>
      </c>
      <c r="B264" s="6" t="s">
        <v>424</v>
      </c>
      <c r="C264" s="6"/>
      <c r="D264" s="6" t="str">
        <f aca="false">IFERROR(INDEX(Mundarija!$D:$D,MATCH(B264,Mundarija!$A:$A,0)),"kod topilmadi")</f>
        <v>24.4. Ko‘z va retrobulbar sohaning maxsus tekshiruvlariga kirish.</v>
      </c>
      <c r="E264" s="6" t="s">
        <v>2047</v>
      </c>
      <c r="F264" s="11" t="s">
        <v>2048</v>
      </c>
      <c r="G264" s="6" t="s">
        <v>2049</v>
      </c>
      <c r="H264" s="6" t="s">
        <v>2050</v>
      </c>
      <c r="I264" s="6" t="s">
        <v>836</v>
      </c>
      <c r="J264" s="6" t="s">
        <v>836</v>
      </c>
      <c r="K264" s="6" t="s">
        <v>837</v>
      </c>
      <c r="L264" s="6" t="s">
        <v>838</v>
      </c>
      <c r="M264" s="6" t="s">
        <v>850</v>
      </c>
      <c r="N264" s="12" t="s">
        <v>840</v>
      </c>
      <c r="O264" s="6" t="s">
        <v>841</v>
      </c>
      <c r="P264" s="6" t="s">
        <v>2</v>
      </c>
      <c r="Q264" s="6" t="s">
        <v>20</v>
      </c>
      <c r="R264" s="12"/>
      <c r="S264" s="12"/>
      <c r="T264" s="12"/>
      <c r="U264" s="12"/>
      <c r="V264" s="12"/>
      <c r="W264" s="12"/>
      <c r="X264" s="6" t="str">
        <f aca="false">IF(COUNT(R264:W264)=6,SUM(R264:W264),"ko‘rilmagan")</f>
        <v>ko‘rilmagan</v>
      </c>
      <c r="Y264" s="12"/>
    </row>
    <row r="265" customFormat="false" ht="23.85" hidden="false" customHeight="false" outlineLevel="0" collapsed="false">
      <c r="A265" s="6" t="s">
        <v>2051</v>
      </c>
      <c r="B265" s="6" t="s">
        <v>424</v>
      </c>
      <c r="C265" s="6"/>
      <c r="D265" s="6" t="str">
        <f aca="false">IFERROR(INDEX(Mundarija!$D:$D,MATCH(B265,Mundarija!$A:$A,0)),"kod topilmadi")</f>
        <v>24.4. Ko‘z va retrobulbar sohaning maxsus tekshiruvlariga kirish.</v>
      </c>
      <c r="E265" s="6" t="s">
        <v>2052</v>
      </c>
      <c r="F265" s="11" t="s">
        <v>2053</v>
      </c>
      <c r="G265" s="6" t="s">
        <v>1577</v>
      </c>
      <c r="H265" s="6" t="s">
        <v>1578</v>
      </c>
      <c r="I265" s="6" t="s">
        <v>836</v>
      </c>
      <c r="J265" s="6" t="s">
        <v>836</v>
      </c>
      <c r="K265" s="6" t="s">
        <v>837</v>
      </c>
      <c r="L265" s="6" t="s">
        <v>838</v>
      </c>
      <c r="M265" s="6" t="s">
        <v>850</v>
      </c>
      <c r="N265" s="12" t="s">
        <v>840</v>
      </c>
      <c r="O265" s="6" t="s">
        <v>841</v>
      </c>
      <c r="P265" s="6" t="s">
        <v>2</v>
      </c>
      <c r="Q265" s="6" t="s">
        <v>20</v>
      </c>
      <c r="R265" s="12"/>
      <c r="S265" s="12"/>
      <c r="T265" s="12"/>
      <c r="U265" s="12"/>
      <c r="V265" s="12"/>
      <c r="W265" s="12"/>
      <c r="X265" s="6" t="str">
        <f aca="false">IF(COUNT(R265:W265)=6,SUM(R265:W265),"ko‘rilmagan")</f>
        <v>ko‘rilmagan</v>
      </c>
      <c r="Y265" s="12"/>
    </row>
    <row r="266" customFormat="false" ht="23.85" hidden="false" customHeight="false" outlineLevel="0" collapsed="false">
      <c r="A266" s="6" t="s">
        <v>2054</v>
      </c>
      <c r="B266" s="6" t="s">
        <v>426</v>
      </c>
      <c r="C266" s="6" t="s">
        <v>440</v>
      </c>
      <c r="D266" s="6" t="str">
        <f aca="false">IFERROR(INDEX(Mundarija!$D:$D,MATCH(B266,Mundarija!$A:$A,0)),"kod topilmadi")</f>
        <v>24.5. Yuzaki tomirlar va fistulalar.</v>
      </c>
      <c r="E266" s="6" t="s">
        <v>2055</v>
      </c>
      <c r="F266" s="11" t="s">
        <v>2056</v>
      </c>
      <c r="G266" s="6" t="s">
        <v>2057</v>
      </c>
      <c r="H266" s="6" t="s">
        <v>869</v>
      </c>
      <c r="I266" s="6" t="s">
        <v>836</v>
      </c>
      <c r="J266" s="6" t="s">
        <v>836</v>
      </c>
      <c r="K266" s="6" t="s">
        <v>837</v>
      </c>
      <c r="L266" s="6" t="s">
        <v>863</v>
      </c>
      <c r="M266" s="6" t="s">
        <v>1672</v>
      </c>
      <c r="N266" s="12" t="s">
        <v>840</v>
      </c>
      <c r="O266" s="6" t="s">
        <v>841</v>
      </c>
      <c r="P266" s="6" t="s">
        <v>2</v>
      </c>
      <c r="Q266" s="6" t="s">
        <v>20</v>
      </c>
      <c r="R266" s="12"/>
      <c r="S266" s="12"/>
      <c r="T266" s="12"/>
      <c r="U266" s="12"/>
      <c r="V266" s="12"/>
      <c r="W266" s="12"/>
      <c r="X266" s="6" t="str">
        <f aca="false">IF(COUNT(R266:W266)=6,SUM(R266:W266),"ko‘rilmagan")</f>
        <v>ko‘rilmagan</v>
      </c>
      <c r="Y266" s="12"/>
    </row>
    <row r="267" customFormat="false" ht="23.85" hidden="false" customHeight="false" outlineLevel="0" collapsed="false">
      <c r="A267" s="6" t="s">
        <v>2058</v>
      </c>
      <c r="B267" s="6" t="s">
        <v>426</v>
      </c>
      <c r="C267" s="6"/>
      <c r="D267" s="6" t="str">
        <f aca="false">IFERROR(INDEX(Mundarija!$D:$D,MATCH(B267,Mundarija!$A:$A,0)),"kod topilmadi")</f>
        <v>24.5. Yuzaki tomirlar va fistulalar.</v>
      </c>
      <c r="E267" s="6" t="s">
        <v>2059</v>
      </c>
      <c r="F267" s="11" t="s">
        <v>2060</v>
      </c>
      <c r="G267" s="6" t="s">
        <v>846</v>
      </c>
      <c r="H267" s="6" t="s">
        <v>2061</v>
      </c>
      <c r="I267" s="6" t="s">
        <v>836</v>
      </c>
      <c r="J267" s="6" t="s">
        <v>836</v>
      </c>
      <c r="K267" s="6" t="s">
        <v>837</v>
      </c>
      <c r="L267" s="6" t="s">
        <v>863</v>
      </c>
      <c r="M267" s="6" t="s">
        <v>850</v>
      </c>
      <c r="N267" s="12" t="s">
        <v>840</v>
      </c>
      <c r="O267" s="6" t="s">
        <v>841</v>
      </c>
      <c r="P267" s="6" t="s">
        <v>2</v>
      </c>
      <c r="Q267" s="6" t="s">
        <v>20</v>
      </c>
      <c r="R267" s="12"/>
      <c r="S267" s="12"/>
      <c r="T267" s="12"/>
      <c r="U267" s="12"/>
      <c r="V267" s="12"/>
      <c r="W267" s="12"/>
      <c r="X267" s="6" t="str">
        <f aca="false">IF(COUNT(R267:W267)=6,SUM(R267:W267),"ko‘rilmagan")</f>
        <v>ko‘rilmagan</v>
      </c>
      <c r="Y267" s="12"/>
    </row>
    <row r="268" customFormat="false" ht="23.85" hidden="false" customHeight="false" outlineLevel="0" collapsed="false">
      <c r="A268" s="6" t="s">
        <v>2062</v>
      </c>
      <c r="B268" s="6" t="s">
        <v>444</v>
      </c>
      <c r="C268" s="6" t="s">
        <v>426</v>
      </c>
      <c r="D268" s="6" t="str">
        <f aca="false">IFERROR(INDEX(Mundarija!$D:$D,MATCH(B268,Mundarija!$A:$A,0)),"kod topilmadi")</f>
        <v>25.8. Gemodializ arteriovenoz kirish yo‘llari.</v>
      </c>
      <c r="E268" s="6" t="s">
        <v>2063</v>
      </c>
      <c r="F268" s="11" t="s">
        <v>2064</v>
      </c>
      <c r="G268" s="6" t="s">
        <v>1182</v>
      </c>
      <c r="H268" s="6" t="s">
        <v>1801</v>
      </c>
      <c r="I268" s="6" t="s">
        <v>836</v>
      </c>
      <c r="J268" s="6" t="s">
        <v>836</v>
      </c>
      <c r="K268" s="6" t="s">
        <v>837</v>
      </c>
      <c r="L268" s="6" t="s">
        <v>863</v>
      </c>
      <c r="M268" s="6" t="s">
        <v>850</v>
      </c>
      <c r="N268" s="12" t="s">
        <v>840</v>
      </c>
      <c r="O268" s="6" t="s">
        <v>841</v>
      </c>
      <c r="P268" s="6" t="s">
        <v>2</v>
      </c>
      <c r="Q268" s="6" t="s">
        <v>20</v>
      </c>
      <c r="R268" s="12"/>
      <c r="S268" s="12"/>
      <c r="T268" s="12"/>
      <c r="U268" s="12"/>
      <c r="V268" s="12"/>
      <c r="W268" s="12"/>
      <c r="X268" s="6" t="str">
        <f aca="false">IF(COUNT(R268:W268)=6,SUM(R268:W268),"ko‘rilmagan")</f>
        <v>ko‘rilmagan</v>
      </c>
      <c r="Y268" s="12"/>
    </row>
    <row r="269" customFormat="false" ht="23.85" hidden="false" customHeight="false" outlineLevel="0" collapsed="false">
      <c r="A269" s="6" t="s">
        <v>2065</v>
      </c>
      <c r="B269" s="6" t="s">
        <v>428</v>
      </c>
      <c r="C269" s="6" t="s">
        <v>111</v>
      </c>
      <c r="D269" s="6" t="str">
        <f aca="false">IFERROR(INDEX(Mundarija!$D:$D,MATCH(B269,Mundarija!$A:$A,0)),"kod topilmadi")</f>
        <v>25.1. Qon tomirlarning normal sonografik anatomiyasi.</v>
      </c>
      <c r="E269" s="6" t="s">
        <v>2066</v>
      </c>
      <c r="F269" s="11" t="s">
        <v>2067</v>
      </c>
      <c r="G269" s="6" t="s">
        <v>1218</v>
      </c>
      <c r="H269" s="6" t="s">
        <v>919</v>
      </c>
      <c r="I269" s="6" t="s">
        <v>836</v>
      </c>
      <c r="J269" s="6" t="s">
        <v>836</v>
      </c>
      <c r="K269" s="6" t="s">
        <v>837</v>
      </c>
      <c r="L269" s="6" t="s">
        <v>838</v>
      </c>
      <c r="M269" s="6" t="s">
        <v>921</v>
      </c>
      <c r="N269" s="12" t="s">
        <v>840</v>
      </c>
      <c r="O269" s="6" t="s">
        <v>841</v>
      </c>
      <c r="P269" s="6" t="s">
        <v>2</v>
      </c>
      <c r="Q269" s="6" t="s">
        <v>20</v>
      </c>
      <c r="R269" s="12"/>
      <c r="S269" s="12"/>
      <c r="T269" s="12"/>
      <c r="U269" s="12"/>
      <c r="V269" s="12"/>
      <c r="W269" s="12"/>
      <c r="X269" s="6" t="str">
        <f aca="false">IF(COUNT(R269:W269)=6,SUM(R269:W269),"ko‘rilmagan")</f>
        <v>ko‘rilmagan</v>
      </c>
      <c r="Y269" s="12"/>
    </row>
    <row r="270" customFormat="false" ht="23.85" hidden="false" customHeight="false" outlineLevel="0" collapsed="false">
      <c r="A270" s="6" t="s">
        <v>2068</v>
      </c>
      <c r="B270" s="6" t="s">
        <v>432</v>
      </c>
      <c r="C270" s="6"/>
      <c r="D270" s="6" t="str">
        <f aca="false">IFERROR(INDEX(Mundarija!$D:$D,MATCH(B270,Mundarija!$A:$A,0)),"kod topilmadi")</f>
        <v>25.2. Karotid va vertebral arteriyalar.</v>
      </c>
      <c r="E270" s="6" t="s">
        <v>2069</v>
      </c>
      <c r="F270" s="11" t="s">
        <v>2070</v>
      </c>
      <c r="G270" s="6" t="s">
        <v>1558</v>
      </c>
      <c r="H270" s="6" t="s">
        <v>1616</v>
      </c>
      <c r="I270" s="6" t="s">
        <v>836</v>
      </c>
      <c r="J270" s="6" t="s">
        <v>836</v>
      </c>
      <c r="K270" s="6" t="s">
        <v>837</v>
      </c>
      <c r="L270" s="6" t="s">
        <v>863</v>
      </c>
      <c r="M270" s="6" t="s">
        <v>850</v>
      </c>
      <c r="N270" s="12" t="s">
        <v>840</v>
      </c>
      <c r="O270" s="6" t="s">
        <v>841</v>
      </c>
      <c r="P270" s="6" t="s">
        <v>2</v>
      </c>
      <c r="Q270" s="6" t="s">
        <v>20</v>
      </c>
      <c r="R270" s="12"/>
      <c r="S270" s="12"/>
      <c r="T270" s="12"/>
      <c r="U270" s="12"/>
      <c r="V270" s="12"/>
      <c r="W270" s="12"/>
      <c r="X270" s="6" t="str">
        <f aca="false">IF(COUNT(R270:W270)=6,SUM(R270:W270),"ko‘rilmagan")</f>
        <v>ko‘rilmagan</v>
      </c>
      <c r="Y270" s="12"/>
    </row>
    <row r="271" customFormat="false" ht="23.85" hidden="false" customHeight="false" outlineLevel="0" collapsed="false">
      <c r="A271" s="6" t="s">
        <v>2071</v>
      </c>
      <c r="B271" s="6" t="s">
        <v>432</v>
      </c>
      <c r="C271" s="6"/>
      <c r="D271" s="6" t="str">
        <f aca="false">IFERROR(INDEX(Mundarija!$D:$D,MATCH(B271,Mundarija!$A:$A,0)),"kod topilmadi")</f>
        <v>25.2. Karotid va vertebral arteriyalar.</v>
      </c>
      <c r="E271" s="6" t="s">
        <v>2072</v>
      </c>
      <c r="F271" s="11" t="s">
        <v>2073</v>
      </c>
      <c r="G271" s="6" t="s">
        <v>2074</v>
      </c>
      <c r="H271" s="6" t="s">
        <v>2075</v>
      </c>
      <c r="I271" s="6" t="s">
        <v>836</v>
      </c>
      <c r="J271" s="6" t="s">
        <v>836</v>
      </c>
      <c r="K271" s="6" t="s">
        <v>837</v>
      </c>
      <c r="L271" s="6" t="s">
        <v>863</v>
      </c>
      <c r="M271" s="6" t="s">
        <v>871</v>
      </c>
      <c r="N271" s="12" t="s">
        <v>840</v>
      </c>
      <c r="O271" s="6" t="s">
        <v>841</v>
      </c>
      <c r="P271" s="6" t="s">
        <v>2</v>
      </c>
      <c r="Q271" s="6" t="s">
        <v>20</v>
      </c>
      <c r="R271" s="12"/>
      <c r="S271" s="12"/>
      <c r="T271" s="12"/>
      <c r="U271" s="12"/>
      <c r="V271" s="12"/>
      <c r="W271" s="12"/>
      <c r="X271" s="6" t="str">
        <f aca="false">IF(COUNT(R271:W271)=6,SUM(R271:W271),"ko‘rilmagan")</f>
        <v>ko‘rilmagan</v>
      </c>
      <c r="Y271" s="12"/>
    </row>
    <row r="272" customFormat="false" ht="23.85" hidden="false" customHeight="false" outlineLevel="0" collapsed="false">
      <c r="A272" s="6" t="s">
        <v>2076</v>
      </c>
      <c r="B272" s="6" t="s">
        <v>440</v>
      </c>
      <c r="C272" s="6"/>
      <c r="D272" s="6" t="str">
        <f aca="false">IFERROR(INDEX(Mundarija!$D:$D,MATCH(B272,Mundarija!$A:$A,0)),"kod topilmadi")</f>
        <v>25.6. Yuzaki venalar va varikoz.</v>
      </c>
      <c r="E272" s="6" t="s">
        <v>2077</v>
      </c>
      <c r="F272" s="11" t="s">
        <v>2078</v>
      </c>
      <c r="G272" s="6" t="s">
        <v>2079</v>
      </c>
      <c r="H272" s="6" t="s">
        <v>2080</v>
      </c>
      <c r="I272" s="6" t="s">
        <v>836</v>
      </c>
      <c r="J272" s="6" t="s">
        <v>836</v>
      </c>
      <c r="K272" s="6" t="s">
        <v>837</v>
      </c>
      <c r="L272" s="6" t="s">
        <v>863</v>
      </c>
      <c r="M272" s="6" t="s">
        <v>850</v>
      </c>
      <c r="N272" s="12" t="s">
        <v>840</v>
      </c>
      <c r="O272" s="6" t="s">
        <v>841</v>
      </c>
      <c r="P272" s="6" t="s">
        <v>2</v>
      </c>
      <c r="Q272" s="6" t="s">
        <v>20</v>
      </c>
      <c r="R272" s="12"/>
      <c r="S272" s="12"/>
      <c r="T272" s="12"/>
      <c r="U272" s="12"/>
      <c r="V272" s="12"/>
      <c r="W272" s="12"/>
      <c r="X272" s="6" t="str">
        <f aca="false">IF(COUNT(R272:W272)=6,SUM(R272:W272),"ko‘rilmagan")</f>
        <v>ko‘rilmagan</v>
      </c>
      <c r="Y272" s="12"/>
    </row>
    <row r="273" customFormat="false" ht="23.85" hidden="false" customHeight="false" outlineLevel="0" collapsed="false">
      <c r="A273" s="6" t="s">
        <v>2081</v>
      </c>
      <c r="B273" s="6" t="s">
        <v>440</v>
      </c>
      <c r="C273" s="6"/>
      <c r="D273" s="6" t="str">
        <f aca="false">IFERROR(INDEX(Mundarija!$D:$D,MATCH(B273,Mundarija!$A:$A,0)),"kod topilmadi")</f>
        <v>25.6. Yuzaki venalar va varikoz.</v>
      </c>
      <c r="E273" s="6" t="s">
        <v>2082</v>
      </c>
      <c r="F273" s="11" t="s">
        <v>2083</v>
      </c>
      <c r="G273" s="6" t="s">
        <v>2079</v>
      </c>
      <c r="H273" s="6" t="s">
        <v>2080</v>
      </c>
      <c r="I273" s="6" t="s">
        <v>836</v>
      </c>
      <c r="J273" s="6" t="s">
        <v>836</v>
      </c>
      <c r="K273" s="6" t="s">
        <v>837</v>
      </c>
      <c r="L273" s="6" t="s">
        <v>863</v>
      </c>
      <c r="M273" s="6" t="s">
        <v>850</v>
      </c>
      <c r="N273" s="12" t="s">
        <v>840</v>
      </c>
      <c r="O273" s="6" t="s">
        <v>841</v>
      </c>
      <c r="P273" s="6" t="s">
        <v>2</v>
      </c>
      <c r="Q273" s="6" t="s">
        <v>20</v>
      </c>
      <c r="R273" s="12"/>
      <c r="S273" s="12"/>
      <c r="T273" s="12"/>
      <c r="U273" s="12"/>
      <c r="V273" s="12"/>
      <c r="W273" s="12"/>
      <c r="X273" s="6" t="str">
        <f aca="false">IF(COUNT(R273:W273)=6,SUM(R273:W273),"ko‘rilmagan")</f>
        <v>ko‘rilmagan</v>
      </c>
      <c r="Y273" s="12"/>
    </row>
    <row r="274" customFormat="false" ht="23.85" hidden="false" customHeight="false" outlineLevel="0" collapsed="false">
      <c r="A274" s="6" t="s">
        <v>2084</v>
      </c>
      <c r="B274" s="6" t="s">
        <v>440</v>
      </c>
      <c r="C274" s="6"/>
      <c r="D274" s="6" t="str">
        <f aca="false">IFERROR(INDEX(Mundarija!$D:$D,MATCH(B274,Mundarija!$A:$A,0)),"kod topilmadi")</f>
        <v>25.6. Yuzaki venalar va varikoz.</v>
      </c>
      <c r="E274" s="6" t="s">
        <v>2085</v>
      </c>
      <c r="F274" s="11" t="s">
        <v>2086</v>
      </c>
      <c r="G274" s="6" t="s">
        <v>1182</v>
      </c>
      <c r="H274" s="6" t="s">
        <v>1801</v>
      </c>
      <c r="I274" s="6" t="s">
        <v>836</v>
      </c>
      <c r="J274" s="6" t="s">
        <v>836</v>
      </c>
      <c r="K274" s="6" t="s">
        <v>837</v>
      </c>
      <c r="L274" s="6" t="s">
        <v>863</v>
      </c>
      <c r="M274" s="6" t="s">
        <v>871</v>
      </c>
      <c r="N274" s="12" t="s">
        <v>840</v>
      </c>
      <c r="O274" s="6" t="s">
        <v>841</v>
      </c>
      <c r="P274" s="6" t="s">
        <v>2</v>
      </c>
      <c r="Q274" s="6" t="s">
        <v>20</v>
      </c>
      <c r="R274" s="12"/>
      <c r="S274" s="12"/>
      <c r="T274" s="12"/>
      <c r="U274" s="12"/>
      <c r="V274" s="12"/>
      <c r="W274" s="12"/>
      <c r="X274" s="6" t="str">
        <f aca="false">IF(COUNT(R274:W274)=6,SUM(R274:W274),"ko‘rilmagan")</f>
        <v>ko‘rilmagan</v>
      </c>
      <c r="Y274" s="12"/>
    </row>
    <row r="275" customFormat="false" ht="23.85" hidden="false" customHeight="false" outlineLevel="0" collapsed="false">
      <c r="A275" s="6" t="s">
        <v>2087</v>
      </c>
      <c r="B275" s="6" t="s">
        <v>442</v>
      </c>
      <c r="C275" s="6" t="s">
        <v>251</v>
      </c>
      <c r="D275" s="6" t="str">
        <f aca="false">IFERROR(INDEX(Mundarija!$D:$D,MATCH(B275,Mundarija!$A:$A,0)),"kod topilmadi")</f>
        <v>25.7. Qorin aortasi va pastki kava vena.</v>
      </c>
      <c r="E275" s="6" t="s">
        <v>2088</v>
      </c>
      <c r="F275" s="11" t="s">
        <v>2089</v>
      </c>
      <c r="G275" s="6" t="s">
        <v>1318</v>
      </c>
      <c r="H275" s="6" t="s">
        <v>2090</v>
      </c>
      <c r="I275" s="6" t="s">
        <v>836</v>
      </c>
      <c r="J275" s="6" t="s">
        <v>836</v>
      </c>
      <c r="K275" s="6" t="s">
        <v>837</v>
      </c>
      <c r="L275" s="6" t="s">
        <v>838</v>
      </c>
      <c r="M275" s="6" t="s">
        <v>850</v>
      </c>
      <c r="N275" s="12" t="s">
        <v>840</v>
      </c>
      <c r="O275" s="6" t="s">
        <v>841</v>
      </c>
      <c r="P275" s="6" t="s">
        <v>2</v>
      </c>
      <c r="Q275" s="6" t="s">
        <v>20</v>
      </c>
      <c r="R275" s="12"/>
      <c r="S275" s="12"/>
      <c r="T275" s="12"/>
      <c r="U275" s="12"/>
      <c r="V275" s="12"/>
      <c r="W275" s="12"/>
      <c r="X275" s="6" t="str">
        <f aca="false">IF(COUNT(R275:W275)=6,SUM(R275:W275),"ko‘rilmagan")</f>
        <v>ko‘rilmagan</v>
      </c>
      <c r="Y275" s="12"/>
    </row>
    <row r="276" customFormat="false" ht="23.85" hidden="false" customHeight="false" outlineLevel="0" collapsed="false">
      <c r="A276" s="6" t="s">
        <v>2091</v>
      </c>
      <c r="B276" s="6" t="s">
        <v>442</v>
      </c>
      <c r="C276" s="6" t="s">
        <v>251</v>
      </c>
      <c r="D276" s="6" t="str">
        <f aca="false">IFERROR(INDEX(Mundarija!$D:$D,MATCH(B276,Mundarija!$A:$A,0)),"kod topilmadi")</f>
        <v>25.7. Qorin aortasi va pastki kava vena.</v>
      </c>
      <c r="E276" s="6" t="s">
        <v>2092</v>
      </c>
      <c r="F276" s="11" t="s">
        <v>2093</v>
      </c>
      <c r="G276" s="6" t="s">
        <v>2094</v>
      </c>
      <c r="H276" s="6" t="s">
        <v>2095</v>
      </c>
      <c r="I276" s="6" t="s">
        <v>836</v>
      </c>
      <c r="J276" s="6" t="s">
        <v>836</v>
      </c>
      <c r="K276" s="6" t="s">
        <v>837</v>
      </c>
      <c r="L276" s="6" t="s">
        <v>838</v>
      </c>
      <c r="M276" s="6" t="s">
        <v>850</v>
      </c>
      <c r="N276" s="12" t="s">
        <v>840</v>
      </c>
      <c r="O276" s="6" t="s">
        <v>841</v>
      </c>
      <c r="P276" s="6" t="s">
        <v>2</v>
      </c>
      <c r="Q276" s="6" t="s">
        <v>20</v>
      </c>
      <c r="R276" s="12"/>
      <c r="S276" s="12"/>
      <c r="T276" s="12"/>
      <c r="U276" s="12"/>
      <c r="V276" s="12"/>
      <c r="W276" s="12"/>
      <c r="X276" s="6" t="str">
        <f aca="false">IF(COUNT(R276:W276)=6,SUM(R276:W276),"ko‘rilmagan")</f>
        <v>ko‘rilmagan</v>
      </c>
      <c r="Y276" s="12"/>
    </row>
    <row r="277" customFormat="false" ht="23.85" hidden="false" customHeight="false" outlineLevel="0" collapsed="false">
      <c r="A277" s="6" t="s">
        <v>2096</v>
      </c>
      <c r="B277" s="6" t="s">
        <v>442</v>
      </c>
      <c r="C277" s="6" t="s">
        <v>2097</v>
      </c>
      <c r="D277" s="6" t="str">
        <f aca="false">IFERROR(INDEX(Mundarija!$D:$D,MATCH(B277,Mundarija!$A:$A,0)),"kod topilmadi")</f>
        <v>25.7. Qorin aortasi va pastki kava vena.</v>
      </c>
      <c r="E277" s="6" t="s">
        <v>2098</v>
      </c>
      <c r="F277" s="11" t="s">
        <v>2099</v>
      </c>
      <c r="G277" s="6" t="s">
        <v>2100</v>
      </c>
      <c r="H277" s="6" t="s">
        <v>2101</v>
      </c>
      <c r="I277" s="6" t="s">
        <v>836</v>
      </c>
      <c r="J277" s="6" t="s">
        <v>836</v>
      </c>
      <c r="K277" s="6" t="s">
        <v>837</v>
      </c>
      <c r="L277" s="6" t="s">
        <v>838</v>
      </c>
      <c r="M277" s="6" t="s">
        <v>850</v>
      </c>
      <c r="N277" s="12" t="s">
        <v>840</v>
      </c>
      <c r="O277" s="6" t="s">
        <v>841</v>
      </c>
      <c r="P277" s="6" t="s">
        <v>2</v>
      </c>
      <c r="Q277" s="6" t="s">
        <v>20</v>
      </c>
      <c r="R277" s="12"/>
      <c r="S277" s="12"/>
      <c r="T277" s="12"/>
      <c r="U277" s="12"/>
      <c r="V277" s="12"/>
      <c r="W277" s="12"/>
      <c r="X277" s="6" t="str">
        <f aca="false">IF(COUNT(R277:W277)=6,SUM(R277:W277),"ko‘rilmagan")</f>
        <v>ko‘rilmagan</v>
      </c>
      <c r="Y277" s="12"/>
    </row>
    <row r="278" customFormat="false" ht="23.85" hidden="false" customHeight="false" outlineLevel="0" collapsed="false">
      <c r="A278" s="6" t="s">
        <v>2102</v>
      </c>
      <c r="B278" s="6" t="s">
        <v>444</v>
      </c>
      <c r="C278" s="6"/>
      <c r="D278" s="6" t="str">
        <f aca="false">IFERROR(INDEX(Mundarija!$D:$D,MATCH(B278,Mundarija!$A:$A,0)),"kod topilmadi")</f>
        <v>25.8. Gemodializ arteriovenoz kirish yo‘llari.</v>
      </c>
      <c r="E278" s="6" t="s">
        <v>2103</v>
      </c>
      <c r="F278" s="11" t="s">
        <v>2104</v>
      </c>
      <c r="G278" s="6" t="s">
        <v>1182</v>
      </c>
      <c r="H278" s="6" t="s">
        <v>1801</v>
      </c>
      <c r="I278" s="6" t="s">
        <v>836</v>
      </c>
      <c r="J278" s="6" t="s">
        <v>836</v>
      </c>
      <c r="K278" s="6" t="s">
        <v>837</v>
      </c>
      <c r="L278" s="6" t="s">
        <v>863</v>
      </c>
      <c r="M278" s="6" t="s">
        <v>850</v>
      </c>
      <c r="N278" s="12" t="s">
        <v>840</v>
      </c>
      <c r="O278" s="6" t="s">
        <v>841</v>
      </c>
      <c r="P278" s="6" t="s">
        <v>2</v>
      </c>
      <c r="Q278" s="6" t="s">
        <v>20</v>
      </c>
      <c r="R278" s="12"/>
      <c r="S278" s="12"/>
      <c r="T278" s="12"/>
      <c r="U278" s="12"/>
      <c r="V278" s="12"/>
      <c r="W278" s="12"/>
      <c r="X278" s="6" t="str">
        <f aca="false">IF(COUNT(R278:W278)=6,SUM(R278:W278),"ko‘rilmagan")</f>
        <v>ko‘rilmagan</v>
      </c>
      <c r="Y278" s="12"/>
    </row>
    <row r="279" customFormat="false" ht="23.85" hidden="false" customHeight="false" outlineLevel="0" collapsed="false">
      <c r="A279" s="6" t="s">
        <v>2105</v>
      </c>
      <c r="B279" s="6" t="s">
        <v>444</v>
      </c>
      <c r="C279" s="6"/>
      <c r="D279" s="6" t="str">
        <f aca="false">IFERROR(INDEX(Mundarija!$D:$D,MATCH(B279,Mundarija!$A:$A,0)),"kod topilmadi")</f>
        <v>25.8. Gemodializ arteriovenoz kirish yo‘llari.</v>
      </c>
      <c r="E279" s="6" t="s">
        <v>2106</v>
      </c>
      <c r="F279" s="11" t="s">
        <v>2107</v>
      </c>
      <c r="G279" s="6" t="s">
        <v>2108</v>
      </c>
      <c r="H279" s="6" t="s">
        <v>2109</v>
      </c>
      <c r="I279" s="6" t="s">
        <v>836</v>
      </c>
      <c r="J279" s="6" t="s">
        <v>836</v>
      </c>
      <c r="K279" s="6" t="s">
        <v>837</v>
      </c>
      <c r="L279" s="6" t="s">
        <v>1707</v>
      </c>
      <c r="M279" s="6" t="s">
        <v>871</v>
      </c>
      <c r="N279" s="12" t="s">
        <v>840</v>
      </c>
      <c r="O279" s="6" t="s">
        <v>841</v>
      </c>
      <c r="P279" s="6" t="s">
        <v>2</v>
      </c>
      <c r="Q279" s="6" t="s">
        <v>20</v>
      </c>
      <c r="R279" s="12"/>
      <c r="S279" s="12"/>
      <c r="T279" s="12"/>
      <c r="U279" s="12"/>
      <c r="V279" s="12"/>
      <c r="W279" s="12"/>
      <c r="X279" s="6" t="str">
        <f aca="false">IF(COUNT(R279:W279)=6,SUM(R279:W279),"ko‘rilmagan")</f>
        <v>ko‘rilmagan</v>
      </c>
      <c r="Y279" s="12"/>
    </row>
    <row r="280" customFormat="false" ht="23.85" hidden="false" customHeight="false" outlineLevel="0" collapsed="false">
      <c r="A280" s="6" t="s">
        <v>2110</v>
      </c>
      <c r="B280" s="6" t="s">
        <v>444</v>
      </c>
      <c r="C280" s="6"/>
      <c r="D280" s="6" t="str">
        <f aca="false">IFERROR(INDEX(Mundarija!$D:$D,MATCH(B280,Mundarija!$A:$A,0)),"kod topilmadi")</f>
        <v>25.8. Gemodializ arteriovenoz kirish yo‘llari.</v>
      </c>
      <c r="E280" s="6" t="s">
        <v>2111</v>
      </c>
      <c r="F280" s="11" t="s">
        <v>2112</v>
      </c>
      <c r="G280" s="6" t="s">
        <v>2113</v>
      </c>
      <c r="H280" s="6" t="s">
        <v>1738</v>
      </c>
      <c r="I280" s="6" t="s">
        <v>836</v>
      </c>
      <c r="J280" s="6" t="s">
        <v>836</v>
      </c>
      <c r="K280" s="6" t="s">
        <v>837</v>
      </c>
      <c r="L280" s="6" t="s">
        <v>1707</v>
      </c>
      <c r="M280" s="6" t="s">
        <v>871</v>
      </c>
      <c r="N280" s="12" t="s">
        <v>840</v>
      </c>
      <c r="O280" s="6" t="s">
        <v>841</v>
      </c>
      <c r="P280" s="6" t="s">
        <v>2</v>
      </c>
      <c r="Q280" s="6" t="s">
        <v>20</v>
      </c>
      <c r="R280" s="12"/>
      <c r="S280" s="12"/>
      <c r="T280" s="12"/>
      <c r="U280" s="12"/>
      <c r="V280" s="12"/>
      <c r="W280" s="12"/>
      <c r="X280" s="6" t="str">
        <f aca="false">IF(COUNT(R280:W280)=6,SUM(R280:W280),"ko‘rilmagan")</f>
        <v>ko‘rilmagan</v>
      </c>
      <c r="Y280" s="12"/>
    </row>
    <row r="281" customFormat="false" ht="23.85" hidden="false" customHeight="false" outlineLevel="0" collapsed="false">
      <c r="A281" s="6" t="s">
        <v>2114</v>
      </c>
      <c r="B281" s="6" t="s">
        <v>446</v>
      </c>
      <c r="C281" s="6" t="s">
        <v>190</v>
      </c>
      <c r="D281" s="6" t="str">
        <f aca="false">IFERROR(INDEX(Mundarija!$D:$D,MATCH(B281,Mundarija!$A:$A,0)),"kod topilmadi")</f>
        <v>25.9. Transplantat tomirlari.</v>
      </c>
      <c r="E281" s="6" t="s">
        <v>2115</v>
      </c>
      <c r="F281" s="11" t="s">
        <v>2116</v>
      </c>
      <c r="G281" s="6" t="s">
        <v>1194</v>
      </c>
      <c r="H281" s="6" t="s">
        <v>869</v>
      </c>
      <c r="I281" s="6" t="s">
        <v>836</v>
      </c>
      <c r="J281" s="6" t="s">
        <v>836</v>
      </c>
      <c r="K281" s="6" t="s">
        <v>837</v>
      </c>
      <c r="L281" s="6" t="s">
        <v>1707</v>
      </c>
      <c r="M281" s="6" t="s">
        <v>871</v>
      </c>
      <c r="N281" s="12" t="s">
        <v>840</v>
      </c>
      <c r="O281" s="6" t="s">
        <v>841</v>
      </c>
      <c r="P281" s="6" t="s">
        <v>2</v>
      </c>
      <c r="Q281" s="6" t="s">
        <v>20</v>
      </c>
      <c r="R281" s="12"/>
      <c r="S281" s="12"/>
      <c r="T281" s="12"/>
      <c r="U281" s="12"/>
      <c r="V281" s="12"/>
      <c r="W281" s="12"/>
      <c r="X281" s="6" t="str">
        <f aca="false">IF(COUNT(R281:W281)=6,SUM(R281:W281),"ko‘rilmagan")</f>
        <v>ko‘rilmagan</v>
      </c>
      <c r="Y281" s="12"/>
    </row>
    <row r="282" customFormat="false" ht="23.85" hidden="false" customHeight="false" outlineLevel="0" collapsed="false">
      <c r="A282" s="6" t="s">
        <v>2117</v>
      </c>
      <c r="B282" s="6" t="s">
        <v>446</v>
      </c>
      <c r="C282" s="6" t="s">
        <v>190</v>
      </c>
      <c r="D282" s="6" t="str">
        <f aca="false">IFERROR(INDEX(Mundarija!$D:$D,MATCH(B282,Mundarija!$A:$A,0)),"kod topilmadi")</f>
        <v>25.9. Transplantat tomirlari.</v>
      </c>
      <c r="E282" s="6" t="s">
        <v>2118</v>
      </c>
      <c r="F282" s="11" t="s">
        <v>2119</v>
      </c>
      <c r="G282" s="6" t="s">
        <v>1194</v>
      </c>
      <c r="H282" s="6" t="s">
        <v>869</v>
      </c>
      <c r="I282" s="6" t="s">
        <v>836</v>
      </c>
      <c r="J282" s="6" t="s">
        <v>836</v>
      </c>
      <c r="K282" s="6" t="s">
        <v>837</v>
      </c>
      <c r="L282" s="6" t="s">
        <v>1707</v>
      </c>
      <c r="M282" s="6" t="s">
        <v>1672</v>
      </c>
      <c r="N282" s="12" t="s">
        <v>840</v>
      </c>
      <c r="O282" s="6" t="s">
        <v>841</v>
      </c>
      <c r="P282" s="6" t="s">
        <v>2</v>
      </c>
      <c r="Q282" s="6" t="s">
        <v>20</v>
      </c>
      <c r="R282" s="12"/>
      <c r="S282" s="12"/>
      <c r="T282" s="12"/>
      <c r="U282" s="12"/>
      <c r="V282" s="12"/>
      <c r="W282" s="12"/>
      <c r="X282" s="6" t="str">
        <f aca="false">IF(COUNT(R282:W282)=6,SUM(R282:W282),"ko‘rilmagan")</f>
        <v>ko‘rilmagan</v>
      </c>
      <c r="Y282" s="12"/>
    </row>
    <row r="283" customFormat="false" ht="23.85" hidden="false" customHeight="false" outlineLevel="0" collapsed="false">
      <c r="A283" s="6" t="s">
        <v>2120</v>
      </c>
      <c r="B283" s="6" t="s">
        <v>181</v>
      </c>
      <c r="C283" s="6" t="s">
        <v>428</v>
      </c>
      <c r="D283" s="6" t="str">
        <f aca="false">IFERROR(INDEX(Mundarija!$D:$D,MATCH(B283,Mundarija!$A:$A,0)),"kod topilmadi")</f>
        <v>10.4. Portal gipertenziya, portal va jigar venalari.</v>
      </c>
      <c r="E283" s="6" t="s">
        <v>2121</v>
      </c>
      <c r="F283" s="11" t="s">
        <v>2122</v>
      </c>
      <c r="G283" s="6" t="s">
        <v>2123</v>
      </c>
      <c r="H283" s="6" t="s">
        <v>2124</v>
      </c>
      <c r="I283" s="6" t="s">
        <v>836</v>
      </c>
      <c r="J283" s="6" t="s">
        <v>836</v>
      </c>
      <c r="K283" s="6" t="s">
        <v>837</v>
      </c>
      <c r="L283" s="6" t="s">
        <v>863</v>
      </c>
      <c r="M283" s="6" t="s">
        <v>871</v>
      </c>
      <c r="N283" s="12" t="s">
        <v>840</v>
      </c>
      <c r="O283" s="6" t="s">
        <v>841</v>
      </c>
      <c r="P283" s="6" t="s">
        <v>2</v>
      </c>
      <c r="Q283" s="6" t="s">
        <v>20</v>
      </c>
      <c r="R283" s="12"/>
      <c r="S283" s="12"/>
      <c r="T283" s="12"/>
      <c r="U283" s="12"/>
      <c r="V283" s="12"/>
      <c r="W283" s="12"/>
      <c r="X283" s="6" t="str">
        <f aca="false">IF(COUNT(R283:W283)=6,SUM(R283:W283),"ko‘rilmagan")</f>
        <v>ko‘rilmagan</v>
      </c>
      <c r="Y283" s="12"/>
    </row>
    <row r="284" customFormat="false" ht="23.85" hidden="false" customHeight="false" outlineLevel="0" collapsed="false">
      <c r="A284" s="6" t="s">
        <v>2125</v>
      </c>
      <c r="B284" s="6" t="s">
        <v>450</v>
      </c>
      <c r="C284" s="6" t="s">
        <v>454</v>
      </c>
      <c r="D284" s="6" t="str">
        <f aca="false">IFERROR(INDEX(Mundarija!$D:$D,MATCH(B284,Mundarija!$A:$A,0)),"kod topilmadi")</f>
        <v>26.1. Yurak anatomiyasi va standart akustik oynalar.</v>
      </c>
      <c r="E284" s="6" t="s">
        <v>2126</v>
      </c>
      <c r="F284" s="11" t="s">
        <v>2127</v>
      </c>
      <c r="G284" s="6" t="s">
        <v>1582</v>
      </c>
      <c r="H284" s="6" t="s">
        <v>1583</v>
      </c>
      <c r="I284" s="6" t="s">
        <v>836</v>
      </c>
      <c r="J284" s="6" t="s">
        <v>836</v>
      </c>
      <c r="K284" s="6" t="s">
        <v>837</v>
      </c>
      <c r="L284" s="6" t="s">
        <v>838</v>
      </c>
      <c r="M284" s="6" t="s">
        <v>871</v>
      </c>
      <c r="N284" s="12" t="s">
        <v>840</v>
      </c>
      <c r="O284" s="6" t="s">
        <v>841</v>
      </c>
      <c r="P284" s="6" t="s">
        <v>2</v>
      </c>
      <c r="Q284" s="6" t="s">
        <v>20</v>
      </c>
      <c r="R284" s="12"/>
      <c r="S284" s="12"/>
      <c r="T284" s="12"/>
      <c r="U284" s="12"/>
      <c r="V284" s="12"/>
      <c r="W284" s="12"/>
      <c r="X284" s="6" t="str">
        <f aca="false">IF(COUNT(R284:W284)=6,SUM(R284:W284),"ko‘rilmagan")</f>
        <v>ko‘rilmagan</v>
      </c>
      <c r="Y284" s="12"/>
    </row>
    <row r="285" customFormat="false" ht="23.85" hidden="false" customHeight="false" outlineLevel="0" collapsed="false">
      <c r="A285" s="6" t="s">
        <v>2128</v>
      </c>
      <c r="B285" s="6" t="s">
        <v>456</v>
      </c>
      <c r="C285" s="6" t="s">
        <v>460</v>
      </c>
      <c r="D285" s="6" t="str">
        <f aca="false">IFERROR(INDEX(Mundarija!$D:$D,MATCH(B285,Mundarija!$A:$A,0)),"kod topilmadi")</f>
        <v>26.3. M-rejim va 2D tasvir.</v>
      </c>
      <c r="E285" s="6" t="s">
        <v>2129</v>
      </c>
      <c r="F285" s="11" t="s">
        <v>2130</v>
      </c>
      <c r="G285" s="6" t="s">
        <v>1582</v>
      </c>
      <c r="H285" s="6" t="s">
        <v>1583</v>
      </c>
      <c r="I285" s="6" t="s">
        <v>836</v>
      </c>
      <c r="J285" s="6" t="s">
        <v>836</v>
      </c>
      <c r="K285" s="6" t="s">
        <v>837</v>
      </c>
      <c r="L285" s="6" t="s">
        <v>838</v>
      </c>
      <c r="M285" s="6" t="s">
        <v>850</v>
      </c>
      <c r="N285" s="12" t="s">
        <v>840</v>
      </c>
      <c r="O285" s="6" t="s">
        <v>841</v>
      </c>
      <c r="P285" s="6" t="s">
        <v>2</v>
      </c>
      <c r="Q285" s="6" t="s">
        <v>20</v>
      </c>
      <c r="R285" s="12"/>
      <c r="S285" s="12"/>
      <c r="T285" s="12"/>
      <c r="U285" s="12"/>
      <c r="V285" s="12"/>
      <c r="W285" s="12"/>
      <c r="X285" s="6" t="str">
        <f aca="false">IF(COUNT(R285:W285)=6,SUM(R285:W285),"ko‘rilmagan")</f>
        <v>ko‘rilmagan</v>
      </c>
      <c r="Y285" s="12"/>
    </row>
    <row r="286" customFormat="false" ht="23.85" hidden="false" customHeight="false" outlineLevel="0" collapsed="false">
      <c r="A286" s="6" t="s">
        <v>2131</v>
      </c>
      <c r="B286" s="6" t="s">
        <v>456</v>
      </c>
      <c r="C286" s="6"/>
      <c r="D286" s="6" t="str">
        <f aca="false">IFERROR(INDEX(Mundarija!$D:$D,MATCH(B286,Mundarija!$A:$A,0)),"kod topilmadi")</f>
        <v>26.3. M-rejim va 2D tasvir.</v>
      </c>
      <c r="E286" s="6" t="s">
        <v>2132</v>
      </c>
      <c r="F286" s="11" t="s">
        <v>2133</v>
      </c>
      <c r="G286" s="6" t="s">
        <v>2134</v>
      </c>
      <c r="H286" s="6" t="s">
        <v>2135</v>
      </c>
      <c r="I286" s="6" t="s">
        <v>836</v>
      </c>
      <c r="J286" s="6" t="s">
        <v>836</v>
      </c>
      <c r="K286" s="6" t="s">
        <v>837</v>
      </c>
      <c r="L286" s="6" t="s">
        <v>838</v>
      </c>
      <c r="M286" s="6" t="s">
        <v>871</v>
      </c>
      <c r="N286" s="12" t="s">
        <v>840</v>
      </c>
      <c r="O286" s="6" t="s">
        <v>841</v>
      </c>
      <c r="P286" s="6" t="s">
        <v>2</v>
      </c>
      <c r="Q286" s="6" t="s">
        <v>20</v>
      </c>
      <c r="R286" s="12"/>
      <c r="S286" s="12"/>
      <c r="T286" s="12"/>
      <c r="U286" s="12"/>
      <c r="V286" s="12"/>
      <c r="W286" s="12"/>
      <c r="X286" s="6" t="str">
        <f aca="false">IF(COUNT(R286:W286)=6,SUM(R286:W286),"ko‘rilmagan")</f>
        <v>ko‘rilmagan</v>
      </c>
      <c r="Y286" s="12"/>
    </row>
    <row r="287" customFormat="false" ht="23.85" hidden="false" customHeight="false" outlineLevel="0" collapsed="false">
      <c r="A287" s="6" t="s">
        <v>2136</v>
      </c>
      <c r="B287" s="6" t="s">
        <v>458</v>
      </c>
      <c r="C287" s="6"/>
      <c r="D287" s="6" t="str">
        <f aca="false">IFERROR(INDEX(Mundarija!$D:$D,MATCH(B287,Mundarija!$A:$A,0)),"kod topilmadi")</f>
        <v>26.4. Pulsli, uzluksiz, rangli va to‘qima Doppleri.</v>
      </c>
      <c r="E287" s="6" t="s">
        <v>2137</v>
      </c>
      <c r="F287" s="11" t="s">
        <v>2138</v>
      </c>
      <c r="G287" s="6" t="s">
        <v>2134</v>
      </c>
      <c r="H287" s="6" t="s">
        <v>2135</v>
      </c>
      <c r="I287" s="6" t="s">
        <v>836</v>
      </c>
      <c r="J287" s="6" t="s">
        <v>836</v>
      </c>
      <c r="K287" s="6" t="s">
        <v>837</v>
      </c>
      <c r="L287" s="6" t="s">
        <v>838</v>
      </c>
      <c r="M287" s="6" t="s">
        <v>871</v>
      </c>
      <c r="N287" s="12" t="s">
        <v>840</v>
      </c>
      <c r="O287" s="6" t="s">
        <v>841</v>
      </c>
      <c r="P287" s="6" t="s">
        <v>2</v>
      </c>
      <c r="Q287" s="6" t="s">
        <v>20</v>
      </c>
      <c r="R287" s="12"/>
      <c r="S287" s="12"/>
      <c r="T287" s="12"/>
      <c r="U287" s="12"/>
      <c r="V287" s="12"/>
      <c r="W287" s="12"/>
      <c r="X287" s="6" t="str">
        <f aca="false">IF(COUNT(R287:W287)=6,SUM(R287:W287),"ko‘rilmagan")</f>
        <v>ko‘rilmagan</v>
      </c>
      <c r="Y287" s="12"/>
    </row>
    <row r="288" customFormat="false" ht="23.85" hidden="false" customHeight="false" outlineLevel="0" collapsed="false">
      <c r="A288" s="6" t="s">
        <v>2139</v>
      </c>
      <c r="B288" s="6" t="s">
        <v>458</v>
      </c>
      <c r="C288" s="6"/>
      <c r="D288" s="6" t="str">
        <f aca="false">IFERROR(INDEX(Mundarija!$D:$D,MATCH(B288,Mundarija!$A:$A,0)),"kod topilmadi")</f>
        <v>26.4. Pulsli, uzluksiz, rangli va to‘qima Doppleri.</v>
      </c>
      <c r="E288" s="6" t="s">
        <v>2140</v>
      </c>
      <c r="F288" s="11" t="s">
        <v>2141</v>
      </c>
      <c r="G288" s="6" t="s">
        <v>2134</v>
      </c>
      <c r="H288" s="6" t="s">
        <v>2135</v>
      </c>
      <c r="I288" s="6" t="s">
        <v>836</v>
      </c>
      <c r="J288" s="6" t="s">
        <v>836</v>
      </c>
      <c r="K288" s="6" t="s">
        <v>837</v>
      </c>
      <c r="L288" s="6" t="s">
        <v>838</v>
      </c>
      <c r="M288" s="6" t="s">
        <v>871</v>
      </c>
      <c r="N288" s="12" t="s">
        <v>840</v>
      </c>
      <c r="O288" s="6" t="s">
        <v>841</v>
      </c>
      <c r="P288" s="6" t="s">
        <v>2</v>
      </c>
      <c r="Q288" s="6" t="s">
        <v>20</v>
      </c>
      <c r="R288" s="12"/>
      <c r="S288" s="12"/>
      <c r="T288" s="12"/>
      <c r="U288" s="12"/>
      <c r="V288" s="12"/>
      <c r="W288" s="12"/>
      <c r="X288" s="6" t="str">
        <f aca="false">IF(COUNT(R288:W288)=6,SUM(R288:W288),"ko‘rilmagan")</f>
        <v>ko‘rilmagan</v>
      </c>
      <c r="Y288" s="12"/>
    </row>
    <row r="289" customFormat="false" ht="23.85" hidden="false" customHeight="false" outlineLevel="0" collapsed="false">
      <c r="A289" s="6" t="s">
        <v>2142</v>
      </c>
      <c r="B289" s="6" t="s">
        <v>458</v>
      </c>
      <c r="C289" s="6" t="s">
        <v>464</v>
      </c>
      <c r="D289" s="6" t="str">
        <f aca="false">IFERROR(INDEX(Mundarija!$D:$D,MATCH(B289,Mundarija!$A:$A,0)),"kod topilmadi")</f>
        <v>26.4. Pulsli, uzluksiz, rangli va to‘qima Doppleri.</v>
      </c>
      <c r="E289" s="6" t="s">
        <v>2143</v>
      </c>
      <c r="F289" s="11" t="s">
        <v>2144</v>
      </c>
      <c r="G289" s="6" t="s">
        <v>1486</v>
      </c>
      <c r="H289" s="6" t="s">
        <v>1591</v>
      </c>
      <c r="I289" s="6" t="s">
        <v>836</v>
      </c>
      <c r="J289" s="6" t="s">
        <v>836</v>
      </c>
      <c r="K289" s="6" t="s">
        <v>837</v>
      </c>
      <c r="L289" s="6" t="s">
        <v>863</v>
      </c>
      <c r="M289" s="6" t="s">
        <v>850</v>
      </c>
      <c r="N289" s="12" t="s">
        <v>840</v>
      </c>
      <c r="O289" s="6" t="s">
        <v>841</v>
      </c>
      <c r="P289" s="6" t="s">
        <v>2</v>
      </c>
      <c r="Q289" s="6" t="s">
        <v>20</v>
      </c>
      <c r="R289" s="12"/>
      <c r="S289" s="12"/>
      <c r="T289" s="12"/>
      <c r="U289" s="12"/>
      <c r="V289" s="12"/>
      <c r="W289" s="12"/>
      <c r="X289" s="6" t="str">
        <f aca="false">IF(COUNT(R289:W289)=6,SUM(R289:W289),"ko‘rilmagan")</f>
        <v>ko‘rilmagan</v>
      </c>
      <c r="Y289" s="12"/>
    </row>
    <row r="290" customFormat="false" ht="23.85" hidden="false" customHeight="false" outlineLevel="0" collapsed="false">
      <c r="A290" s="6" t="s">
        <v>2145</v>
      </c>
      <c r="B290" s="6" t="s">
        <v>460</v>
      </c>
      <c r="C290" s="6"/>
      <c r="D290" s="6" t="str">
        <f aca="false">IFERROR(INDEX(Mundarija!$D:$D,MATCH(B290,Mundarija!$A:$A,0)),"kod topilmadi")</f>
        <v>26.5. Yurak kameralari va devor qalinligi.</v>
      </c>
      <c r="E290" s="6" t="s">
        <v>2146</v>
      </c>
      <c r="F290" s="11" t="s">
        <v>2147</v>
      </c>
      <c r="G290" s="6" t="s">
        <v>2148</v>
      </c>
      <c r="H290" s="6" t="s">
        <v>2149</v>
      </c>
      <c r="I290" s="6" t="s">
        <v>836</v>
      </c>
      <c r="J290" s="6" t="s">
        <v>836</v>
      </c>
      <c r="K290" s="6" t="s">
        <v>837</v>
      </c>
      <c r="L290" s="6" t="s">
        <v>863</v>
      </c>
      <c r="M290" s="6" t="s">
        <v>871</v>
      </c>
      <c r="N290" s="12" t="s">
        <v>840</v>
      </c>
      <c r="O290" s="6" t="s">
        <v>841</v>
      </c>
      <c r="P290" s="6" t="s">
        <v>2</v>
      </c>
      <c r="Q290" s="6" t="s">
        <v>20</v>
      </c>
      <c r="R290" s="12"/>
      <c r="S290" s="12"/>
      <c r="T290" s="12"/>
      <c r="U290" s="12"/>
      <c r="V290" s="12"/>
      <c r="W290" s="12"/>
      <c r="X290" s="6" t="str">
        <f aca="false">IF(COUNT(R290:W290)=6,SUM(R290:W290),"ko‘rilmagan")</f>
        <v>ko‘rilmagan</v>
      </c>
      <c r="Y290" s="12"/>
    </row>
    <row r="291" customFormat="false" ht="23.85" hidden="false" customHeight="false" outlineLevel="0" collapsed="false">
      <c r="A291" s="6" t="s">
        <v>2150</v>
      </c>
      <c r="B291" s="6" t="s">
        <v>460</v>
      </c>
      <c r="C291" s="6"/>
      <c r="D291" s="6" t="str">
        <f aca="false">IFERROR(INDEX(Mundarija!$D:$D,MATCH(B291,Mundarija!$A:$A,0)),"kod topilmadi")</f>
        <v>26.5. Yurak kameralari va devor qalinligi.</v>
      </c>
      <c r="E291" s="6" t="s">
        <v>2151</v>
      </c>
      <c r="F291" s="11" t="s">
        <v>2152</v>
      </c>
      <c r="G291" s="6" t="s">
        <v>2153</v>
      </c>
      <c r="H291" s="6" t="s">
        <v>2154</v>
      </c>
      <c r="I291" s="6" t="s">
        <v>836</v>
      </c>
      <c r="J291" s="6" t="s">
        <v>836</v>
      </c>
      <c r="K291" s="6" t="s">
        <v>837</v>
      </c>
      <c r="L291" s="6" t="s">
        <v>838</v>
      </c>
      <c r="M291" s="6" t="s">
        <v>871</v>
      </c>
      <c r="N291" s="12" t="s">
        <v>840</v>
      </c>
      <c r="O291" s="6" t="s">
        <v>841</v>
      </c>
      <c r="P291" s="6" t="s">
        <v>2</v>
      </c>
      <c r="Q291" s="6" t="s">
        <v>20</v>
      </c>
      <c r="R291" s="12"/>
      <c r="S291" s="12"/>
      <c r="T291" s="12"/>
      <c r="U291" s="12"/>
      <c r="V291" s="12"/>
      <c r="W291" s="12"/>
      <c r="X291" s="6" t="str">
        <f aca="false">IF(COUNT(R291:W291)=6,SUM(R291:W291),"ko‘rilmagan")</f>
        <v>ko‘rilmagan</v>
      </c>
      <c r="Y291" s="12"/>
    </row>
    <row r="292" customFormat="false" ht="23.85" hidden="false" customHeight="false" outlineLevel="0" collapsed="false">
      <c r="A292" s="6" t="s">
        <v>2155</v>
      </c>
      <c r="B292" s="6" t="s">
        <v>460</v>
      </c>
      <c r="C292" s="6" t="s">
        <v>456</v>
      </c>
      <c r="D292" s="6" t="str">
        <f aca="false">IFERROR(INDEX(Mundarija!$D:$D,MATCH(B292,Mundarija!$A:$A,0)),"kod topilmadi")</f>
        <v>26.5. Yurak kameralari va devor qalinligi.</v>
      </c>
      <c r="E292" s="6" t="s">
        <v>2156</v>
      </c>
      <c r="F292" s="11" t="s">
        <v>2157</v>
      </c>
      <c r="G292" s="6" t="s">
        <v>2134</v>
      </c>
      <c r="H292" s="6" t="s">
        <v>2135</v>
      </c>
      <c r="I292" s="6" t="s">
        <v>836</v>
      </c>
      <c r="J292" s="6" t="s">
        <v>836</v>
      </c>
      <c r="K292" s="6" t="s">
        <v>837</v>
      </c>
      <c r="L292" s="6" t="s">
        <v>838</v>
      </c>
      <c r="M292" s="6" t="s">
        <v>850</v>
      </c>
      <c r="N292" s="12" t="s">
        <v>840</v>
      </c>
      <c r="O292" s="6" t="s">
        <v>841</v>
      </c>
      <c r="P292" s="6" t="s">
        <v>2</v>
      </c>
      <c r="Q292" s="6" t="s">
        <v>20</v>
      </c>
      <c r="R292" s="12"/>
      <c r="S292" s="12"/>
      <c r="T292" s="12"/>
      <c r="U292" s="12"/>
      <c r="V292" s="12"/>
      <c r="W292" s="12"/>
      <c r="X292" s="6" t="str">
        <f aca="false">IF(COUNT(R292:W292)=6,SUM(R292:W292),"ko‘rilmagan")</f>
        <v>ko‘rilmagan</v>
      </c>
      <c r="Y292" s="12"/>
    </row>
    <row r="293" customFormat="false" ht="35.05" hidden="false" customHeight="false" outlineLevel="0" collapsed="false">
      <c r="A293" s="6" t="s">
        <v>2158</v>
      </c>
      <c r="B293" s="6" t="s">
        <v>464</v>
      </c>
      <c r="C293" s="6"/>
      <c r="D293" s="6" t="str">
        <f aca="false">IFERROR(INDEX(Mundarija!$D:$D,MATCH(B293,Mundarija!$A:$A,0)),"kod topilmadi")</f>
        <v>26.7. Diastolik funksiya va tegishli ko‘rsatkichlar.</v>
      </c>
      <c r="E293" s="6" t="s">
        <v>2159</v>
      </c>
      <c r="F293" s="11" t="s">
        <v>2160</v>
      </c>
      <c r="G293" s="6" t="s">
        <v>1368</v>
      </c>
      <c r="H293" s="6" t="s">
        <v>2161</v>
      </c>
      <c r="I293" s="6" t="s">
        <v>836</v>
      </c>
      <c r="J293" s="6" t="s">
        <v>836</v>
      </c>
      <c r="K293" s="6" t="s">
        <v>837</v>
      </c>
      <c r="L293" s="6" t="s">
        <v>1707</v>
      </c>
      <c r="M293" s="6" t="s">
        <v>871</v>
      </c>
      <c r="N293" s="12" t="s">
        <v>840</v>
      </c>
      <c r="O293" s="6" t="s">
        <v>841</v>
      </c>
      <c r="P293" s="6" t="s">
        <v>2</v>
      </c>
      <c r="Q293" s="6" t="s">
        <v>20</v>
      </c>
      <c r="R293" s="12"/>
      <c r="S293" s="12"/>
      <c r="T293" s="12"/>
      <c r="U293" s="12"/>
      <c r="V293" s="12"/>
      <c r="W293" s="12"/>
      <c r="X293" s="6" t="str">
        <f aca="false">IF(COUNT(R293:W293)=6,SUM(R293:W293),"ko‘rilmagan")</f>
        <v>ko‘rilmagan</v>
      </c>
      <c r="Y293" s="12"/>
    </row>
    <row r="294" customFormat="false" ht="23.85" hidden="false" customHeight="false" outlineLevel="0" collapsed="false">
      <c r="A294" s="6" t="s">
        <v>2162</v>
      </c>
      <c r="B294" s="6" t="s">
        <v>464</v>
      </c>
      <c r="C294" s="6"/>
      <c r="D294" s="6" t="str">
        <f aca="false">IFERROR(INDEX(Mundarija!$D:$D,MATCH(B294,Mundarija!$A:$A,0)),"kod topilmadi")</f>
        <v>26.7. Diastolik funksiya va tegishli ko‘rsatkichlar.</v>
      </c>
      <c r="E294" s="6" t="s">
        <v>2163</v>
      </c>
      <c r="F294" s="11" t="s">
        <v>2164</v>
      </c>
      <c r="G294" s="6" t="s">
        <v>2165</v>
      </c>
      <c r="H294" s="6" t="s">
        <v>2166</v>
      </c>
      <c r="I294" s="6" t="s">
        <v>836</v>
      </c>
      <c r="J294" s="6" t="s">
        <v>836</v>
      </c>
      <c r="K294" s="6" t="s">
        <v>837</v>
      </c>
      <c r="L294" s="6" t="s">
        <v>1707</v>
      </c>
      <c r="M294" s="6" t="s">
        <v>871</v>
      </c>
      <c r="N294" s="12" t="s">
        <v>840</v>
      </c>
      <c r="O294" s="6" t="s">
        <v>841</v>
      </c>
      <c r="P294" s="6" t="s">
        <v>2</v>
      </c>
      <c r="Q294" s="6" t="s">
        <v>20</v>
      </c>
      <c r="R294" s="12"/>
      <c r="S294" s="12"/>
      <c r="T294" s="12"/>
      <c r="U294" s="12"/>
      <c r="V294" s="12"/>
      <c r="W294" s="12"/>
      <c r="X294" s="6" t="str">
        <f aca="false">IF(COUNT(R294:W294)=6,SUM(R294:W294),"ko‘rilmagan")</f>
        <v>ko‘rilmagan</v>
      </c>
      <c r="Y294" s="12"/>
    </row>
    <row r="295" customFormat="false" ht="23.85" hidden="false" customHeight="false" outlineLevel="0" collapsed="false">
      <c r="A295" s="6" t="s">
        <v>2167</v>
      </c>
      <c r="B295" s="6" t="s">
        <v>464</v>
      </c>
      <c r="C295" s="6"/>
      <c r="D295" s="6" t="str">
        <f aca="false">IFERROR(INDEX(Mundarija!$D:$D,MATCH(B295,Mundarija!$A:$A,0)),"kod topilmadi")</f>
        <v>26.7. Diastolik funksiya va tegishli ko‘rsatkichlar.</v>
      </c>
      <c r="E295" s="6" t="s">
        <v>2168</v>
      </c>
      <c r="F295" s="11" t="s">
        <v>2169</v>
      </c>
      <c r="G295" s="6" t="s">
        <v>2170</v>
      </c>
      <c r="H295" s="6" t="s">
        <v>2171</v>
      </c>
      <c r="I295" s="6" t="s">
        <v>836</v>
      </c>
      <c r="J295" s="6" t="s">
        <v>836</v>
      </c>
      <c r="K295" s="6" t="s">
        <v>837</v>
      </c>
      <c r="L295" s="6" t="s">
        <v>863</v>
      </c>
      <c r="M295" s="6" t="s">
        <v>871</v>
      </c>
      <c r="N295" s="12" t="s">
        <v>840</v>
      </c>
      <c r="O295" s="6" t="s">
        <v>841</v>
      </c>
      <c r="P295" s="6" t="s">
        <v>2</v>
      </c>
      <c r="Q295" s="6" t="s">
        <v>20</v>
      </c>
      <c r="R295" s="12"/>
      <c r="S295" s="12"/>
      <c r="T295" s="12"/>
      <c r="U295" s="12"/>
      <c r="V295" s="12"/>
      <c r="W295" s="12"/>
      <c r="X295" s="6" t="str">
        <f aca="false">IF(COUNT(R295:W295)=6,SUM(R295:W295),"ko‘rilmagan")</f>
        <v>ko‘rilmagan</v>
      </c>
      <c r="Y295" s="12"/>
    </row>
    <row r="296" customFormat="false" ht="23.85" hidden="false" customHeight="false" outlineLevel="0" collapsed="false">
      <c r="A296" s="6" t="s">
        <v>2172</v>
      </c>
      <c r="B296" s="6" t="s">
        <v>468</v>
      </c>
      <c r="C296" s="6"/>
      <c r="D296" s="6" t="str">
        <f aca="false">IFERROR(INDEX(Mundarija!$D:$D,MATCH(B296,Mundarija!$A:$A,0)),"kod topilmadi")</f>
        <v>26.9. Kardiomiopatiyalar va yurak yetishmovchiligi.</v>
      </c>
      <c r="E296" s="6" t="s">
        <v>2173</v>
      </c>
      <c r="F296" s="11" t="s">
        <v>2174</v>
      </c>
      <c r="G296" s="6" t="s">
        <v>1358</v>
      </c>
      <c r="H296" s="6" t="s">
        <v>2175</v>
      </c>
      <c r="I296" s="6" t="s">
        <v>836</v>
      </c>
      <c r="J296" s="6" t="s">
        <v>836</v>
      </c>
      <c r="K296" s="6" t="s">
        <v>837</v>
      </c>
      <c r="L296" s="6" t="s">
        <v>863</v>
      </c>
      <c r="M296" s="6" t="s">
        <v>871</v>
      </c>
      <c r="N296" s="12" t="s">
        <v>840</v>
      </c>
      <c r="O296" s="6" t="s">
        <v>841</v>
      </c>
      <c r="P296" s="6" t="s">
        <v>2</v>
      </c>
      <c r="Q296" s="6" t="s">
        <v>20</v>
      </c>
      <c r="R296" s="12"/>
      <c r="S296" s="12"/>
      <c r="T296" s="12"/>
      <c r="U296" s="12"/>
      <c r="V296" s="12"/>
      <c r="W296" s="12"/>
      <c r="X296" s="6" t="str">
        <f aca="false">IF(COUNT(R296:W296)=6,SUM(R296:W296),"ko‘rilmagan")</f>
        <v>ko‘rilmagan</v>
      </c>
      <c r="Y296" s="12"/>
    </row>
    <row r="297" customFormat="false" ht="23.85" hidden="false" customHeight="false" outlineLevel="0" collapsed="false">
      <c r="A297" s="6" t="s">
        <v>2176</v>
      </c>
      <c r="B297" s="6" t="s">
        <v>468</v>
      </c>
      <c r="C297" s="6"/>
      <c r="D297" s="6" t="str">
        <f aca="false">IFERROR(INDEX(Mundarija!$D:$D,MATCH(B297,Mundarija!$A:$A,0)),"kod topilmadi")</f>
        <v>26.9. Kardiomiopatiyalar va yurak yetishmovchiligi.</v>
      </c>
      <c r="E297" s="6" t="s">
        <v>2177</v>
      </c>
      <c r="F297" s="11" t="s">
        <v>2178</v>
      </c>
      <c r="G297" s="6" t="s">
        <v>1358</v>
      </c>
      <c r="H297" s="6" t="s">
        <v>2175</v>
      </c>
      <c r="I297" s="6" t="s">
        <v>836</v>
      </c>
      <c r="J297" s="6" t="s">
        <v>836</v>
      </c>
      <c r="K297" s="6" t="s">
        <v>837</v>
      </c>
      <c r="L297" s="6" t="s">
        <v>863</v>
      </c>
      <c r="M297" s="6" t="s">
        <v>871</v>
      </c>
      <c r="N297" s="12" t="s">
        <v>840</v>
      </c>
      <c r="O297" s="6" t="s">
        <v>841</v>
      </c>
      <c r="P297" s="6" t="s">
        <v>2</v>
      </c>
      <c r="Q297" s="6" t="s">
        <v>20</v>
      </c>
      <c r="R297" s="12"/>
      <c r="S297" s="12"/>
      <c r="T297" s="12"/>
      <c r="U297" s="12"/>
      <c r="V297" s="12"/>
      <c r="W297" s="12"/>
      <c r="X297" s="6" t="str">
        <f aca="false">IF(COUNT(R297:W297)=6,SUM(R297:W297),"ko‘rilmagan")</f>
        <v>ko‘rilmagan</v>
      </c>
      <c r="Y297" s="12"/>
    </row>
    <row r="298" customFormat="false" ht="23.85" hidden="false" customHeight="false" outlineLevel="0" collapsed="false">
      <c r="A298" s="6" t="s">
        <v>2179</v>
      </c>
      <c r="B298" s="6" t="s">
        <v>468</v>
      </c>
      <c r="C298" s="6"/>
      <c r="D298" s="6" t="str">
        <f aca="false">IFERROR(INDEX(Mundarija!$D:$D,MATCH(B298,Mundarija!$A:$A,0)),"kod topilmadi")</f>
        <v>26.9. Kardiomiopatiyalar va yurak yetishmovchiligi.</v>
      </c>
      <c r="E298" s="6" t="s">
        <v>2180</v>
      </c>
      <c r="F298" s="11" t="s">
        <v>2181</v>
      </c>
      <c r="G298" s="6" t="s">
        <v>2182</v>
      </c>
      <c r="H298" s="6" t="s">
        <v>2183</v>
      </c>
      <c r="I298" s="6" t="s">
        <v>836</v>
      </c>
      <c r="J298" s="6" t="s">
        <v>836</v>
      </c>
      <c r="K298" s="6" t="s">
        <v>837</v>
      </c>
      <c r="L298" s="6" t="s">
        <v>863</v>
      </c>
      <c r="M298" s="6" t="s">
        <v>1672</v>
      </c>
      <c r="N298" s="12" t="s">
        <v>840</v>
      </c>
      <c r="O298" s="6" t="s">
        <v>841</v>
      </c>
      <c r="P298" s="6" t="s">
        <v>2</v>
      </c>
      <c r="Q298" s="6" t="s">
        <v>20</v>
      </c>
      <c r="R298" s="12"/>
      <c r="S298" s="12"/>
      <c r="T298" s="12"/>
      <c r="U298" s="12"/>
      <c r="V298" s="12"/>
      <c r="W298" s="12"/>
      <c r="X298" s="6" t="str">
        <f aca="false">IF(COUNT(R298:W298)=6,SUM(R298:W298),"ko‘rilmagan")</f>
        <v>ko‘rilmagan</v>
      </c>
      <c r="Y298" s="12"/>
    </row>
    <row r="299" customFormat="false" ht="23.85" hidden="false" customHeight="false" outlineLevel="0" collapsed="false">
      <c r="A299" s="6" t="s">
        <v>2184</v>
      </c>
      <c r="B299" s="6" t="s">
        <v>472</v>
      </c>
      <c r="C299" s="6"/>
      <c r="D299" s="6" t="str">
        <f aca="false">IFERROR(INDEX(Mundarija!$D:$D,MATCH(B299,Mundarija!$A:$A,0)),"kod topilmadi")</f>
        <v>26.11. O‘pka gipertenziyasi va o‘ng yurakni baholash.</v>
      </c>
      <c r="E299" s="6" t="s">
        <v>2185</v>
      </c>
      <c r="F299" s="11" t="s">
        <v>2186</v>
      </c>
      <c r="G299" s="6" t="s">
        <v>1182</v>
      </c>
      <c r="H299" s="6" t="s">
        <v>1801</v>
      </c>
      <c r="I299" s="6" t="s">
        <v>836</v>
      </c>
      <c r="J299" s="6" t="s">
        <v>836</v>
      </c>
      <c r="K299" s="6" t="s">
        <v>837</v>
      </c>
      <c r="L299" s="6" t="s">
        <v>863</v>
      </c>
      <c r="M299" s="6" t="s">
        <v>871</v>
      </c>
      <c r="N299" s="12" t="s">
        <v>840</v>
      </c>
      <c r="O299" s="6" t="s">
        <v>841</v>
      </c>
      <c r="P299" s="6" t="s">
        <v>2</v>
      </c>
      <c r="Q299" s="6" t="s">
        <v>20</v>
      </c>
      <c r="R299" s="12"/>
      <c r="S299" s="12"/>
      <c r="T299" s="12"/>
      <c r="U299" s="12"/>
      <c r="V299" s="12"/>
      <c r="W299" s="12"/>
      <c r="X299" s="6" t="str">
        <f aca="false">IF(COUNT(R299:W299)=6,SUM(R299:W299),"ko‘rilmagan")</f>
        <v>ko‘rilmagan</v>
      </c>
      <c r="Y299" s="12"/>
    </row>
    <row r="300" customFormat="false" ht="23.85" hidden="false" customHeight="false" outlineLevel="0" collapsed="false">
      <c r="A300" s="6" t="s">
        <v>2187</v>
      </c>
      <c r="B300" s="6" t="s">
        <v>472</v>
      </c>
      <c r="C300" s="6"/>
      <c r="D300" s="6" t="str">
        <f aca="false">IFERROR(INDEX(Mundarija!$D:$D,MATCH(B300,Mundarija!$A:$A,0)),"kod topilmadi")</f>
        <v>26.11. O‘pka gipertenziyasi va o‘ng yurakni baholash.</v>
      </c>
      <c r="E300" s="6" t="s">
        <v>2188</v>
      </c>
      <c r="F300" s="11" t="s">
        <v>2189</v>
      </c>
      <c r="G300" s="6" t="s">
        <v>1182</v>
      </c>
      <c r="H300" s="6" t="s">
        <v>1801</v>
      </c>
      <c r="I300" s="6" t="s">
        <v>836</v>
      </c>
      <c r="J300" s="6" t="s">
        <v>836</v>
      </c>
      <c r="K300" s="6" t="s">
        <v>837</v>
      </c>
      <c r="L300" s="6" t="s">
        <v>863</v>
      </c>
      <c r="M300" s="6" t="s">
        <v>850</v>
      </c>
      <c r="N300" s="12" t="s">
        <v>840</v>
      </c>
      <c r="O300" s="6" t="s">
        <v>841</v>
      </c>
      <c r="P300" s="6" t="s">
        <v>2</v>
      </c>
      <c r="Q300" s="6" t="s">
        <v>20</v>
      </c>
      <c r="R300" s="12"/>
      <c r="S300" s="12"/>
      <c r="T300" s="12"/>
      <c r="U300" s="12"/>
      <c r="V300" s="12"/>
      <c r="W300" s="12"/>
      <c r="X300" s="6" t="str">
        <f aca="false">IF(COUNT(R300:W300)=6,SUM(R300:W300),"ko‘rilmagan")</f>
        <v>ko‘rilmagan</v>
      </c>
      <c r="Y300" s="12"/>
    </row>
    <row r="301" customFormat="false" ht="23.85" hidden="false" customHeight="false" outlineLevel="0" collapsed="false">
      <c r="A301" s="6" t="s">
        <v>2190</v>
      </c>
      <c r="B301" s="6" t="s">
        <v>472</v>
      </c>
      <c r="C301" s="6"/>
      <c r="D301" s="6" t="str">
        <f aca="false">IFERROR(INDEX(Mundarija!$D:$D,MATCH(B301,Mundarija!$A:$A,0)),"kod topilmadi")</f>
        <v>26.11. O‘pka gipertenziyasi va o‘ng yurakni baholash.</v>
      </c>
      <c r="E301" s="6" t="s">
        <v>2191</v>
      </c>
      <c r="F301" s="11" t="s">
        <v>2192</v>
      </c>
      <c r="G301" s="6" t="s">
        <v>2193</v>
      </c>
      <c r="H301" s="6" t="s">
        <v>2194</v>
      </c>
      <c r="I301" s="6" t="s">
        <v>836</v>
      </c>
      <c r="J301" s="6" t="s">
        <v>836</v>
      </c>
      <c r="K301" s="6" t="s">
        <v>837</v>
      </c>
      <c r="L301" s="6" t="s">
        <v>863</v>
      </c>
      <c r="M301" s="6" t="s">
        <v>871</v>
      </c>
      <c r="N301" s="12" t="s">
        <v>840</v>
      </c>
      <c r="O301" s="6" t="s">
        <v>841</v>
      </c>
      <c r="P301" s="6" t="s">
        <v>2</v>
      </c>
      <c r="Q301" s="6" t="s">
        <v>20</v>
      </c>
      <c r="R301" s="12"/>
      <c r="S301" s="12"/>
      <c r="T301" s="12"/>
      <c r="U301" s="12"/>
      <c r="V301" s="12"/>
      <c r="W301" s="12"/>
      <c r="X301" s="6" t="str">
        <f aca="false">IF(COUNT(R301:W301)=6,SUM(R301:W301),"ko‘rilmagan")</f>
        <v>ko‘rilmagan</v>
      </c>
      <c r="Y301" s="12"/>
    </row>
    <row r="302" customFormat="false" ht="23.85" hidden="false" customHeight="false" outlineLevel="0" collapsed="false">
      <c r="A302" s="6" t="s">
        <v>2195</v>
      </c>
      <c r="B302" s="6" t="s">
        <v>474</v>
      </c>
      <c r="C302" s="6"/>
      <c r="D302" s="6" t="str">
        <f aca="false">IFERROR(INDEX(Mundarija!$D:$D,MATCH(B302,Mundarija!$A:$A,0)),"kod topilmadi")</f>
        <v>26.12. Tug‘ma yurak nuqsonlariga kirish.</v>
      </c>
      <c r="E302" s="6" t="s">
        <v>2196</v>
      </c>
      <c r="F302" s="11" t="s">
        <v>2197</v>
      </c>
      <c r="G302" s="6" t="s">
        <v>2198</v>
      </c>
      <c r="H302" s="6" t="s">
        <v>1685</v>
      </c>
      <c r="I302" s="6" t="s">
        <v>836</v>
      </c>
      <c r="J302" s="6" t="s">
        <v>836</v>
      </c>
      <c r="K302" s="6" t="s">
        <v>837</v>
      </c>
      <c r="L302" s="6" t="s">
        <v>863</v>
      </c>
      <c r="M302" s="6" t="s">
        <v>871</v>
      </c>
      <c r="N302" s="12" t="s">
        <v>840</v>
      </c>
      <c r="O302" s="6" t="s">
        <v>841</v>
      </c>
      <c r="P302" s="6" t="s">
        <v>2</v>
      </c>
      <c r="Q302" s="6" t="s">
        <v>20</v>
      </c>
      <c r="R302" s="12"/>
      <c r="S302" s="12"/>
      <c r="T302" s="12"/>
      <c r="U302" s="12"/>
      <c r="V302" s="12"/>
      <c r="W302" s="12"/>
      <c r="X302" s="6" t="str">
        <f aca="false">IF(COUNT(R302:W302)=6,SUM(R302:W302),"ko‘rilmagan")</f>
        <v>ko‘rilmagan</v>
      </c>
      <c r="Y302" s="12"/>
    </row>
    <row r="303" customFormat="false" ht="23.85" hidden="false" customHeight="false" outlineLevel="0" collapsed="false">
      <c r="A303" s="6" t="s">
        <v>2199</v>
      </c>
      <c r="B303" s="6" t="s">
        <v>474</v>
      </c>
      <c r="C303" s="6"/>
      <c r="D303" s="6" t="str">
        <f aca="false">IFERROR(INDEX(Mundarija!$D:$D,MATCH(B303,Mundarija!$A:$A,0)),"kod topilmadi")</f>
        <v>26.12. Tug‘ma yurak nuqsonlariga kirish.</v>
      </c>
      <c r="E303" s="6" t="s">
        <v>2200</v>
      </c>
      <c r="F303" s="11" t="s">
        <v>2201</v>
      </c>
      <c r="G303" s="6" t="s">
        <v>1182</v>
      </c>
      <c r="H303" s="6" t="s">
        <v>1801</v>
      </c>
      <c r="I303" s="6" t="s">
        <v>836</v>
      </c>
      <c r="J303" s="6" t="s">
        <v>836</v>
      </c>
      <c r="K303" s="6" t="s">
        <v>837</v>
      </c>
      <c r="L303" s="6" t="s">
        <v>863</v>
      </c>
      <c r="M303" s="6" t="s">
        <v>850</v>
      </c>
      <c r="N303" s="12" t="s">
        <v>840</v>
      </c>
      <c r="O303" s="6" t="s">
        <v>841</v>
      </c>
      <c r="P303" s="6" t="s">
        <v>2</v>
      </c>
      <c r="Q303" s="6" t="s">
        <v>20</v>
      </c>
      <c r="R303" s="12"/>
      <c r="S303" s="12"/>
      <c r="T303" s="12"/>
      <c r="U303" s="12"/>
      <c r="V303" s="12"/>
      <c r="W303" s="12"/>
      <c r="X303" s="6" t="str">
        <f aca="false">IF(COUNT(R303:W303)=6,SUM(R303:W303),"ko‘rilmagan")</f>
        <v>ko‘rilmagan</v>
      </c>
      <c r="Y303" s="12"/>
    </row>
    <row r="304" customFormat="false" ht="23.85" hidden="false" customHeight="false" outlineLevel="0" collapsed="false">
      <c r="A304" s="6" t="s">
        <v>2202</v>
      </c>
      <c r="B304" s="6" t="s">
        <v>476</v>
      </c>
      <c r="C304" s="6"/>
      <c r="D304" s="6" t="str">
        <f aca="false">IFERROR(INDEX(Mundarija!$D:$D,MATCH(B304,Mundarija!$A:$A,0)),"kod topilmadi")</f>
        <v>26.13. EchoKG hisobotini standartlashtirish va texnik cheklovlar.</v>
      </c>
      <c r="E304" s="6" t="s">
        <v>2203</v>
      </c>
      <c r="F304" s="11" t="s">
        <v>2204</v>
      </c>
      <c r="G304" s="6" t="s">
        <v>2205</v>
      </c>
      <c r="H304" s="6" t="s">
        <v>2206</v>
      </c>
      <c r="I304" s="6" t="s">
        <v>836</v>
      </c>
      <c r="J304" s="6" t="s">
        <v>836</v>
      </c>
      <c r="K304" s="6" t="s">
        <v>837</v>
      </c>
      <c r="L304" s="6" t="s">
        <v>863</v>
      </c>
      <c r="M304" s="6" t="s">
        <v>871</v>
      </c>
      <c r="N304" s="12" t="s">
        <v>840</v>
      </c>
      <c r="O304" s="6" t="s">
        <v>841</v>
      </c>
      <c r="P304" s="6" t="s">
        <v>2</v>
      </c>
      <c r="Q304" s="6" t="s">
        <v>20</v>
      </c>
      <c r="R304" s="12"/>
      <c r="S304" s="12"/>
      <c r="T304" s="12"/>
      <c r="U304" s="12"/>
      <c r="V304" s="12"/>
      <c r="W304" s="12"/>
      <c r="X304" s="6" t="str">
        <f aca="false">IF(COUNT(R304:W304)=6,SUM(R304:W304),"ko‘rilmagan")</f>
        <v>ko‘rilmagan</v>
      </c>
      <c r="Y304" s="12"/>
    </row>
    <row r="305" customFormat="false" ht="23.85" hidden="false" customHeight="false" outlineLevel="0" collapsed="false">
      <c r="A305" s="6" t="s">
        <v>2207</v>
      </c>
      <c r="B305" s="6" t="s">
        <v>476</v>
      </c>
      <c r="C305" s="6" t="s">
        <v>600</v>
      </c>
      <c r="D305" s="6" t="str">
        <f aca="false">IFERROR(INDEX(Mundarija!$D:$D,MATCH(B305,Mundarija!$A:$A,0)),"kod topilmadi")</f>
        <v>26.13. EchoKG hisobotini standartlashtirish va texnik cheklovlar.</v>
      </c>
      <c r="E305" s="6" t="s">
        <v>2208</v>
      </c>
      <c r="F305" s="11" t="s">
        <v>2209</v>
      </c>
      <c r="G305" s="6" t="s">
        <v>2134</v>
      </c>
      <c r="H305" s="6" t="s">
        <v>2135</v>
      </c>
      <c r="I305" s="6" t="s">
        <v>836</v>
      </c>
      <c r="J305" s="6" t="s">
        <v>836</v>
      </c>
      <c r="K305" s="6" t="s">
        <v>837</v>
      </c>
      <c r="L305" s="6" t="s">
        <v>838</v>
      </c>
      <c r="M305" s="6" t="s">
        <v>871</v>
      </c>
      <c r="N305" s="12" t="s">
        <v>840</v>
      </c>
      <c r="O305" s="6" t="s">
        <v>841</v>
      </c>
      <c r="P305" s="6" t="s">
        <v>2</v>
      </c>
      <c r="Q305" s="6" t="s">
        <v>20</v>
      </c>
      <c r="R305" s="12"/>
      <c r="S305" s="12"/>
      <c r="T305" s="12"/>
      <c r="U305" s="12"/>
      <c r="V305" s="12"/>
      <c r="W305" s="12"/>
      <c r="X305" s="6" t="str">
        <f aca="false">IF(COUNT(R305:W305)=6,SUM(R305:W305),"ko‘rilmagan")</f>
        <v>ko‘rilmagan</v>
      </c>
      <c r="Y305" s="12"/>
    </row>
    <row r="306" customFormat="false" ht="23.85" hidden="false" customHeight="false" outlineLevel="0" collapsed="false">
      <c r="A306" s="6" t="s">
        <v>2210</v>
      </c>
      <c r="B306" s="6" t="s">
        <v>487</v>
      </c>
      <c r="C306" s="6"/>
      <c r="D306" s="6" t="str">
        <f aca="false">IFERROR(INDEX(Mundarija!$D:$D,MATCH(B306,Mundarija!$A:$A,0)),"kod topilmadi")</f>
        <v>27.4. Buyrak va siydik yo‘llari.</v>
      </c>
      <c r="E306" s="6" t="s">
        <v>2211</v>
      </c>
      <c r="F306" s="11" t="s">
        <v>2212</v>
      </c>
      <c r="G306" s="6" t="s">
        <v>2213</v>
      </c>
      <c r="H306" s="6" t="s">
        <v>2214</v>
      </c>
      <c r="I306" s="6" t="s">
        <v>836</v>
      </c>
      <c r="J306" s="6" t="s">
        <v>836</v>
      </c>
      <c r="K306" s="6" t="s">
        <v>837</v>
      </c>
      <c r="L306" s="6" t="s">
        <v>863</v>
      </c>
      <c r="M306" s="6" t="s">
        <v>871</v>
      </c>
      <c r="N306" s="12" t="s">
        <v>840</v>
      </c>
      <c r="O306" s="6" t="s">
        <v>841</v>
      </c>
      <c r="P306" s="6" t="s">
        <v>2</v>
      </c>
      <c r="Q306" s="6" t="s">
        <v>20</v>
      </c>
      <c r="R306" s="12"/>
      <c r="S306" s="12"/>
      <c r="T306" s="12"/>
      <c r="U306" s="12"/>
      <c r="V306" s="12"/>
      <c r="W306" s="12"/>
      <c r="X306" s="6" t="str">
        <f aca="false">IF(COUNT(R306:W306)=6,SUM(R306:W306),"ko‘rilmagan")</f>
        <v>ko‘rilmagan</v>
      </c>
      <c r="Y306" s="12"/>
    </row>
    <row r="307" customFormat="false" ht="23.85" hidden="false" customHeight="false" outlineLevel="0" collapsed="false">
      <c r="A307" s="6" t="s">
        <v>2215</v>
      </c>
      <c r="B307" s="6" t="s">
        <v>487</v>
      </c>
      <c r="C307" s="6"/>
      <c r="D307" s="6" t="str">
        <f aca="false">IFERROR(INDEX(Mundarija!$D:$D,MATCH(B307,Mundarija!$A:$A,0)),"kod topilmadi")</f>
        <v>27.4. Buyrak va siydik yo‘llari.</v>
      </c>
      <c r="E307" s="6" t="s">
        <v>2216</v>
      </c>
      <c r="F307" s="11" t="s">
        <v>2217</v>
      </c>
      <c r="G307" s="6" t="s">
        <v>2218</v>
      </c>
      <c r="H307" s="6" t="s">
        <v>2219</v>
      </c>
      <c r="I307" s="6" t="s">
        <v>836</v>
      </c>
      <c r="J307" s="6" t="s">
        <v>836</v>
      </c>
      <c r="K307" s="6" t="s">
        <v>837</v>
      </c>
      <c r="L307" s="6" t="s">
        <v>863</v>
      </c>
      <c r="M307" s="6" t="s">
        <v>871</v>
      </c>
      <c r="N307" s="12" t="s">
        <v>840</v>
      </c>
      <c r="O307" s="6" t="s">
        <v>841</v>
      </c>
      <c r="P307" s="6" t="s">
        <v>2</v>
      </c>
      <c r="Q307" s="6" t="s">
        <v>20</v>
      </c>
      <c r="R307" s="12"/>
      <c r="S307" s="12"/>
      <c r="T307" s="12"/>
      <c r="U307" s="12"/>
      <c r="V307" s="12"/>
      <c r="W307" s="12"/>
      <c r="X307" s="6" t="str">
        <f aca="false">IF(COUNT(R307:W307)=6,SUM(R307:W307),"ko‘rilmagan")</f>
        <v>ko‘rilmagan</v>
      </c>
      <c r="Y307" s="12"/>
    </row>
    <row r="308" customFormat="false" ht="23.85" hidden="false" customHeight="false" outlineLevel="0" collapsed="false">
      <c r="A308" s="6" t="s">
        <v>2220</v>
      </c>
      <c r="B308" s="6" t="s">
        <v>489</v>
      </c>
      <c r="C308" s="6"/>
      <c r="D308" s="6" t="str">
        <f aca="false">IFERROR(INDEX(Mundarija!$D:$D,MATCH(B308,Mundarija!$A:$A,0)),"kod topilmadi")</f>
        <v>27.5. Pilorostenoz va invaginatsiya.</v>
      </c>
      <c r="E308" s="6" t="s">
        <v>2221</v>
      </c>
      <c r="F308" s="11" t="s">
        <v>2222</v>
      </c>
      <c r="G308" s="6" t="s">
        <v>846</v>
      </c>
      <c r="H308" s="6" t="s">
        <v>2061</v>
      </c>
      <c r="I308" s="6" t="s">
        <v>836</v>
      </c>
      <c r="J308" s="6" t="s">
        <v>836</v>
      </c>
      <c r="K308" s="6" t="s">
        <v>837</v>
      </c>
      <c r="L308" s="6" t="s">
        <v>863</v>
      </c>
      <c r="M308" s="6" t="s">
        <v>850</v>
      </c>
      <c r="N308" s="12" t="s">
        <v>840</v>
      </c>
      <c r="O308" s="6" t="s">
        <v>841</v>
      </c>
      <c r="P308" s="6" t="s">
        <v>2</v>
      </c>
      <c r="Q308" s="6" t="s">
        <v>20</v>
      </c>
      <c r="R308" s="12"/>
      <c r="S308" s="12"/>
      <c r="T308" s="12"/>
      <c r="U308" s="12"/>
      <c r="V308" s="12"/>
      <c r="W308" s="12"/>
      <c r="X308" s="6" t="str">
        <f aca="false">IF(COUNT(R308:W308)=6,SUM(R308:W308),"ko‘rilmagan")</f>
        <v>ko‘rilmagan</v>
      </c>
      <c r="Y308" s="12"/>
    </row>
    <row r="309" customFormat="false" ht="23.85" hidden="false" customHeight="false" outlineLevel="0" collapsed="false">
      <c r="A309" s="6" t="s">
        <v>2223</v>
      </c>
      <c r="B309" s="6" t="s">
        <v>489</v>
      </c>
      <c r="C309" s="6"/>
      <c r="D309" s="6" t="str">
        <f aca="false">IFERROR(INDEX(Mundarija!$D:$D,MATCH(B309,Mundarija!$A:$A,0)),"kod topilmadi")</f>
        <v>27.5. Pilorostenoz va invaginatsiya.</v>
      </c>
      <c r="E309" s="6" t="s">
        <v>2224</v>
      </c>
      <c r="F309" s="11" t="s">
        <v>2225</v>
      </c>
      <c r="G309" s="6" t="s">
        <v>1518</v>
      </c>
      <c r="H309" s="6" t="s">
        <v>1626</v>
      </c>
      <c r="I309" s="6" t="s">
        <v>836</v>
      </c>
      <c r="J309" s="6" t="s">
        <v>836</v>
      </c>
      <c r="K309" s="6" t="s">
        <v>837</v>
      </c>
      <c r="L309" s="6" t="s">
        <v>863</v>
      </c>
      <c r="M309" s="6" t="s">
        <v>1672</v>
      </c>
      <c r="N309" s="12" t="s">
        <v>840</v>
      </c>
      <c r="O309" s="6" t="s">
        <v>841</v>
      </c>
      <c r="P309" s="6" t="s">
        <v>2</v>
      </c>
      <c r="Q309" s="6" t="s">
        <v>20</v>
      </c>
      <c r="R309" s="12"/>
      <c r="S309" s="12"/>
      <c r="T309" s="12"/>
      <c r="U309" s="12"/>
      <c r="V309" s="12"/>
      <c r="W309" s="12"/>
      <c r="X309" s="6" t="str">
        <f aca="false">IF(COUNT(R309:W309)=6,SUM(R309:W309),"ko‘rilmagan")</f>
        <v>ko‘rilmagan</v>
      </c>
      <c r="Y309" s="12"/>
    </row>
    <row r="310" customFormat="false" ht="23.85" hidden="false" customHeight="false" outlineLevel="0" collapsed="false">
      <c r="A310" s="6" t="s">
        <v>2226</v>
      </c>
      <c r="B310" s="6" t="s">
        <v>491</v>
      </c>
      <c r="C310" s="6"/>
      <c r="D310" s="6" t="str">
        <f aca="false">IFERROR(INDEX(Mundarija!$D:$D,MATCH(B310,Mundarija!$A:$A,0)),"kod topilmadi")</f>
        <v>27.6. Ichak yallig‘lanishlari va nekrotik enterokolitga shubha.</v>
      </c>
      <c r="E310" s="6" t="s">
        <v>2227</v>
      </c>
      <c r="F310" s="11" t="s">
        <v>2228</v>
      </c>
      <c r="G310" s="6" t="s">
        <v>2229</v>
      </c>
      <c r="H310" s="6" t="s">
        <v>2230</v>
      </c>
      <c r="I310" s="6" t="s">
        <v>836</v>
      </c>
      <c r="J310" s="6" t="s">
        <v>836</v>
      </c>
      <c r="K310" s="6" t="s">
        <v>837</v>
      </c>
      <c r="L310" s="6" t="s">
        <v>1707</v>
      </c>
      <c r="M310" s="6" t="s">
        <v>871</v>
      </c>
      <c r="N310" s="12" t="s">
        <v>840</v>
      </c>
      <c r="O310" s="6" t="s">
        <v>841</v>
      </c>
      <c r="P310" s="6" t="s">
        <v>2</v>
      </c>
      <c r="Q310" s="6" t="s">
        <v>20</v>
      </c>
      <c r="R310" s="12"/>
      <c r="S310" s="12"/>
      <c r="T310" s="12"/>
      <c r="U310" s="12"/>
      <c r="V310" s="12"/>
      <c r="W310" s="12"/>
      <c r="X310" s="6" t="str">
        <f aca="false">IF(COUNT(R310:W310)=6,SUM(R310:W310),"ko‘rilmagan")</f>
        <v>ko‘rilmagan</v>
      </c>
      <c r="Y310" s="12"/>
    </row>
    <row r="311" customFormat="false" ht="23.85" hidden="false" customHeight="false" outlineLevel="0" collapsed="false">
      <c r="A311" s="6" t="s">
        <v>2231</v>
      </c>
      <c r="B311" s="6" t="s">
        <v>491</v>
      </c>
      <c r="C311" s="6"/>
      <c r="D311" s="6" t="str">
        <f aca="false">IFERROR(INDEX(Mundarija!$D:$D,MATCH(B311,Mundarija!$A:$A,0)),"kod topilmadi")</f>
        <v>27.6. Ichak yallig‘lanishlari va nekrotik enterokolitga shubha.</v>
      </c>
      <c r="E311" s="6" t="s">
        <v>2232</v>
      </c>
      <c r="F311" s="11" t="s">
        <v>2233</v>
      </c>
      <c r="G311" s="6" t="s">
        <v>1188</v>
      </c>
      <c r="H311" s="6" t="s">
        <v>1730</v>
      </c>
      <c r="I311" s="6" t="s">
        <v>836</v>
      </c>
      <c r="J311" s="6" t="s">
        <v>836</v>
      </c>
      <c r="K311" s="6" t="s">
        <v>837</v>
      </c>
      <c r="L311" s="6" t="s">
        <v>863</v>
      </c>
      <c r="M311" s="6" t="s">
        <v>1672</v>
      </c>
      <c r="N311" s="12" t="s">
        <v>840</v>
      </c>
      <c r="O311" s="6" t="s">
        <v>841</v>
      </c>
      <c r="P311" s="6" t="s">
        <v>2</v>
      </c>
      <c r="Q311" s="6" t="s">
        <v>20</v>
      </c>
      <c r="R311" s="12"/>
      <c r="S311" s="12"/>
      <c r="T311" s="12"/>
      <c r="U311" s="12"/>
      <c r="V311" s="12"/>
      <c r="W311" s="12"/>
      <c r="X311" s="6" t="str">
        <f aca="false">IF(COUNT(R311:W311)=6,SUM(R311:W311),"ko‘rilmagan")</f>
        <v>ko‘rilmagan</v>
      </c>
      <c r="Y311" s="12"/>
    </row>
    <row r="312" customFormat="false" ht="23.85" hidden="false" customHeight="false" outlineLevel="0" collapsed="false">
      <c r="A312" s="6" t="s">
        <v>2234</v>
      </c>
      <c r="B312" s="6" t="s">
        <v>485</v>
      </c>
      <c r="C312" s="6" t="s">
        <v>491</v>
      </c>
      <c r="D312" s="6" t="str">
        <f aca="false">IFERROR(INDEX(Mundarija!$D:$D,MATCH(B312,Mundarija!$A:$A,0)),"kod topilmadi")</f>
        <v>27.3. Qorin bo‘shlig‘i a’zolari.</v>
      </c>
      <c r="E312" s="6" t="s">
        <v>2235</v>
      </c>
      <c r="F312" s="11" t="s">
        <v>2236</v>
      </c>
      <c r="G312" s="6" t="s">
        <v>2229</v>
      </c>
      <c r="H312" s="6" t="s">
        <v>2230</v>
      </c>
      <c r="I312" s="6" t="s">
        <v>836</v>
      </c>
      <c r="J312" s="6" t="s">
        <v>836</v>
      </c>
      <c r="K312" s="6" t="s">
        <v>837</v>
      </c>
      <c r="L312" s="6" t="s">
        <v>863</v>
      </c>
      <c r="M312" s="6" t="s">
        <v>871</v>
      </c>
      <c r="N312" s="12" t="s">
        <v>840</v>
      </c>
      <c r="O312" s="6" t="s">
        <v>841</v>
      </c>
      <c r="P312" s="6" t="s">
        <v>2</v>
      </c>
      <c r="Q312" s="6" t="s">
        <v>20</v>
      </c>
      <c r="R312" s="12"/>
      <c r="S312" s="12"/>
      <c r="T312" s="12"/>
      <c r="U312" s="12"/>
      <c r="V312" s="12"/>
      <c r="W312" s="12"/>
      <c r="X312" s="6" t="str">
        <f aca="false">IF(COUNT(R312:W312)=6,SUM(R312:W312),"ko‘rilmagan")</f>
        <v>ko‘rilmagan</v>
      </c>
      <c r="Y312" s="12"/>
    </row>
    <row r="313" customFormat="false" ht="23.85" hidden="false" customHeight="false" outlineLevel="0" collapsed="false">
      <c r="A313" s="6" t="s">
        <v>2237</v>
      </c>
      <c r="B313" s="6" t="s">
        <v>497</v>
      </c>
      <c r="C313" s="6" t="s">
        <v>474</v>
      </c>
      <c r="D313" s="6" t="str">
        <f aca="false">IFERROR(INDEX(Mundarija!$D:$D,MATCH(B313,Mundarija!$A:$A,0)),"kod topilmadi")</f>
        <v>27.9. Bolalar yuragi va tomirlari.</v>
      </c>
      <c r="E313" s="6" t="s">
        <v>2238</v>
      </c>
      <c r="F313" s="11" t="s">
        <v>2239</v>
      </c>
      <c r="G313" s="6" t="s">
        <v>1358</v>
      </c>
      <c r="H313" s="6" t="s">
        <v>2175</v>
      </c>
      <c r="I313" s="6" t="s">
        <v>836</v>
      </c>
      <c r="J313" s="6" t="s">
        <v>836</v>
      </c>
      <c r="K313" s="6" t="s">
        <v>837</v>
      </c>
      <c r="L313" s="6" t="s">
        <v>863</v>
      </c>
      <c r="M313" s="6" t="s">
        <v>871</v>
      </c>
      <c r="N313" s="12" t="s">
        <v>840</v>
      </c>
      <c r="O313" s="6" t="s">
        <v>841</v>
      </c>
      <c r="P313" s="6" t="s">
        <v>2</v>
      </c>
      <c r="Q313" s="6" t="s">
        <v>20</v>
      </c>
      <c r="R313" s="12"/>
      <c r="S313" s="12"/>
      <c r="T313" s="12"/>
      <c r="U313" s="12"/>
      <c r="V313" s="12"/>
      <c r="W313" s="12"/>
      <c r="X313" s="6" t="str">
        <f aca="false">IF(COUNT(R313:W313)=6,SUM(R313:W313),"ko‘rilmagan")</f>
        <v>ko‘rilmagan</v>
      </c>
      <c r="Y313" s="12"/>
    </row>
  </sheetData>
  <autoFilter ref="A1:Y313"/>
  <dataValidations count="1">
    <dataValidation allowBlank="true" error="0 dan 5 gacha butun son" errorStyle="stop" operator="between" showDropDown="false" showErrorMessage="false" showInputMessage="false" sqref="R2:W513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770</v>
      </c>
      <c r="B1" s="5" t="s">
        <v>2240</v>
      </c>
      <c r="C1" s="5" t="s">
        <v>2241</v>
      </c>
      <c r="D1" s="5" t="s">
        <v>2242</v>
      </c>
    </row>
    <row r="2" customFormat="false" ht="23.85" hidden="false" customHeight="false" outlineLevel="0" collapsed="false">
      <c r="A2" s="11" t="s">
        <v>2243</v>
      </c>
      <c r="B2" s="6" t="s">
        <v>2244</v>
      </c>
      <c r="C2" s="6" t="s">
        <v>2245</v>
      </c>
      <c r="D2" s="6" t="s">
        <v>2246</v>
      </c>
    </row>
    <row r="3" customFormat="false" ht="15" hidden="false" customHeight="false" outlineLevel="0" collapsed="false">
      <c r="A3" s="11" t="s">
        <v>2247</v>
      </c>
      <c r="B3" s="6" t="s">
        <v>2248</v>
      </c>
      <c r="C3" s="6" t="s">
        <v>2249</v>
      </c>
      <c r="D3" s="6" t="s">
        <v>2246</v>
      </c>
    </row>
    <row r="4" customFormat="false" ht="15" hidden="false" customHeight="false" outlineLevel="0" collapsed="false">
      <c r="A4" s="11" t="s">
        <v>2250</v>
      </c>
      <c r="B4" s="6" t="s">
        <v>2251</v>
      </c>
      <c r="C4" s="6" t="s">
        <v>2252</v>
      </c>
      <c r="D4" s="6" t="s">
        <v>2246</v>
      </c>
    </row>
    <row r="5" customFormat="false" ht="23.85" hidden="false" customHeight="false" outlineLevel="0" collapsed="false">
      <c r="A5" s="11" t="s">
        <v>2253</v>
      </c>
      <c r="B5" s="6" t="s">
        <v>2254</v>
      </c>
      <c r="C5" s="6" t="s">
        <v>2255</v>
      </c>
      <c r="D5" s="6" t="s">
        <v>2246</v>
      </c>
    </row>
    <row r="6" customFormat="false" ht="23.85" hidden="false" customHeight="false" outlineLevel="0" collapsed="false">
      <c r="A6" s="11" t="s">
        <v>2256</v>
      </c>
      <c r="B6" s="6" t="s">
        <v>2257</v>
      </c>
      <c r="C6" s="6" t="s">
        <v>2258</v>
      </c>
      <c r="D6" s="6" t="s">
        <v>2259</v>
      </c>
    </row>
    <row r="7" customFormat="false" ht="23.85" hidden="false" customHeight="false" outlineLevel="0" collapsed="false">
      <c r="A7" s="11" t="s">
        <v>2260</v>
      </c>
      <c r="B7" s="6" t="s">
        <v>2261</v>
      </c>
      <c r="C7" s="6" t="s">
        <v>2262</v>
      </c>
      <c r="D7" s="6" t="s">
        <v>2263</v>
      </c>
    </row>
    <row r="8" customFormat="false" ht="15" hidden="false" customHeight="false" outlineLevel="0" collapsed="false">
      <c r="A8" s="11" t="s">
        <v>2264</v>
      </c>
      <c r="B8" s="6" t="s">
        <v>2265</v>
      </c>
      <c r="C8" s="6" t="s">
        <v>2266</v>
      </c>
      <c r="D8" s="6" t="s">
        <v>2263</v>
      </c>
    </row>
    <row r="9" customFormat="false" ht="15" hidden="false" customHeight="false" outlineLevel="0" collapsed="false">
      <c r="A9" s="11" t="s">
        <v>2267</v>
      </c>
      <c r="B9" s="6" t="s">
        <v>2268</v>
      </c>
      <c r="C9" s="6" t="s">
        <v>2269</v>
      </c>
      <c r="D9" s="6" t="s">
        <v>2270</v>
      </c>
    </row>
    <row r="10" customFormat="false" ht="15" hidden="false" customHeight="false" outlineLevel="0" collapsed="false">
      <c r="A10" s="11" t="s">
        <v>2271</v>
      </c>
      <c r="B10" s="6" t="s">
        <v>2272</v>
      </c>
      <c r="C10" s="6" t="s">
        <v>2273</v>
      </c>
      <c r="D10" s="6" t="s">
        <v>2270</v>
      </c>
    </row>
    <row r="11" customFormat="false" ht="15" hidden="false" customHeight="false" outlineLevel="0" collapsed="false">
      <c r="A11" s="11" t="s">
        <v>2274</v>
      </c>
      <c r="B11" s="6" t="s">
        <v>2275</v>
      </c>
      <c r="C11" s="6" t="s">
        <v>2276</v>
      </c>
      <c r="D11" s="6" t="s">
        <v>2270</v>
      </c>
    </row>
    <row r="12" customFormat="false" ht="15" hidden="false" customHeight="false" outlineLevel="0" collapsed="false">
      <c r="A12" s="11" t="s">
        <v>2277</v>
      </c>
      <c r="B12" s="6" t="s">
        <v>2278</v>
      </c>
      <c r="C12" s="6" t="s">
        <v>2279</v>
      </c>
      <c r="D12" s="6" t="s">
        <v>2259</v>
      </c>
    </row>
    <row r="13" customFormat="false" ht="23.85" hidden="false" customHeight="false" outlineLevel="0" collapsed="false">
      <c r="A13" s="11" t="s">
        <v>2280</v>
      </c>
      <c r="B13" s="6" t="s">
        <v>2281</v>
      </c>
      <c r="C13" s="6" t="s">
        <v>2282</v>
      </c>
      <c r="D13" s="6" t="s">
        <v>2283</v>
      </c>
    </row>
    <row r="14" customFormat="false" ht="15" hidden="false" customHeight="false" outlineLevel="0" collapsed="false">
      <c r="A14" s="11" t="s">
        <v>2284</v>
      </c>
      <c r="B14" s="6" t="s">
        <v>2285</v>
      </c>
      <c r="C14" s="6" t="s">
        <v>2286</v>
      </c>
      <c r="D14" s="6" t="s">
        <v>2263</v>
      </c>
    </row>
    <row r="15" customFormat="false" ht="15" hidden="false" customHeight="false" outlineLevel="0" collapsed="false">
      <c r="A15" s="11" t="s">
        <v>987</v>
      </c>
      <c r="B15" s="6" t="s">
        <v>986</v>
      </c>
      <c r="C15" s="6" t="s">
        <v>2287</v>
      </c>
      <c r="D15" s="6" t="s">
        <v>2288</v>
      </c>
    </row>
    <row r="16" customFormat="false" ht="23.85" hidden="false" customHeight="false" outlineLevel="0" collapsed="false">
      <c r="A16" s="11" t="s">
        <v>1079</v>
      </c>
      <c r="B16" s="6" t="s">
        <v>1078</v>
      </c>
      <c r="C16" s="6" t="s">
        <v>2287</v>
      </c>
      <c r="D16" s="6" t="s">
        <v>2288</v>
      </c>
    </row>
    <row r="17" customFormat="false" ht="15" hidden="false" customHeight="false" outlineLevel="0" collapsed="false">
      <c r="A17" s="11" t="s">
        <v>1085</v>
      </c>
      <c r="B17" s="6" t="s">
        <v>1084</v>
      </c>
      <c r="C17" s="6" t="s">
        <v>2287</v>
      </c>
      <c r="D17" s="6" t="s">
        <v>2288</v>
      </c>
    </row>
    <row r="18" customFormat="false" ht="15" hidden="false" customHeight="false" outlineLevel="0" collapsed="false">
      <c r="A18" s="11" t="s">
        <v>2289</v>
      </c>
      <c r="B18" s="6" t="s">
        <v>2290</v>
      </c>
      <c r="C18" s="6" t="s">
        <v>2269</v>
      </c>
      <c r="D18" s="6" t="s">
        <v>2270</v>
      </c>
    </row>
    <row r="19" customFormat="false" ht="15" hidden="false" customHeight="false" outlineLevel="0" collapsed="false">
      <c r="A19" s="11" t="s">
        <v>2291</v>
      </c>
      <c r="B19" s="6" t="s">
        <v>2292</v>
      </c>
      <c r="C19" s="6" t="s">
        <v>2273</v>
      </c>
      <c r="D19" s="6" t="s">
        <v>2270</v>
      </c>
    </row>
    <row r="20" customFormat="false" ht="23.85" hidden="false" customHeight="false" outlineLevel="0" collapsed="false">
      <c r="A20" s="11" t="s">
        <v>2293</v>
      </c>
      <c r="B20" s="6" t="s">
        <v>2294</v>
      </c>
      <c r="C20" s="6" t="s">
        <v>2295</v>
      </c>
      <c r="D20" s="6" t="s">
        <v>2263</v>
      </c>
    </row>
    <row r="21" customFormat="false" ht="23.85" hidden="false" customHeight="false" outlineLevel="0" collapsed="false">
      <c r="A21" s="11" t="s">
        <v>2296</v>
      </c>
      <c r="B21" s="6" t="s">
        <v>2297</v>
      </c>
      <c r="C21" s="6" t="s">
        <v>2298</v>
      </c>
      <c r="D21" s="6" t="s">
        <v>2263</v>
      </c>
    </row>
    <row r="22" customFormat="false" ht="15" hidden="false" customHeight="false" outlineLevel="0" collapsed="false">
      <c r="A22" s="11" t="s">
        <v>2299</v>
      </c>
      <c r="B22" s="6" t="s">
        <v>2300</v>
      </c>
      <c r="C22" s="6" t="s">
        <v>2301</v>
      </c>
      <c r="D22" s="6" t="s">
        <v>2270</v>
      </c>
    </row>
    <row r="23" customFormat="false" ht="23.85" hidden="false" customHeight="false" outlineLevel="0" collapsed="false">
      <c r="A23" s="11" t="s">
        <v>2302</v>
      </c>
      <c r="B23" s="6" t="s">
        <v>2303</v>
      </c>
      <c r="C23" s="6" t="s">
        <v>2301</v>
      </c>
      <c r="D23" s="6" t="s">
        <v>2270</v>
      </c>
    </row>
    <row r="24" customFormat="false" ht="15" hidden="false" customHeight="false" outlineLevel="0" collapsed="false">
      <c r="A24" s="11" t="s">
        <v>2304</v>
      </c>
      <c r="B24" s="6" t="s">
        <v>2305</v>
      </c>
      <c r="C24" s="6" t="s">
        <v>2301</v>
      </c>
      <c r="D24" s="6" t="s">
        <v>2270</v>
      </c>
    </row>
    <row r="25" customFormat="false" ht="15" hidden="false" customHeight="false" outlineLevel="0" collapsed="false">
      <c r="A25" s="11" t="s">
        <v>2306</v>
      </c>
      <c r="B25" s="6" t="s">
        <v>2307</v>
      </c>
      <c r="C25" s="6" t="s">
        <v>2308</v>
      </c>
      <c r="D25" s="6" t="s">
        <v>2270</v>
      </c>
    </row>
    <row r="26" customFormat="false" ht="15" hidden="false" customHeight="false" outlineLevel="0" collapsed="false">
      <c r="A26" s="11" t="s">
        <v>2309</v>
      </c>
      <c r="B26" s="6" t="s">
        <v>2310</v>
      </c>
      <c r="C26" s="6" t="s">
        <v>2311</v>
      </c>
      <c r="D26" s="6" t="s">
        <v>2270</v>
      </c>
    </row>
    <row r="27" customFormat="false" ht="15" hidden="false" customHeight="false" outlineLevel="0" collapsed="false">
      <c r="A27" s="11" t="s">
        <v>2312</v>
      </c>
      <c r="B27" s="6" t="s">
        <v>2313</v>
      </c>
      <c r="C27" s="6" t="s">
        <v>2314</v>
      </c>
      <c r="D27" s="6" t="s">
        <v>2263</v>
      </c>
    </row>
    <row r="28" customFormat="false" ht="15" hidden="false" customHeight="false" outlineLevel="0" collapsed="false">
      <c r="A28" s="11" t="s">
        <v>2315</v>
      </c>
      <c r="B28" s="6" t="s">
        <v>2316</v>
      </c>
      <c r="C28" s="6" t="s">
        <v>2317</v>
      </c>
      <c r="D28" s="6" t="s">
        <v>2263</v>
      </c>
    </row>
    <row r="29" customFormat="false" ht="15" hidden="false" customHeight="false" outlineLevel="0" collapsed="false">
      <c r="A29" s="11" t="s">
        <v>2318</v>
      </c>
      <c r="B29" s="6" t="s">
        <v>2319</v>
      </c>
      <c r="C29" s="6" t="s">
        <v>2320</v>
      </c>
      <c r="D29" s="6" t="s">
        <v>2263</v>
      </c>
    </row>
    <row r="30" customFormat="false" ht="15" hidden="false" customHeight="false" outlineLevel="0" collapsed="false">
      <c r="A30" s="11" t="s">
        <v>2321</v>
      </c>
      <c r="B30" s="6" t="s">
        <v>2322</v>
      </c>
      <c r="C30" s="6" t="s">
        <v>2308</v>
      </c>
      <c r="D30" s="6" t="s">
        <v>2270</v>
      </c>
    </row>
    <row r="31" customFormat="false" ht="15" hidden="false" customHeight="false" outlineLevel="0" collapsed="false">
      <c r="A31" s="11" t="s">
        <v>2323</v>
      </c>
      <c r="B31" s="6" t="s">
        <v>2324</v>
      </c>
      <c r="C31" s="6" t="s">
        <v>2301</v>
      </c>
      <c r="D31" s="6" t="s">
        <v>2270</v>
      </c>
    </row>
    <row r="32" customFormat="false" ht="15" hidden="false" customHeight="false" outlineLevel="0" collapsed="false">
      <c r="A32" s="11" t="s">
        <v>2325</v>
      </c>
      <c r="B32" s="6" t="s">
        <v>2326</v>
      </c>
      <c r="C32" s="6" t="s">
        <v>2301</v>
      </c>
      <c r="D32" s="6" t="s">
        <v>2270</v>
      </c>
    </row>
    <row r="33" customFormat="false" ht="15" hidden="false" customHeight="false" outlineLevel="0" collapsed="false">
      <c r="A33" s="11" t="s">
        <v>2327</v>
      </c>
      <c r="B33" s="6" t="s">
        <v>2328</v>
      </c>
      <c r="C33" s="6" t="s">
        <v>2308</v>
      </c>
      <c r="D33" s="6" t="s">
        <v>2270</v>
      </c>
    </row>
    <row r="34" customFormat="false" ht="15" hidden="false" customHeight="false" outlineLevel="0" collapsed="false">
      <c r="A34" s="11" t="s">
        <v>2329</v>
      </c>
      <c r="B34" s="6" t="s">
        <v>2330</v>
      </c>
      <c r="C34" s="6" t="s">
        <v>2301</v>
      </c>
      <c r="D34" s="6" t="s">
        <v>2270</v>
      </c>
    </row>
    <row r="35" customFormat="false" ht="23.85" hidden="false" customHeight="false" outlineLevel="0" collapsed="false">
      <c r="A35" s="11" t="s">
        <v>2331</v>
      </c>
      <c r="B35" s="6" t="s">
        <v>2332</v>
      </c>
      <c r="C35" s="6" t="s">
        <v>2308</v>
      </c>
      <c r="D35" s="6" t="s">
        <v>2270</v>
      </c>
    </row>
    <row r="36" customFormat="false" ht="15" hidden="false" customHeight="false" outlineLevel="0" collapsed="false">
      <c r="A36" s="11" t="s">
        <v>2333</v>
      </c>
      <c r="B36" s="6" t="s">
        <v>2334</v>
      </c>
      <c r="C36" s="6" t="s">
        <v>2308</v>
      </c>
      <c r="D36" s="6" t="s">
        <v>2270</v>
      </c>
    </row>
    <row r="37" customFormat="false" ht="15" hidden="false" customHeight="false" outlineLevel="0" collapsed="false">
      <c r="A37" s="11" t="s">
        <v>2335</v>
      </c>
      <c r="B37" s="6" t="s">
        <v>2336</v>
      </c>
      <c r="C37" s="6" t="s">
        <v>2308</v>
      </c>
      <c r="D37" s="6" t="s">
        <v>2270</v>
      </c>
    </row>
    <row r="38" customFormat="false" ht="15" hidden="false" customHeight="false" outlineLevel="0" collapsed="false">
      <c r="A38" s="11" t="s">
        <v>2337</v>
      </c>
      <c r="B38" s="6" t="s">
        <v>2338</v>
      </c>
      <c r="C38" s="6" t="s">
        <v>2311</v>
      </c>
      <c r="D38" s="6" t="s">
        <v>2270</v>
      </c>
    </row>
    <row r="39" customFormat="false" ht="15" hidden="false" customHeight="false" outlineLevel="0" collapsed="false">
      <c r="A39" s="11" t="s">
        <v>2339</v>
      </c>
      <c r="B39" s="6" t="s">
        <v>2340</v>
      </c>
      <c r="C39" s="6" t="s">
        <v>2341</v>
      </c>
      <c r="D39" s="6" t="s">
        <v>2263</v>
      </c>
    </row>
    <row r="40" customFormat="false" ht="15" hidden="false" customHeight="false" outlineLevel="0" collapsed="false">
      <c r="A40" s="11" t="s">
        <v>2342</v>
      </c>
      <c r="B40" s="6" t="s">
        <v>2343</v>
      </c>
      <c r="C40" s="6" t="s">
        <v>2344</v>
      </c>
      <c r="D40" s="6" t="s">
        <v>2263</v>
      </c>
    </row>
    <row r="41" customFormat="false" ht="15" hidden="false" customHeight="false" outlineLevel="0" collapsed="false">
      <c r="A41" s="11" t="s">
        <v>2345</v>
      </c>
      <c r="B41" s="6" t="s">
        <v>2346</v>
      </c>
      <c r="C41" s="6" t="s">
        <v>2301</v>
      </c>
      <c r="D41" s="6" t="s">
        <v>2270</v>
      </c>
    </row>
    <row r="42" customFormat="false" ht="15" hidden="false" customHeight="false" outlineLevel="0" collapsed="false">
      <c r="A42" s="11" t="s">
        <v>2347</v>
      </c>
      <c r="B42" s="6" t="s">
        <v>2348</v>
      </c>
      <c r="C42" s="6" t="s">
        <v>2301</v>
      </c>
      <c r="D42" s="6" t="s">
        <v>2270</v>
      </c>
    </row>
    <row r="43" customFormat="false" ht="15" hidden="false" customHeight="false" outlineLevel="0" collapsed="false">
      <c r="A43" s="11" t="s">
        <v>2349</v>
      </c>
      <c r="B43" s="6" t="s">
        <v>2350</v>
      </c>
      <c r="C43" s="6" t="s">
        <v>2301</v>
      </c>
      <c r="D43" s="6" t="s">
        <v>2270</v>
      </c>
    </row>
    <row r="44" customFormat="false" ht="15" hidden="false" customHeight="false" outlineLevel="0" collapsed="false">
      <c r="A44" s="11" t="s">
        <v>2351</v>
      </c>
      <c r="B44" s="6" t="s">
        <v>2352</v>
      </c>
      <c r="C44" s="6" t="s">
        <v>2301</v>
      </c>
      <c r="D44" s="6" t="s">
        <v>2270</v>
      </c>
    </row>
    <row r="45" customFormat="false" ht="15" hidden="false" customHeight="false" outlineLevel="0" collapsed="false">
      <c r="A45" s="11" t="s">
        <v>2353</v>
      </c>
      <c r="B45" s="6" t="s">
        <v>2354</v>
      </c>
      <c r="C45" s="6" t="s">
        <v>2355</v>
      </c>
      <c r="D45" s="6" t="s">
        <v>2263</v>
      </c>
    </row>
    <row r="46" customFormat="false" ht="15" hidden="false" customHeight="false" outlineLevel="0" collapsed="false">
      <c r="A46" s="11" t="s">
        <v>2356</v>
      </c>
      <c r="B46" s="6" t="s">
        <v>2357</v>
      </c>
      <c r="C46" s="6" t="s">
        <v>2358</v>
      </c>
      <c r="D46" s="6" t="s">
        <v>2263</v>
      </c>
    </row>
    <row r="47" customFormat="false" ht="15" hidden="false" customHeight="false" outlineLevel="0" collapsed="false">
      <c r="A47" s="11" t="s">
        <v>2359</v>
      </c>
      <c r="B47" s="6" t="s">
        <v>2360</v>
      </c>
      <c r="C47" s="6" t="s">
        <v>2276</v>
      </c>
      <c r="D47" s="6" t="s">
        <v>2270</v>
      </c>
    </row>
    <row r="48" customFormat="false" ht="15" hidden="false" customHeight="false" outlineLevel="0" collapsed="false">
      <c r="A48" s="11" t="s">
        <v>2361</v>
      </c>
      <c r="B48" s="6" t="s">
        <v>2362</v>
      </c>
      <c r="C48" s="6" t="s">
        <v>2311</v>
      </c>
      <c r="D48" s="6" t="s">
        <v>2270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2363</v>
      </c>
      <c r="D1" s="5" t="s">
        <v>2364</v>
      </c>
      <c r="E1" s="5" t="s">
        <v>2365</v>
      </c>
      <c r="F1" s="5" t="s">
        <v>2366</v>
      </c>
      <c r="G1" s="5" t="s">
        <v>2367</v>
      </c>
      <c r="H1" s="5" t="s">
        <v>2283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9</v>
      </c>
      <c r="E11" s="15" t="n">
        <f aca="false">IF(C11=0,0,D11/C11)</f>
        <v>1</v>
      </c>
      <c r="F11" s="6" t="n">
        <f aca="false">COUNTIFS(Mundarija!$C$2:$C$254,B11,Mundarija!$H$2:$H$254,"Yetishmaydi")</f>
        <v>0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4</v>
      </c>
      <c r="E16" s="15" t="n">
        <f aca="false">IF(C16=0,0,D16/C16)</f>
        <v>0.5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11</v>
      </c>
      <c r="E21" s="15" t="n">
        <f aca="false">IF(C21=0,0,D21/C21)</f>
        <v>0.916666666666667</v>
      </c>
      <c r="F21" s="6" t="n">
        <f aca="false">COUNTIFS(Mundarija!$C$2:$C$254,B21,Mundarija!$H$2:$H$254,"Yetishmaydi")</f>
        <v>1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7</v>
      </c>
      <c r="E23" s="15" t="n">
        <f aca="false">IF(C23=0,0,D23/C23)</f>
        <v>1</v>
      </c>
      <c r="F23" s="6" t="n">
        <f aca="false">COUNTIFS(Mundarija!$C$2:$C$254,B23,Mundarija!$H$2:$H$254,"Yetishmaydi")</f>
        <v>0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8</v>
      </c>
      <c r="E24" s="15" t="n">
        <f aca="false">IF(C24=0,0,D24/C24)</f>
        <v>1</v>
      </c>
      <c r="F24" s="6" t="n">
        <f aca="false">COUNTIFS(Mundarija!$C$2:$C$254,B24,Mundarija!$H$2:$H$254,"Yetishmaydi")</f>
        <v>0</v>
      </c>
      <c r="G24" s="6" t="n">
        <f aca="false">COUNTIFS(Mundarija!$C$2:$C$254,B24,Mundarija!$H$2:$H$254,"Qisman to‘ldirilgan")</f>
        <v>2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5</v>
      </c>
      <c r="E25" s="15" t="n">
        <f aca="false">IF(C25=0,0,D25/C25)</f>
        <v>1</v>
      </c>
      <c r="F25" s="6" t="n">
        <f aca="false">COUNTIFS(Mundarija!$C$2:$C$254,B25,Mundarija!$H$2:$H$254,"Yetishmaydi")</f>
        <v>0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10</v>
      </c>
      <c r="E26" s="15" t="n">
        <f aca="false">IF(C26=0,0,D26/C26)</f>
        <v>1</v>
      </c>
      <c r="F26" s="6" t="n">
        <f aca="false">COUNTIFS(Mundarija!$C$2:$C$254,B26,Mundarija!$H$2:$H$254,"Yetishmaydi")</f>
        <v>0</v>
      </c>
      <c r="G26" s="6" t="n">
        <f aca="false">COUNTIFS(Mundarija!$C$2:$C$254,B26,Mundarija!$H$2:$H$254,"Qisman to‘ldirilgan")</f>
        <v>1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13</v>
      </c>
      <c r="E27" s="15" t="n">
        <f aca="false">IF(C27=0,0,D27/C27)</f>
        <v>1</v>
      </c>
      <c r="F27" s="6" t="n">
        <f aca="false">COUNTIFS(Mundarija!$C$2:$C$254,B27,Mundarija!$H$2:$H$254,"Yetishmaydi")</f>
        <v>0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9</v>
      </c>
      <c r="E28" s="15" t="n">
        <f aca="false">IF(C28=0,0,D28/C28)</f>
        <v>0.9</v>
      </c>
      <c r="F28" s="6" t="n">
        <f aca="false">COUNTIFS(Mundarija!$C$2:$C$254,B28,Mundarija!$H$2:$H$254,"Yetishmaydi")</f>
        <v>1</v>
      </c>
      <c r="G28" s="6" t="n">
        <f aca="false">COUNTIFS(Mundarija!$C$2:$C$254,B28,Mundarija!$H$2:$H$254,"Qisman to‘ldirilgan")</f>
        <v>1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5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1</v>
      </c>
      <c r="E30" s="15" t="n">
        <f aca="false">IF(C30=0,0,D30/C30)</f>
        <v>0.111111111111111</v>
      </c>
      <c r="F30" s="6" t="n">
        <f aca="false">COUNTIFS(Mundarija!$C$2:$C$254,B30,Mundarija!$H$2:$H$254,"Yetishmaydi")</f>
        <v>8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5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5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5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3</v>
      </c>
      <c r="E34" s="15" t="n">
        <f aca="false">IF(C34=0,0,D34/C34)</f>
        <v>0.375</v>
      </c>
      <c r="F34" s="6" t="n">
        <f aca="false">COUNTIFS(Mundarija!$C$2:$C$254,B34,Mundarija!$H$2:$H$254,"Yetishmaydi")</f>
        <v>4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2368</v>
      </c>
      <c r="C35" s="16" t="n">
        <f aca="false">SUM(C2:C34)</f>
        <v>253</v>
      </c>
      <c r="D35" s="16" t="n">
        <f aca="false">SUM(D2:D34)</f>
        <v>192</v>
      </c>
      <c r="E35" s="17" t="n">
        <f aca="false">IF(C35=0,0,D35/C35)</f>
        <v>0.758893280632411</v>
      </c>
      <c r="F35" s="16" t="n">
        <f aca="false">SUM(F2:F34)</f>
        <v>58</v>
      </c>
      <c r="G35" s="16" t="n">
        <f aca="false">SUM(G2:G34)</f>
        <v>19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2369</v>
      </c>
    </row>
    <row r="38" customFormat="false" ht="15" hidden="false" customHeight="false" outlineLevel="0" collapsed="false">
      <c r="A38" s="10" t="s">
        <v>2370</v>
      </c>
      <c r="B38" s="10" t="s">
        <v>2371</v>
      </c>
      <c r="C38" s="10" t="s">
        <v>2372</v>
      </c>
    </row>
    <row r="39" customFormat="false" ht="23.85" hidden="false" customHeight="false" outlineLevel="0" collapsed="false">
      <c r="A39" s="6" t="s">
        <v>2373</v>
      </c>
      <c r="B39" s="6" t="s">
        <v>2374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2375</v>
      </c>
      <c r="B40" s="6" t="s">
        <v>2376</v>
      </c>
      <c r="C40" s="15" t="n">
        <f aca="false">E35</f>
        <v>0.758893280632411</v>
      </c>
    </row>
    <row r="41" customFormat="false" ht="23.85" hidden="false" customHeight="false" outlineLevel="0" collapsed="false">
      <c r="A41" s="6" t="s">
        <v>2377</v>
      </c>
      <c r="B41" s="6" t="s">
        <v>2378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2379</v>
      </c>
      <c r="B42" s="6" t="s">
        <v>2380</v>
      </c>
      <c r="C42" s="15" t="n">
        <f aca="false">(COUNTIF(Katalog!$Q$2:$Q$313,"Havola tekshirilgan*")+COUNTIF(Katalog!$Q$2:$Q$313,"Metadata tekshirilgan*"))/COUNTA(Katalog!$A$2:$A$313)</f>
        <v>0.990384615384615</v>
      </c>
    </row>
    <row r="43" customFormat="false" ht="23.85" hidden="false" customHeight="false" outlineLevel="0" collapsed="false">
      <c r="A43" s="6" t="s">
        <v>2381</v>
      </c>
      <c r="B43" s="6" t="s">
        <v>2382</v>
      </c>
      <c r="C43" s="15" t="n">
        <f aca="false">COUNT(Katalog!$X$2:$X$313)/COUNTA(Katalog!$A$2:$A$313)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2383</v>
      </c>
      <c r="B1" s="5" t="s">
        <v>2384</v>
      </c>
      <c r="C1" s="5" t="s">
        <v>2385</v>
      </c>
      <c r="D1" s="5" t="s">
        <v>41</v>
      </c>
      <c r="E1" s="5" t="s">
        <v>2386</v>
      </c>
    </row>
    <row r="2" customFormat="false" ht="23.85" hidden="false" customHeight="false" outlineLevel="0" collapsed="false">
      <c r="A2" s="6" t="s">
        <v>2387</v>
      </c>
      <c r="B2" s="6" t="s">
        <v>2388</v>
      </c>
      <c r="C2" s="6" t="s">
        <v>2389</v>
      </c>
      <c r="D2" s="6" t="s">
        <v>2390</v>
      </c>
      <c r="E2" s="6" t="s">
        <v>2391</v>
      </c>
    </row>
    <row r="3" customFormat="false" ht="23.85" hidden="false" customHeight="false" outlineLevel="0" collapsed="false">
      <c r="A3" s="6" t="s">
        <v>2392</v>
      </c>
      <c r="B3" s="6" t="s">
        <v>2393</v>
      </c>
      <c r="C3" s="6" t="s">
        <v>2394</v>
      </c>
      <c r="D3" s="6" t="s">
        <v>2395</v>
      </c>
      <c r="E3" s="6" t="s">
        <v>2396</v>
      </c>
    </row>
    <row r="4" customFormat="false" ht="35.05" hidden="false" customHeight="false" outlineLevel="0" collapsed="false">
      <c r="A4" s="6" t="s">
        <v>2397</v>
      </c>
      <c r="B4" s="6" t="s">
        <v>2398</v>
      </c>
      <c r="C4" s="6" t="s">
        <v>2399</v>
      </c>
      <c r="D4" s="6" t="s">
        <v>2400</v>
      </c>
      <c r="E4" s="6" t="s">
        <v>2401</v>
      </c>
    </row>
    <row r="5" customFormat="false" ht="23.85" hidden="false" customHeight="false" outlineLevel="0" collapsed="false">
      <c r="A5" s="6" t="s">
        <v>2402</v>
      </c>
      <c r="B5" s="6" t="s">
        <v>2403</v>
      </c>
      <c r="C5" s="6" t="s">
        <v>2404</v>
      </c>
      <c r="D5" s="6" t="s">
        <v>2400</v>
      </c>
      <c r="E5" s="6" t="s">
        <v>2405</v>
      </c>
    </row>
    <row r="6" customFormat="false" ht="23.85" hidden="false" customHeight="false" outlineLevel="0" collapsed="false">
      <c r="A6" s="6" t="s">
        <v>2406</v>
      </c>
      <c r="B6" s="6" t="s">
        <v>2407</v>
      </c>
      <c r="C6" s="6" t="s">
        <v>2408</v>
      </c>
      <c r="D6" s="6" t="s">
        <v>2400</v>
      </c>
      <c r="E6" s="6" t="s">
        <v>2409</v>
      </c>
    </row>
    <row r="7" customFormat="false" ht="23.85" hidden="false" customHeight="false" outlineLevel="0" collapsed="false">
      <c r="A7" s="6" t="s">
        <v>2410</v>
      </c>
      <c r="B7" s="6" t="s">
        <v>2411</v>
      </c>
      <c r="C7" s="6" t="s">
        <v>2412</v>
      </c>
      <c r="D7" s="6" t="s">
        <v>2400</v>
      </c>
      <c r="E7" s="6" t="s">
        <v>2413</v>
      </c>
    </row>
    <row r="8" customFormat="false" ht="23.85" hidden="false" customHeight="false" outlineLevel="0" collapsed="false">
      <c r="A8" s="6" t="s">
        <v>2414</v>
      </c>
      <c r="B8" s="6" t="s">
        <v>2415</v>
      </c>
      <c r="C8" s="6" t="s">
        <v>2416</v>
      </c>
      <c r="D8" s="6" t="s">
        <v>2417</v>
      </c>
      <c r="E8" s="6" t="s">
        <v>2418</v>
      </c>
    </row>
    <row r="9" customFormat="false" ht="23.85" hidden="false" customHeight="false" outlineLevel="0" collapsed="false">
      <c r="A9" s="6" t="s">
        <v>2419</v>
      </c>
      <c r="B9" s="6" t="s">
        <v>2420</v>
      </c>
      <c r="C9" s="6" t="s">
        <v>2421</v>
      </c>
      <c r="D9" s="6" t="s">
        <v>2422</v>
      </c>
      <c r="E9" s="6" t="s">
        <v>2423</v>
      </c>
    </row>
    <row r="11" customFormat="false" ht="15" hidden="false" customHeight="false" outlineLevel="0" collapsed="false">
      <c r="A11" s="9" t="s">
        <v>2424</v>
      </c>
    </row>
    <row r="12" customFormat="false" ht="15" hidden="false" customHeight="false" outlineLevel="0" collapsed="false">
      <c r="A12" s="10" t="s">
        <v>2425</v>
      </c>
      <c r="B12" s="10" t="s">
        <v>2426</v>
      </c>
      <c r="C12" s="10" t="s">
        <v>2241</v>
      </c>
      <c r="D12" s="10" t="s">
        <v>2427</v>
      </c>
    </row>
    <row r="13" customFormat="false" ht="15" hidden="false" customHeight="false" outlineLevel="0" collapsed="false">
      <c r="A13" s="6" t="s">
        <v>2428</v>
      </c>
      <c r="B13" s="6" t="s">
        <v>2429</v>
      </c>
      <c r="C13" s="6" t="s">
        <v>2430</v>
      </c>
      <c r="D13" s="6" t="s">
        <v>2431</v>
      </c>
    </row>
    <row r="14" customFormat="false" ht="35.05" hidden="false" customHeight="false" outlineLevel="0" collapsed="false">
      <c r="A14" s="6" t="s">
        <v>2428</v>
      </c>
      <c r="B14" s="6" t="s">
        <v>2432</v>
      </c>
      <c r="C14" s="6" t="s">
        <v>2433</v>
      </c>
      <c r="D14" s="6" t="s">
        <v>2434</v>
      </c>
    </row>
    <row r="15" customFormat="false" ht="23.85" hidden="false" customHeight="false" outlineLevel="0" collapsed="false">
      <c r="A15" s="6" t="s">
        <v>2428</v>
      </c>
      <c r="B15" s="6" t="s">
        <v>2435</v>
      </c>
      <c r="C15" s="6" t="s">
        <v>2436</v>
      </c>
      <c r="D15" s="6" t="s">
        <v>2437</v>
      </c>
    </row>
    <row r="16" customFormat="false" ht="23.85" hidden="false" customHeight="false" outlineLevel="0" collapsed="false">
      <c r="A16" s="6" t="s">
        <v>2428</v>
      </c>
      <c r="B16" s="6" t="s">
        <v>2438</v>
      </c>
      <c r="C16" s="6" t="s">
        <v>2439</v>
      </c>
      <c r="D16" s="6" t="s">
        <v>2440</v>
      </c>
    </row>
    <row r="17" customFormat="false" ht="23.85" hidden="false" customHeight="false" outlineLevel="0" collapsed="false">
      <c r="A17" s="6" t="s">
        <v>2428</v>
      </c>
      <c r="B17" s="6" t="s">
        <v>2441</v>
      </c>
      <c r="C17" s="6" t="s">
        <v>2442</v>
      </c>
      <c r="D17" s="6" t="s">
        <v>2443</v>
      </c>
    </row>
    <row r="18" customFormat="false" ht="23.85" hidden="false" customHeight="false" outlineLevel="0" collapsed="false">
      <c r="A18" s="6" t="s">
        <v>2428</v>
      </c>
      <c r="B18" s="6" t="s">
        <v>2444</v>
      </c>
      <c r="C18" s="6" t="s">
        <v>2445</v>
      </c>
      <c r="D18" s="6" t="s">
        <v>2446</v>
      </c>
    </row>
    <row r="19" customFormat="false" ht="35.05" hidden="false" customHeight="false" outlineLevel="0" collapsed="false">
      <c r="A19" s="6" t="s">
        <v>2447</v>
      </c>
      <c r="B19" s="6" t="s">
        <v>95</v>
      </c>
      <c r="C19" s="6" t="s">
        <v>2448</v>
      </c>
      <c r="D19" s="6" t="s">
        <v>2449</v>
      </c>
    </row>
    <row r="20" customFormat="false" ht="15" hidden="false" customHeight="false" outlineLevel="0" collapsed="false">
      <c r="A20" s="6" t="s">
        <v>2450</v>
      </c>
      <c r="B20" s="6" t="s">
        <v>63</v>
      </c>
      <c r="C20" s="6" t="s">
        <v>2451</v>
      </c>
      <c r="D20" s="6" t="s">
        <v>2452</v>
      </c>
    </row>
    <row r="21" customFormat="false" ht="35.05" hidden="false" customHeight="false" outlineLevel="0" collapsed="false">
      <c r="A21" s="6" t="s">
        <v>2450</v>
      </c>
      <c r="B21" s="6" t="s">
        <v>68</v>
      </c>
      <c r="C21" s="6" t="s">
        <v>2453</v>
      </c>
      <c r="D21" s="6" t="s">
        <v>2454</v>
      </c>
    </row>
    <row r="22" customFormat="false" ht="23.85" hidden="false" customHeight="false" outlineLevel="0" collapsed="false">
      <c r="A22" s="6" t="s">
        <v>2450</v>
      </c>
      <c r="B22" s="6" t="s">
        <v>2455</v>
      </c>
      <c r="C22" s="6" t="s">
        <v>2456</v>
      </c>
      <c r="D22" s="6" t="s">
        <v>2457</v>
      </c>
    </row>
    <row r="23" customFormat="false" ht="23.85" hidden="false" customHeight="false" outlineLevel="0" collapsed="false">
      <c r="A23" s="6" t="s">
        <v>2450</v>
      </c>
      <c r="B23" s="6" t="s">
        <v>2458</v>
      </c>
      <c r="C23" s="6" t="s">
        <v>2459</v>
      </c>
      <c r="D23" s="6" t="s">
        <v>2460</v>
      </c>
    </row>
    <row r="24" customFormat="false" ht="23.85" hidden="false" customHeight="false" outlineLevel="0" collapsed="false">
      <c r="A24" s="6" t="s">
        <v>2366</v>
      </c>
      <c r="B24" s="6" t="s">
        <v>185</v>
      </c>
      <c r="C24" s="6" t="s">
        <v>2461</v>
      </c>
      <c r="D24" s="6" t="s">
        <v>2462</v>
      </c>
    </row>
    <row r="25" customFormat="false" ht="23.85" hidden="false" customHeight="false" outlineLevel="0" collapsed="false">
      <c r="A25" s="6" t="s">
        <v>2366</v>
      </c>
      <c r="B25" s="6" t="s">
        <v>201</v>
      </c>
      <c r="C25" s="6" t="s">
        <v>2463</v>
      </c>
      <c r="D25" s="6" t="s">
        <v>2464</v>
      </c>
    </row>
    <row r="26" customFormat="false" ht="15" hidden="false" customHeight="false" outlineLevel="0" collapsed="false">
      <c r="A26" s="6" t="s">
        <v>2366</v>
      </c>
      <c r="B26" s="6" t="s">
        <v>354</v>
      </c>
      <c r="C26" s="6" t="s">
        <v>2465</v>
      </c>
      <c r="D26" s="6" t="s">
        <v>2466</v>
      </c>
    </row>
    <row r="27" customFormat="false" ht="35.05" hidden="false" customHeight="false" outlineLevel="0" collapsed="false">
      <c r="A27" s="6" t="s">
        <v>2467</v>
      </c>
      <c r="B27" s="6" t="s">
        <v>482</v>
      </c>
      <c r="C27" s="6" t="s">
        <v>2468</v>
      </c>
      <c r="D27" s="6" t="s">
        <v>2469</v>
      </c>
    </row>
    <row r="29" customFormat="false" ht="15" hidden="false" customHeight="false" outlineLevel="0" collapsed="false">
      <c r="A29" s="9" t="s">
        <v>2470</v>
      </c>
    </row>
    <row r="30" customFormat="false" ht="15" hidden="false" customHeight="false" outlineLevel="0" collapsed="false">
      <c r="A30" s="10" t="s">
        <v>2471</v>
      </c>
      <c r="B30" s="10" t="s">
        <v>2472</v>
      </c>
      <c r="C30" s="10" t="s">
        <v>2473</v>
      </c>
      <c r="D30" s="10" t="s">
        <v>41</v>
      </c>
    </row>
    <row r="31" customFormat="false" ht="46.25" hidden="false" customHeight="false" outlineLevel="0" collapsed="false">
      <c r="A31" s="6" t="s">
        <v>2474</v>
      </c>
      <c r="B31" s="6" t="s">
        <v>2475</v>
      </c>
      <c r="C31" s="6" t="s">
        <v>2476</v>
      </c>
      <c r="D31" s="6" t="s">
        <v>2477</v>
      </c>
    </row>
    <row r="32" customFormat="false" ht="23.85" hidden="false" customHeight="false" outlineLevel="0" collapsed="false">
      <c r="A32" s="6" t="s">
        <v>2478</v>
      </c>
      <c r="B32" s="6" t="s">
        <v>2479</v>
      </c>
      <c r="C32" s="6" t="s">
        <v>2480</v>
      </c>
      <c r="D32" s="6" t="s">
        <v>2477</v>
      </c>
    </row>
    <row r="33" customFormat="false" ht="35.05" hidden="false" customHeight="false" outlineLevel="0" collapsed="false">
      <c r="A33" s="6" t="s">
        <v>2481</v>
      </c>
      <c r="B33" s="6" t="s">
        <v>2482</v>
      </c>
      <c r="C33" s="6" t="s">
        <v>2483</v>
      </c>
      <c r="D33" s="6" t="s">
        <v>2484</v>
      </c>
    </row>
    <row r="34" customFormat="false" ht="23.85" hidden="false" customHeight="false" outlineLevel="0" collapsed="false">
      <c r="A34" s="6" t="s">
        <v>2485</v>
      </c>
      <c r="B34" s="6" t="s">
        <v>2486</v>
      </c>
      <c r="C34" s="6" t="s">
        <v>2487</v>
      </c>
      <c r="D34" s="6" t="s">
        <v>2488</v>
      </c>
    </row>
    <row r="35" customFormat="false" ht="23.85" hidden="false" customHeight="false" outlineLevel="0" collapsed="false">
      <c r="A35" s="6" t="s">
        <v>2489</v>
      </c>
      <c r="B35" s="6" t="s">
        <v>2490</v>
      </c>
      <c r="C35" s="6" t="s">
        <v>2491</v>
      </c>
      <c r="D35" s="6" t="s">
        <v>2492</v>
      </c>
    </row>
    <row r="36" customFormat="false" ht="35.05" hidden="false" customHeight="false" outlineLevel="0" collapsed="false">
      <c r="A36" s="6" t="s">
        <v>2493</v>
      </c>
      <c r="B36" s="6" t="s">
        <v>2494</v>
      </c>
      <c r="C36" s="6" t="s">
        <v>2495</v>
      </c>
      <c r="D36" s="6" t="s">
        <v>2496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2026-10-17T13:17:35Z</dcterms:created>
  <dc:creator>openpyxl</dc:creator>
  <dc:description/>
  <dc:language>en-US</dc:language>
  <cp:lastModifiedBy/>
  <dcterms:modified xsi:type="dcterms:W3CDTF">2026-10-17T13:17:36Z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